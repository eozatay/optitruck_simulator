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drawings/drawing4.xml" ContentType="application/vnd.openxmlformats-officedocument.drawing+xml"/>
  <Override PartName="/xl/ctrlProps/ctrlProp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DieseArbeitsmappe" defaultThemeVersion="164011"/>
  <mc:AlternateContent xmlns:mc="http://schemas.openxmlformats.org/markup-compatibility/2006">
    <mc:Choice Requires="x15">
      <x15ac:absPath xmlns:x15ac="http://schemas.microsoft.com/office/spreadsheetml/2010/11/ac" url="D:\projekte\Velodyn4ComApps\working\09_Project_Workshop\MDN2-16017_optiTruck\optitruck_simulator-master_IAV_Branch\"/>
    </mc:Choice>
  </mc:AlternateContent>
  <bookViews>
    <workbookView xWindow="1080" yWindow="4575" windowWidth="26685" windowHeight="14535" tabRatio="591" activeTab="1"/>
  </bookViews>
  <sheets>
    <sheet name="General" sheetId="1" r:id="rId1"/>
    <sheet name="Signal Definition" sheetId="2" r:id="rId2"/>
    <sheet name="Signal Connections" sheetId="3" r:id="rId3"/>
    <sheet name="Parameter Definition" sheetId="4" r:id="rId4"/>
    <sheet name="DataTypes" sheetId="5" r:id="rId5"/>
    <sheet name="Abbreviation" sheetId="6" r:id="rId6"/>
    <sheet name="Simulink" sheetId="7" r:id="rId7"/>
    <sheet name="Hist" sheetId="9" r:id="rId8"/>
  </sheets>
  <functionGroups builtInGroupCount="18"/>
  <definedNames>
    <definedName name="_xlnm._FilterDatabase" localSheetId="5" hidden="1">Abbreviation!$A$1:$N$1</definedName>
    <definedName name="_xlnm._FilterDatabase" localSheetId="7" hidden="1">Hist!$A$1:$E$1</definedName>
    <definedName name="_xlnm._FilterDatabase" localSheetId="3" hidden="1">'Parameter Definition'!$A$2:$P$17</definedName>
    <definedName name="_xlnm._FilterDatabase" localSheetId="2" hidden="1">'Signal Connections'!$A$2:$BP$1097</definedName>
    <definedName name="_xlnm._FilterDatabase" localSheetId="1" hidden="1">'Signal Definition'!$A$2:$R$103</definedName>
    <definedName name="_xlnm._FilterDatabase" localSheetId="6" hidden="1">Simulink!$A$2:$C$2</definedName>
    <definedName name="Z_EC8DF9D8_4C70_48C8_ACBE_473EC31C88E8_.wvu.FilterData" localSheetId="5" hidden="1">Abbreviation!$A$1:$C$1299</definedName>
    <definedName name="Z_EC8DF9D8_4C70_48C8_ACBE_473EC31C88E8_.wvu.FilterData" localSheetId="2" hidden="1">'Signal Connections'!$F$2:$U$2</definedName>
    <definedName name="Z_EC8DF9D8_4C70_48C8_ACBE_473EC31C88E8_.wvu.FilterData" localSheetId="1" hidden="1">'Signal Definition'!$A$2:$Q$2</definedName>
  </definedNames>
  <calcPr calcId="162913" concurrentCalc="0"/>
  <extLst>
    <ext xmlns:x14="http://schemas.microsoft.com/office/spreadsheetml/2009/9/main" uri="{79F54976-1DA5-4618-B147-4CDE4B953A38}">
      <x14:workbookPr defaultImageDpi="330"/>
    </ext>
    <ext xmlns:x15="http://schemas.microsoft.com/office/spreadsheetml/2010/11/main" uri="{140A7094-0E35-4892-8432-C4D2E57EDEB5}">
      <x15:workbookPr chartTrackingRefBase="1"/>
    </ext>
    <ext xmlns:mx="http://schemas.microsoft.com/office/mac/excel/2008/main" uri="{7523E5D3-25F3-A5E0-1632-64F254C22452}">
      <mx:ArchID Flags="2"/>
    </ext>
  </extLst>
</workbook>
</file>

<file path=xl/calcChain.xml><?xml version="1.0" encoding="utf-8"?>
<calcChain xmlns="http://schemas.openxmlformats.org/spreadsheetml/2006/main">
  <c r="B3" i="3" l="1" a="1"/>
  <c r="B3" i="3"/>
  <c r="C3" i="3" a="1"/>
  <c r="C3" i="3"/>
  <c r="B4" i="3" a="1"/>
  <c r="B4" i="3"/>
  <c r="C4" i="3" a="1"/>
  <c r="C4" i="3"/>
  <c r="B5" i="3" a="1"/>
  <c r="B5" i="3"/>
  <c r="C5" i="3" a="1"/>
  <c r="C5" i="3"/>
  <c r="B6" i="3" a="1"/>
  <c r="B6" i="3"/>
  <c r="C6" i="3" a="1"/>
  <c r="C6" i="3"/>
  <c r="B7" i="3" a="1"/>
  <c r="B7" i="3"/>
  <c r="C7" i="3" a="1"/>
  <c r="C7" i="3"/>
  <c r="B8" i="3" a="1"/>
  <c r="B8" i="3"/>
  <c r="C8" i="3" a="1"/>
  <c r="C8" i="3"/>
  <c r="B9" i="3" a="1"/>
  <c r="B9" i="3"/>
  <c r="C9" i="3" a="1"/>
  <c r="C9" i="3"/>
  <c r="B10" i="3" a="1"/>
  <c r="B10" i="3"/>
  <c r="C10" i="3" a="1"/>
  <c r="C10" i="3"/>
  <c r="B11" i="3" a="1"/>
  <c r="B11" i="3"/>
  <c r="C11" i="3" a="1"/>
  <c r="C11" i="3"/>
  <c r="B12" i="3" a="1"/>
  <c r="B12" i="3"/>
  <c r="C12" i="3" a="1"/>
  <c r="C12" i="3"/>
  <c r="B13" i="3" a="1"/>
  <c r="B13" i="3"/>
  <c r="C13" i="3" a="1"/>
  <c r="C13" i="3"/>
  <c r="B14" i="3" a="1"/>
  <c r="B14" i="3"/>
  <c r="C14" i="3" a="1"/>
  <c r="C14" i="3"/>
  <c r="B15" i="3" a="1"/>
  <c r="B15" i="3"/>
  <c r="C15" i="3" a="1"/>
  <c r="C15" i="3"/>
  <c r="B16" i="3" a="1"/>
  <c r="B16" i="3"/>
  <c r="C16" i="3" a="1"/>
  <c r="C16" i="3"/>
  <c r="B17" i="3" a="1"/>
  <c r="B17" i="3"/>
  <c r="C17" i="3" a="1"/>
  <c r="C17" i="3"/>
  <c r="B18" i="3" a="1"/>
  <c r="B18" i="3"/>
  <c r="C18" i="3" a="1"/>
  <c r="C18" i="3"/>
  <c r="B19" i="3" a="1"/>
  <c r="B19" i="3"/>
  <c r="C19" i="3" a="1"/>
  <c r="C19" i="3"/>
  <c r="B20" i="3" a="1"/>
  <c r="B20" i="3"/>
  <c r="C20" i="3" a="1"/>
  <c r="C20" i="3"/>
  <c r="B21" i="3" a="1"/>
  <c r="B21" i="3"/>
  <c r="C21" i="3" a="1"/>
  <c r="C21" i="3"/>
  <c r="B22" i="3" a="1"/>
  <c r="B22" i="3"/>
  <c r="C22" i="3" a="1"/>
  <c r="C22" i="3"/>
  <c r="B23" i="3" a="1"/>
  <c r="B23" i="3"/>
  <c r="C23" i="3" a="1"/>
  <c r="C23" i="3"/>
  <c r="B24" i="3" a="1"/>
  <c r="B24" i="3"/>
  <c r="C24" i="3" a="1"/>
  <c r="C24" i="3"/>
  <c r="B25" i="3" a="1"/>
  <c r="B25" i="3"/>
  <c r="C25" i="3" a="1"/>
  <c r="C25" i="3"/>
  <c r="B26" i="3" a="1"/>
  <c r="B26" i="3"/>
  <c r="C26" i="3" a="1"/>
  <c r="C26" i="3"/>
  <c r="B27" i="3" a="1"/>
  <c r="B27" i="3"/>
  <c r="C27" i="3" a="1"/>
  <c r="C27" i="3"/>
  <c r="B28" i="3" a="1"/>
  <c r="B28" i="3"/>
  <c r="C28" i="3" a="1"/>
  <c r="C28" i="3"/>
  <c r="B29" i="3" a="1"/>
  <c r="B29" i="3"/>
  <c r="C29" i="3" a="1"/>
  <c r="C29" i="3"/>
  <c r="B30" i="3" a="1"/>
  <c r="B30" i="3"/>
  <c r="C30" i="3" a="1"/>
  <c r="C30" i="3"/>
  <c r="B31" i="3" a="1"/>
  <c r="B31" i="3"/>
  <c r="C31" i="3" a="1"/>
  <c r="C31" i="3"/>
  <c r="B32" i="3" a="1"/>
  <c r="B32" i="3"/>
  <c r="C32" i="3" a="1"/>
  <c r="C32" i="3"/>
  <c r="B33" i="3" a="1"/>
  <c r="B33" i="3"/>
  <c r="C33" i="3" a="1"/>
  <c r="C33" i="3"/>
  <c r="B34" i="3" a="1"/>
  <c r="B34" i="3"/>
  <c r="C34" i="3" a="1"/>
  <c r="C34" i="3"/>
  <c r="B35" i="3" a="1"/>
  <c r="B35" i="3"/>
  <c r="C35" i="3" a="1"/>
  <c r="C35" i="3"/>
  <c r="B36" i="3" a="1"/>
  <c r="B36" i="3"/>
  <c r="C36" i="3" a="1"/>
  <c r="C36" i="3"/>
  <c r="B37" i="3" a="1"/>
  <c r="B37" i="3"/>
  <c r="C37" i="3" a="1"/>
  <c r="C37" i="3"/>
  <c r="B38" i="3" a="1"/>
  <c r="B38" i="3"/>
  <c r="C38" i="3" a="1"/>
  <c r="C38" i="3"/>
  <c r="B39" i="3" a="1"/>
  <c r="B39" i="3"/>
  <c r="C39" i="3" a="1"/>
  <c r="C39" i="3"/>
  <c r="B40" i="3" a="1"/>
  <c r="B40" i="3"/>
  <c r="C40" i="3" a="1"/>
  <c r="C40" i="3"/>
  <c r="B41" i="3" a="1"/>
  <c r="B41" i="3"/>
  <c r="C41" i="3" a="1"/>
  <c r="C41" i="3"/>
  <c r="B42" i="3" a="1"/>
  <c r="B42" i="3"/>
  <c r="C42" i="3" a="1"/>
  <c r="C42" i="3"/>
  <c r="B43" i="3" a="1"/>
  <c r="B43" i="3"/>
  <c r="C43" i="3" a="1"/>
  <c r="C43" i="3"/>
  <c r="B44" i="3" a="1"/>
  <c r="B44" i="3"/>
  <c r="C44" i="3" a="1"/>
  <c r="C44" i="3"/>
  <c r="B45" i="3" a="1"/>
  <c r="B45" i="3"/>
  <c r="C45" i="3" a="1"/>
  <c r="C45" i="3"/>
  <c r="B46" i="3" a="1"/>
  <c r="B46" i="3"/>
  <c r="C46" i="3" a="1"/>
  <c r="C46" i="3"/>
  <c r="B47" i="3" a="1"/>
  <c r="B47" i="3"/>
  <c r="C47" i="3" a="1"/>
  <c r="C47" i="3"/>
  <c r="B48" i="3" a="1"/>
  <c r="B48" i="3"/>
  <c r="C48" i="3" a="1"/>
  <c r="C48" i="3"/>
  <c r="B49" i="3" a="1"/>
  <c r="B49" i="3"/>
  <c r="C49" i="3" a="1"/>
  <c r="C49" i="3"/>
  <c r="B50" i="3" a="1"/>
  <c r="B50" i="3"/>
  <c r="C50" i="3" a="1"/>
  <c r="C50" i="3"/>
  <c r="B51" i="3" a="1"/>
  <c r="B51" i="3"/>
  <c r="C51" i="3" a="1"/>
  <c r="C51" i="3"/>
  <c r="B52" i="3" a="1"/>
  <c r="B52" i="3"/>
  <c r="C52" i="3" a="1"/>
  <c r="C52" i="3"/>
  <c r="B53" i="3" a="1"/>
  <c r="B53" i="3"/>
  <c r="C53" i="3" a="1"/>
  <c r="C53" i="3"/>
  <c r="B54" i="3" a="1"/>
  <c r="B54" i="3"/>
  <c r="C54" i="3" a="1"/>
  <c r="C54" i="3"/>
  <c r="B55" i="3" a="1"/>
  <c r="B55" i="3"/>
  <c r="C55" i="3" a="1"/>
  <c r="C55" i="3"/>
  <c r="B56" i="3" a="1"/>
  <c r="B56" i="3"/>
  <c r="C56" i="3" a="1"/>
  <c r="C56" i="3"/>
  <c r="B57" i="3" a="1"/>
  <c r="B57" i="3"/>
  <c r="C57" i="3" a="1"/>
  <c r="C57" i="3"/>
  <c r="B58" i="3" a="1"/>
  <c r="B58" i="3"/>
  <c r="C58" i="3" a="1"/>
  <c r="C58" i="3"/>
  <c r="B59" i="3" a="1"/>
  <c r="B59" i="3"/>
  <c r="C59" i="3" a="1"/>
  <c r="C59" i="3"/>
  <c r="B60" i="3" a="1"/>
  <c r="B60" i="3"/>
  <c r="C60" i="3" a="1"/>
  <c r="C60" i="3"/>
  <c r="B61" i="3" a="1"/>
  <c r="B61" i="3"/>
  <c r="C61" i="3" a="1"/>
  <c r="C61" i="3"/>
  <c r="B62" i="3" a="1"/>
  <c r="B62" i="3"/>
  <c r="C62" i="3" a="1"/>
  <c r="C62" i="3"/>
  <c r="B63" i="3" a="1"/>
  <c r="B63" i="3"/>
  <c r="C63" i="3" a="1"/>
  <c r="C63" i="3"/>
  <c r="B64" i="3" a="1"/>
  <c r="B64" i="3"/>
  <c r="C64" i="3" a="1"/>
  <c r="C64" i="3"/>
  <c r="B65" i="3" a="1"/>
  <c r="B65" i="3"/>
  <c r="C65" i="3" a="1"/>
  <c r="C65" i="3"/>
  <c r="B66" i="3" a="1"/>
  <c r="B66" i="3"/>
  <c r="C66" i="3" a="1"/>
  <c r="C66" i="3"/>
  <c r="B67" i="3" a="1"/>
  <c r="B67" i="3"/>
  <c r="C67" i="3" a="1"/>
  <c r="C67" i="3"/>
  <c r="B68" i="3" a="1"/>
  <c r="B68" i="3"/>
  <c r="C68" i="3" a="1"/>
  <c r="C68" i="3"/>
  <c r="B69" i="3" a="1"/>
  <c r="B69" i="3"/>
  <c r="C69" i="3" a="1"/>
  <c r="C69" i="3"/>
  <c r="B70" i="3" a="1"/>
  <c r="B70" i="3"/>
  <c r="C70" i="3" a="1"/>
  <c r="C70" i="3"/>
  <c r="B71" i="3" a="1"/>
  <c r="B71" i="3"/>
  <c r="C71" i="3" a="1"/>
  <c r="C71" i="3"/>
  <c r="B72" i="3" a="1"/>
  <c r="B72" i="3"/>
  <c r="C72" i="3" a="1"/>
  <c r="C72" i="3"/>
  <c r="B73" i="3" a="1"/>
  <c r="B73" i="3"/>
  <c r="C73" i="3" a="1"/>
  <c r="C73" i="3"/>
  <c r="B74" i="3" a="1"/>
  <c r="B74" i="3"/>
  <c r="C74" i="3" a="1"/>
  <c r="C74" i="3"/>
  <c r="B75" i="3" a="1"/>
  <c r="B75" i="3"/>
  <c r="C75" i="3" a="1"/>
  <c r="C75" i="3"/>
  <c r="B76" i="3" a="1"/>
  <c r="B76" i="3"/>
  <c r="C76" i="3" a="1"/>
  <c r="C76" i="3"/>
  <c r="B77" i="3" a="1"/>
  <c r="B77" i="3"/>
  <c r="C77" i="3" a="1"/>
  <c r="C77" i="3"/>
  <c r="B78" i="3" a="1"/>
  <c r="B78" i="3"/>
  <c r="C78" i="3" a="1"/>
  <c r="C78" i="3"/>
  <c r="B79" i="3" a="1"/>
  <c r="B79" i="3"/>
  <c r="C79" i="3" a="1"/>
  <c r="C79" i="3"/>
  <c r="B80" i="3" a="1"/>
  <c r="B80" i="3"/>
  <c r="C80" i="3" a="1"/>
  <c r="C80" i="3"/>
  <c r="B81" i="3" a="1"/>
  <c r="B81" i="3"/>
  <c r="C81" i="3" a="1"/>
  <c r="C81" i="3"/>
  <c r="B82" i="3" a="1"/>
  <c r="B82" i="3"/>
  <c r="C82" i="3" a="1"/>
  <c r="C82" i="3"/>
  <c r="B83" i="3" a="1"/>
  <c r="B83" i="3"/>
  <c r="C83" i="3" a="1"/>
  <c r="C83" i="3"/>
  <c r="B84" i="3" a="1"/>
  <c r="B84" i="3"/>
  <c r="C84" i="3" a="1"/>
  <c r="C84" i="3"/>
  <c r="B85" i="3" a="1"/>
  <c r="B85" i="3"/>
  <c r="C85" i="3" a="1"/>
  <c r="C85" i="3"/>
  <c r="B86" i="3" a="1"/>
  <c r="B86" i="3"/>
  <c r="C86" i="3" a="1"/>
  <c r="C86" i="3"/>
  <c r="B87" i="3" a="1"/>
  <c r="B87" i="3"/>
  <c r="C87" i="3" a="1"/>
  <c r="C87" i="3"/>
  <c r="B88" i="3" a="1"/>
  <c r="B88" i="3"/>
  <c r="C88" i="3" a="1"/>
  <c r="C88" i="3"/>
  <c r="B89" i="3" a="1"/>
  <c r="B89" i="3"/>
  <c r="C89" i="3" a="1"/>
  <c r="C89" i="3"/>
  <c r="B90" i="3" a="1"/>
  <c r="B90" i="3"/>
  <c r="C90" i="3" a="1"/>
  <c r="C90" i="3"/>
  <c r="B91" i="3" a="1"/>
  <c r="B91" i="3"/>
  <c r="C91" i="3" a="1"/>
  <c r="C91" i="3"/>
  <c r="B92" i="3" a="1"/>
  <c r="B92" i="3"/>
  <c r="C92" i="3" a="1"/>
  <c r="C92" i="3"/>
  <c r="B93" i="3" a="1"/>
  <c r="B93" i="3"/>
  <c r="C93" i="3" a="1"/>
  <c r="C93" i="3"/>
  <c r="B94" i="3" a="1"/>
  <c r="B94" i="3"/>
  <c r="C94" i="3" a="1"/>
  <c r="C94" i="3"/>
  <c r="B95" i="3" a="1"/>
  <c r="B95" i="3"/>
  <c r="C95" i="3" a="1"/>
  <c r="C95" i="3"/>
  <c r="B96" i="3" a="1"/>
  <c r="B96" i="3"/>
  <c r="C96" i="3" a="1"/>
  <c r="C96" i="3"/>
  <c r="B97" i="3" a="1"/>
  <c r="B97" i="3"/>
  <c r="C97" i="3" a="1"/>
  <c r="C97" i="3"/>
  <c r="B98" i="3" a="1"/>
  <c r="B98" i="3"/>
  <c r="C98" i="3" a="1"/>
  <c r="C98" i="3"/>
  <c r="B99" i="3" a="1"/>
  <c r="B99" i="3"/>
  <c r="C99" i="3" a="1"/>
  <c r="C99" i="3"/>
  <c r="B100" i="3" a="1"/>
  <c r="B100" i="3"/>
  <c r="C100" i="3" a="1"/>
  <c r="C100" i="3"/>
  <c r="B101" i="3" a="1"/>
  <c r="B101" i="3"/>
  <c r="C101" i="3" a="1"/>
  <c r="C101" i="3"/>
  <c r="B102" i="3" a="1"/>
  <c r="B102" i="3"/>
  <c r="C102" i="3" a="1"/>
  <c r="C102" i="3"/>
  <c r="B103" i="3" a="1"/>
  <c r="B103" i="3"/>
  <c r="C103" i="3" a="1"/>
  <c r="C103" i="3"/>
  <c r="B104" i="3" a="1"/>
  <c r="B104" i="3"/>
  <c r="C104" i="3" a="1"/>
  <c r="C104" i="3"/>
  <c r="B105" i="3" a="1"/>
  <c r="B105" i="3"/>
  <c r="C105" i="3" a="1"/>
  <c r="C105" i="3"/>
  <c r="B106" i="3" a="1"/>
  <c r="B106" i="3"/>
  <c r="C106" i="3" a="1"/>
  <c r="C106" i="3"/>
  <c r="B107" i="3" a="1"/>
  <c r="B107" i="3"/>
  <c r="C107" i="3" a="1"/>
  <c r="C107" i="3"/>
  <c r="B108" i="3" a="1"/>
  <c r="B108" i="3"/>
  <c r="C108" i="3" a="1"/>
  <c r="C108" i="3"/>
  <c r="B109" i="3" a="1"/>
  <c r="B109" i="3"/>
  <c r="C109" i="3" a="1"/>
  <c r="C109" i="3"/>
  <c r="B110" i="3" a="1"/>
  <c r="B110" i="3"/>
  <c r="C110" i="3" a="1"/>
  <c r="C110" i="3"/>
  <c r="B111" i="3" a="1"/>
  <c r="B111" i="3"/>
  <c r="C111" i="3" a="1"/>
  <c r="C111" i="3"/>
  <c r="B112" i="3" a="1"/>
  <c r="B112" i="3"/>
  <c r="C112" i="3" a="1"/>
  <c r="C112" i="3"/>
  <c r="B113" i="3" a="1"/>
  <c r="B113" i="3"/>
  <c r="C113" i="3" a="1"/>
  <c r="C113" i="3"/>
  <c r="B114" i="3" a="1"/>
  <c r="B114" i="3"/>
  <c r="C114" i="3" a="1"/>
  <c r="C114" i="3"/>
  <c r="B115" i="3" a="1"/>
  <c r="B115" i="3"/>
  <c r="C115" i="3" a="1"/>
  <c r="C115" i="3"/>
  <c r="B116" i="3" a="1"/>
  <c r="B116" i="3"/>
  <c r="C116" i="3" a="1"/>
  <c r="C116" i="3"/>
  <c r="B117" i="3" a="1"/>
  <c r="B117" i="3"/>
  <c r="C117" i="3" a="1"/>
  <c r="C117" i="3"/>
  <c r="B118" i="3" a="1"/>
  <c r="B118" i="3"/>
  <c r="C118" i="3" a="1"/>
  <c r="C118" i="3"/>
  <c r="B119" i="3" a="1"/>
  <c r="B119" i="3"/>
  <c r="C119" i="3" a="1"/>
  <c r="C119" i="3"/>
  <c r="B120" i="3" a="1"/>
  <c r="B120" i="3"/>
  <c r="C120" i="3" a="1"/>
  <c r="C120" i="3"/>
  <c r="B121" i="3" a="1"/>
  <c r="B121" i="3"/>
  <c r="C121" i="3" a="1"/>
  <c r="C121" i="3"/>
  <c r="B122" i="3" a="1"/>
  <c r="B122" i="3"/>
  <c r="C122" i="3" a="1"/>
  <c r="C122" i="3"/>
  <c r="B123" i="3" a="1"/>
  <c r="B123" i="3"/>
  <c r="C123" i="3" a="1"/>
  <c r="C123" i="3"/>
  <c r="B124" i="3" a="1"/>
  <c r="B124" i="3"/>
  <c r="C124" i="3" a="1"/>
  <c r="C124" i="3"/>
  <c r="B125" i="3" a="1"/>
  <c r="B125" i="3"/>
  <c r="C125" i="3" a="1"/>
  <c r="C125" i="3"/>
  <c r="B126" i="3" a="1"/>
  <c r="B126" i="3"/>
  <c r="C126" i="3" a="1"/>
  <c r="C126" i="3"/>
  <c r="B127" i="3" a="1"/>
  <c r="B127" i="3"/>
  <c r="C127" i="3" a="1"/>
  <c r="C127" i="3"/>
  <c r="B128" i="3" a="1"/>
  <c r="B128" i="3"/>
  <c r="C128" i="3" a="1"/>
  <c r="C128" i="3"/>
  <c r="B129" i="3" a="1"/>
  <c r="B129" i="3"/>
  <c r="C129" i="3" a="1"/>
  <c r="C129" i="3"/>
  <c r="B130" i="3" a="1"/>
  <c r="B130" i="3"/>
  <c r="C130" i="3" a="1"/>
  <c r="C130" i="3"/>
  <c r="B131" i="3" a="1"/>
  <c r="B131" i="3"/>
  <c r="C131" i="3" a="1"/>
  <c r="C131" i="3"/>
  <c r="B132" i="3" a="1"/>
  <c r="B132" i="3"/>
  <c r="C132" i="3" a="1"/>
  <c r="C132" i="3"/>
  <c r="B133" i="3" a="1"/>
  <c r="B133" i="3"/>
  <c r="C133" i="3" a="1"/>
  <c r="C133" i="3"/>
  <c r="B134" i="3" a="1"/>
  <c r="B134" i="3"/>
  <c r="C134" i="3" a="1"/>
  <c r="C134" i="3"/>
  <c r="B135" i="3" a="1"/>
  <c r="B135" i="3"/>
  <c r="C135" i="3" a="1"/>
  <c r="C135" i="3"/>
  <c r="B136" i="3" a="1"/>
  <c r="B136" i="3"/>
  <c r="C136" i="3" a="1"/>
  <c r="C136" i="3"/>
  <c r="B137" i="3" a="1"/>
  <c r="B137" i="3"/>
  <c r="C137" i="3" a="1"/>
  <c r="C137" i="3"/>
  <c r="B138" i="3" a="1"/>
  <c r="B138" i="3"/>
  <c r="C138" i="3" a="1"/>
  <c r="C138" i="3"/>
  <c r="B139" i="3" a="1"/>
  <c r="B139" i="3"/>
  <c r="C139" i="3" a="1"/>
  <c r="C139" i="3"/>
  <c r="B140" i="3" a="1"/>
  <c r="B140" i="3"/>
  <c r="C140" i="3" a="1"/>
  <c r="C140" i="3"/>
  <c r="B141" i="3" a="1"/>
  <c r="B141" i="3"/>
  <c r="C141" i="3" a="1"/>
  <c r="C141" i="3"/>
  <c r="B142" i="3" a="1"/>
  <c r="B142" i="3"/>
  <c r="C142" i="3" a="1"/>
  <c r="C142" i="3"/>
  <c r="B143" i="3" a="1"/>
  <c r="B143" i="3"/>
  <c r="C143" i="3" a="1"/>
  <c r="C143" i="3"/>
  <c r="B144" i="3" a="1"/>
  <c r="B144" i="3"/>
  <c r="C144" i="3" a="1"/>
  <c r="C144" i="3"/>
  <c r="B145" i="3" a="1"/>
  <c r="B145" i="3"/>
  <c r="C145" i="3" a="1"/>
  <c r="C145" i="3"/>
  <c r="B146" i="3" a="1"/>
  <c r="B146" i="3"/>
  <c r="C146" i="3" a="1"/>
  <c r="C146" i="3"/>
  <c r="B147" i="3" a="1"/>
  <c r="B147" i="3"/>
  <c r="C147" i="3" a="1"/>
  <c r="C147" i="3"/>
  <c r="B148" i="3" a="1"/>
  <c r="B148" i="3"/>
  <c r="C148" i="3" a="1"/>
  <c r="C148" i="3"/>
  <c r="B149" i="3" a="1"/>
  <c r="B149" i="3"/>
  <c r="C149" i="3" a="1"/>
  <c r="C149" i="3"/>
  <c r="B150" i="3" a="1"/>
  <c r="B150" i="3"/>
  <c r="C150" i="3" a="1"/>
  <c r="C150" i="3"/>
  <c r="B151" i="3" a="1"/>
  <c r="B151" i="3"/>
  <c r="C151" i="3" a="1"/>
  <c r="C151" i="3"/>
  <c r="B152" i="3" a="1"/>
  <c r="B152" i="3"/>
  <c r="C152" i="3" a="1"/>
  <c r="C152" i="3"/>
  <c r="B153" i="3" a="1"/>
  <c r="B153" i="3"/>
  <c r="C153" i="3" a="1"/>
  <c r="C153" i="3"/>
  <c r="B154" i="3" a="1"/>
  <c r="B154" i="3"/>
  <c r="C154" i="3" a="1"/>
  <c r="C154" i="3"/>
  <c r="B155" i="3" a="1"/>
  <c r="B155" i="3"/>
  <c r="C155" i="3" a="1"/>
  <c r="C155" i="3"/>
  <c r="B156" i="3" a="1"/>
  <c r="B156" i="3"/>
  <c r="C156" i="3" a="1"/>
  <c r="C156" i="3"/>
  <c r="B157" i="3" a="1"/>
  <c r="B157" i="3"/>
  <c r="C157" i="3" a="1"/>
  <c r="C157" i="3"/>
  <c r="B158" i="3" a="1"/>
  <c r="B158" i="3"/>
  <c r="C158" i="3" a="1"/>
  <c r="C158" i="3"/>
  <c r="B159" i="3" a="1"/>
  <c r="B159" i="3"/>
  <c r="C159" i="3" a="1"/>
  <c r="C159" i="3"/>
  <c r="B160" i="3" a="1"/>
  <c r="B160" i="3"/>
  <c r="C160" i="3" a="1"/>
  <c r="C160" i="3"/>
  <c r="B161" i="3" a="1"/>
  <c r="B161" i="3"/>
  <c r="C161" i="3" a="1"/>
  <c r="C161" i="3"/>
  <c r="B162" i="3" a="1"/>
  <c r="B162" i="3"/>
  <c r="C162" i="3" a="1"/>
  <c r="C162" i="3"/>
  <c r="B163" i="3" a="1"/>
  <c r="B163" i="3"/>
  <c r="C163" i="3" a="1"/>
  <c r="C163" i="3"/>
  <c r="B164" i="3" a="1"/>
  <c r="B164" i="3"/>
  <c r="C164" i="3" a="1"/>
  <c r="C164" i="3"/>
  <c r="B165" i="3" a="1"/>
  <c r="B165" i="3"/>
  <c r="C165" i="3" a="1"/>
  <c r="C165" i="3"/>
  <c r="B166" i="3" a="1"/>
  <c r="B166" i="3"/>
  <c r="C166" i="3" a="1"/>
  <c r="C166" i="3"/>
  <c r="B167" i="3" a="1"/>
  <c r="B167" i="3"/>
  <c r="C167" i="3" a="1"/>
  <c r="C167" i="3"/>
  <c r="B168" i="3" a="1"/>
  <c r="B168" i="3"/>
  <c r="C168" i="3" a="1"/>
  <c r="C168" i="3"/>
  <c r="B169" i="3" a="1"/>
  <c r="B169" i="3"/>
  <c r="C169" i="3" a="1"/>
  <c r="C169" i="3"/>
  <c r="B170" i="3" a="1"/>
  <c r="B170" i="3"/>
  <c r="C170" i="3" a="1"/>
  <c r="C170" i="3"/>
  <c r="B171" i="3" a="1"/>
  <c r="B171" i="3"/>
  <c r="C171" i="3" a="1"/>
  <c r="C171" i="3"/>
  <c r="B172" i="3" a="1"/>
  <c r="B172" i="3"/>
  <c r="C172" i="3" a="1"/>
  <c r="C172" i="3"/>
  <c r="B173" i="3" a="1"/>
  <c r="B173" i="3"/>
  <c r="C173" i="3" a="1"/>
  <c r="C173" i="3"/>
  <c r="B174" i="3" a="1"/>
  <c r="B174" i="3"/>
  <c r="C174" i="3" a="1"/>
  <c r="C174" i="3"/>
  <c r="B175" i="3" a="1"/>
  <c r="B175" i="3"/>
  <c r="C175" i="3" a="1"/>
  <c r="C175" i="3"/>
  <c r="B176" i="3" a="1"/>
  <c r="B176" i="3"/>
  <c r="C176" i="3" a="1"/>
  <c r="C176" i="3"/>
  <c r="B177" i="3" a="1"/>
  <c r="B177" i="3"/>
  <c r="C177" i="3" a="1"/>
  <c r="C177" i="3"/>
  <c r="B178" i="3" a="1"/>
  <c r="B178" i="3"/>
  <c r="C178" i="3" a="1"/>
  <c r="C178" i="3"/>
  <c r="B179" i="3" a="1"/>
  <c r="B179" i="3"/>
  <c r="C179" i="3" a="1"/>
  <c r="C179" i="3"/>
  <c r="B180" i="3" a="1"/>
  <c r="B180" i="3"/>
  <c r="C180" i="3" a="1"/>
  <c r="C180" i="3"/>
  <c r="B181" i="3" a="1"/>
  <c r="B181" i="3"/>
  <c r="C181" i="3" a="1"/>
  <c r="C181" i="3"/>
  <c r="B182" i="3" a="1"/>
  <c r="B182" i="3"/>
  <c r="C182" i="3" a="1"/>
  <c r="C182" i="3"/>
  <c r="B183" i="3" a="1"/>
  <c r="B183" i="3"/>
  <c r="C183" i="3" a="1"/>
  <c r="C183" i="3"/>
  <c r="B184" i="3" a="1"/>
  <c r="B184" i="3"/>
  <c r="C184" i="3" a="1"/>
  <c r="C184" i="3"/>
  <c r="B185" i="3" a="1"/>
  <c r="B185" i="3"/>
  <c r="C185" i="3" a="1"/>
  <c r="C185" i="3"/>
  <c r="B186" i="3" a="1"/>
  <c r="B186" i="3"/>
  <c r="C186" i="3" a="1"/>
  <c r="C186" i="3"/>
  <c r="B187" i="3" a="1"/>
  <c r="B187" i="3"/>
  <c r="C187" i="3" a="1"/>
  <c r="C187" i="3"/>
  <c r="B188" i="3" a="1"/>
  <c r="B188" i="3"/>
  <c r="C188" i="3" a="1"/>
  <c r="C188" i="3"/>
  <c r="B189" i="3" a="1"/>
  <c r="B189" i="3"/>
  <c r="C189" i="3" a="1"/>
  <c r="C189" i="3"/>
  <c r="B190" i="3" a="1"/>
  <c r="B190" i="3"/>
  <c r="C190" i="3" a="1"/>
  <c r="C190" i="3"/>
  <c r="B191" i="3" a="1"/>
  <c r="B191" i="3"/>
  <c r="C191" i="3" a="1"/>
  <c r="C191" i="3"/>
  <c r="B192" i="3" a="1"/>
  <c r="B192" i="3"/>
  <c r="C192" i="3" a="1"/>
  <c r="C192" i="3"/>
  <c r="B193" i="3" a="1"/>
  <c r="B193" i="3"/>
  <c r="C193" i="3" a="1"/>
  <c r="C193" i="3"/>
  <c r="B194" i="3" a="1"/>
  <c r="B194" i="3"/>
  <c r="C194" i="3" a="1"/>
  <c r="C194" i="3"/>
  <c r="B195" i="3" a="1"/>
  <c r="B195" i="3"/>
  <c r="C195" i="3" a="1"/>
  <c r="C195" i="3"/>
  <c r="B196" i="3" a="1"/>
  <c r="B196" i="3"/>
  <c r="C196" i="3" a="1"/>
  <c r="C196" i="3"/>
  <c r="B197" i="3" a="1"/>
  <c r="B197" i="3"/>
  <c r="C197" i="3" a="1"/>
  <c r="C197" i="3"/>
  <c r="B198" i="3" a="1"/>
  <c r="B198" i="3"/>
  <c r="C198" i="3" a="1"/>
  <c r="C198" i="3"/>
  <c r="B199" i="3" a="1"/>
  <c r="B199" i="3"/>
  <c r="C199" i="3" a="1"/>
  <c r="C199" i="3"/>
  <c r="B200" i="3" a="1"/>
  <c r="B200" i="3"/>
  <c r="C200" i="3" a="1"/>
  <c r="C200" i="3"/>
  <c r="B201" i="3" a="1"/>
  <c r="B201" i="3"/>
  <c r="C201" i="3" a="1"/>
  <c r="C201" i="3"/>
  <c r="B202" i="3" a="1"/>
  <c r="B202" i="3"/>
  <c r="C202" i="3" a="1"/>
  <c r="C202" i="3"/>
  <c r="B203" i="3" a="1"/>
  <c r="B203" i="3"/>
  <c r="C203" i="3" a="1"/>
  <c r="C203" i="3"/>
  <c r="B204" i="3" a="1"/>
  <c r="B204" i="3"/>
  <c r="C204" i="3" a="1"/>
  <c r="C204" i="3"/>
  <c r="B205" i="3" a="1"/>
  <c r="B205" i="3"/>
  <c r="C205" i="3" a="1"/>
  <c r="C205" i="3"/>
  <c r="B206" i="3" a="1"/>
  <c r="B206" i="3"/>
  <c r="C206" i="3" a="1"/>
  <c r="C206" i="3"/>
  <c r="B207" i="3" a="1"/>
  <c r="B207" i="3"/>
  <c r="C207" i="3" a="1"/>
  <c r="C207" i="3"/>
  <c r="B208" i="3" a="1"/>
  <c r="B208" i="3"/>
  <c r="C208" i="3" a="1"/>
  <c r="C208" i="3"/>
  <c r="B209" i="3" a="1"/>
  <c r="B209" i="3"/>
  <c r="C209" i="3" a="1"/>
  <c r="C209" i="3"/>
  <c r="B210" i="3" a="1"/>
  <c r="B210" i="3"/>
  <c r="C210" i="3" a="1"/>
  <c r="C210" i="3"/>
  <c r="B211" i="3" a="1"/>
  <c r="B211" i="3"/>
  <c r="C211" i="3" a="1"/>
  <c r="C211" i="3"/>
  <c r="B212" i="3" a="1"/>
  <c r="B212" i="3"/>
  <c r="C212" i="3" a="1"/>
  <c r="C212" i="3"/>
  <c r="B213" i="3" a="1"/>
  <c r="B213" i="3"/>
  <c r="C213" i="3" a="1"/>
  <c r="C213" i="3"/>
  <c r="B214" i="3" a="1"/>
  <c r="B214" i="3"/>
  <c r="C214" i="3" a="1"/>
  <c r="C214" i="3"/>
  <c r="B215" i="3" a="1"/>
  <c r="B215" i="3"/>
  <c r="C215" i="3" a="1"/>
  <c r="C215" i="3"/>
  <c r="B216" i="3" a="1"/>
  <c r="B216" i="3"/>
  <c r="C216" i="3" a="1"/>
  <c r="C216" i="3"/>
  <c r="B217" i="3" a="1"/>
  <c r="B217" i="3"/>
  <c r="C217" i="3" a="1"/>
  <c r="C217" i="3"/>
  <c r="B218" i="3" a="1"/>
  <c r="B218" i="3"/>
  <c r="C218" i="3" a="1"/>
  <c r="C218" i="3"/>
  <c r="B219" i="3" a="1"/>
  <c r="B219" i="3"/>
  <c r="C219" i="3" a="1"/>
  <c r="C219" i="3"/>
  <c r="B220" i="3" a="1"/>
  <c r="B220" i="3"/>
  <c r="C220" i="3" a="1"/>
  <c r="C220" i="3"/>
  <c r="B221" i="3" a="1"/>
  <c r="B221" i="3"/>
  <c r="C221" i="3" a="1"/>
  <c r="C221" i="3"/>
  <c r="B222" i="3" a="1"/>
  <c r="B222" i="3"/>
  <c r="C222" i="3" a="1"/>
  <c r="C222" i="3"/>
  <c r="B223" i="3" a="1"/>
  <c r="B223" i="3"/>
  <c r="C223" i="3" a="1"/>
  <c r="C223" i="3"/>
  <c r="B224" i="3" a="1"/>
  <c r="B224" i="3"/>
  <c r="C224" i="3" a="1"/>
  <c r="C224" i="3"/>
  <c r="B225" i="3" a="1"/>
  <c r="B225" i="3"/>
  <c r="C225" i="3" a="1"/>
  <c r="C225" i="3"/>
  <c r="B226" i="3" a="1"/>
  <c r="B226" i="3"/>
  <c r="C226" i="3" a="1"/>
  <c r="C226" i="3"/>
  <c r="B227" i="3" a="1"/>
  <c r="B227" i="3"/>
  <c r="C227" i="3" a="1"/>
  <c r="C227" i="3"/>
  <c r="B228" i="3" a="1"/>
  <c r="B228" i="3"/>
  <c r="C228" i="3" a="1"/>
  <c r="C228" i="3"/>
  <c r="B229" i="3" a="1"/>
  <c r="B229" i="3"/>
  <c r="C229" i="3" a="1"/>
  <c r="C229" i="3"/>
  <c r="B230" i="3" a="1"/>
  <c r="B230" i="3"/>
  <c r="C230" i="3" a="1"/>
  <c r="C230" i="3"/>
  <c r="B231" i="3" a="1"/>
  <c r="B231" i="3"/>
  <c r="C231" i="3" a="1"/>
  <c r="C231" i="3"/>
  <c r="B232" i="3" a="1"/>
  <c r="B232" i="3"/>
  <c r="C232" i="3" a="1"/>
  <c r="C232" i="3"/>
  <c r="B233" i="3" a="1"/>
  <c r="B233" i="3"/>
  <c r="C233" i="3" a="1"/>
  <c r="C233" i="3"/>
  <c r="B234" i="3" a="1"/>
  <c r="B234" i="3"/>
  <c r="C234" i="3" a="1"/>
  <c r="C234" i="3"/>
  <c r="B235" i="3" a="1"/>
  <c r="B235" i="3"/>
  <c r="C235" i="3" a="1"/>
  <c r="C235" i="3"/>
  <c r="B236" i="3" a="1"/>
  <c r="B236" i="3"/>
  <c r="C236" i="3" a="1"/>
  <c r="C236" i="3"/>
  <c r="B237" i="3" a="1"/>
  <c r="B237" i="3"/>
  <c r="C237" i="3" a="1"/>
  <c r="C237" i="3"/>
  <c r="B238" i="3" a="1"/>
  <c r="B238" i="3"/>
  <c r="C238" i="3" a="1"/>
  <c r="C238" i="3"/>
  <c r="B239" i="3" a="1"/>
  <c r="B239" i="3"/>
  <c r="C239" i="3" a="1"/>
  <c r="C239" i="3"/>
  <c r="B240" i="3" a="1"/>
  <c r="B240" i="3"/>
  <c r="C240" i="3" a="1"/>
  <c r="C240" i="3"/>
  <c r="B241" i="3" a="1"/>
  <c r="B241" i="3"/>
  <c r="C241" i="3" a="1"/>
  <c r="C241" i="3"/>
  <c r="B242" i="3" a="1"/>
  <c r="B242" i="3"/>
  <c r="C242" i="3" a="1"/>
  <c r="C242" i="3"/>
  <c r="B243" i="3" a="1"/>
  <c r="B243" i="3"/>
  <c r="C243" i="3" a="1"/>
  <c r="C243" i="3"/>
  <c r="B244" i="3" a="1"/>
  <c r="B244" i="3"/>
  <c r="C244" i="3" a="1"/>
  <c r="C244" i="3"/>
  <c r="B245" i="3" a="1"/>
  <c r="B245" i="3"/>
  <c r="C245" i="3" a="1"/>
  <c r="C245" i="3"/>
  <c r="B246" i="3" a="1"/>
  <c r="B246" i="3"/>
  <c r="C246" i="3" a="1"/>
  <c r="C246" i="3"/>
  <c r="B247" i="3" a="1"/>
  <c r="B247" i="3"/>
  <c r="C247" i="3" a="1"/>
  <c r="C247" i="3"/>
  <c r="B248" i="3" a="1"/>
  <c r="B248" i="3"/>
  <c r="C248" i="3" a="1"/>
  <c r="C248" i="3"/>
  <c r="B249" i="3" a="1"/>
  <c r="B249" i="3"/>
  <c r="C249" i="3" a="1"/>
  <c r="C249" i="3"/>
  <c r="B250" i="3" a="1"/>
  <c r="B250" i="3"/>
  <c r="C250" i="3" a="1"/>
  <c r="C250" i="3"/>
  <c r="B251" i="3" a="1"/>
  <c r="B251" i="3"/>
  <c r="C251" i="3" a="1"/>
  <c r="C251" i="3"/>
  <c r="B252" i="3" a="1"/>
  <c r="B252" i="3"/>
  <c r="C252" i="3" a="1"/>
  <c r="C252" i="3"/>
  <c r="B253" i="3" a="1"/>
  <c r="B253" i="3"/>
  <c r="C253" i="3" a="1"/>
  <c r="C253" i="3"/>
  <c r="B254" i="3" a="1"/>
  <c r="B254" i="3"/>
  <c r="C254" i="3" a="1"/>
  <c r="C254" i="3"/>
  <c r="B255" i="3" a="1"/>
  <c r="B255" i="3"/>
  <c r="C255" i="3" a="1"/>
  <c r="C255" i="3"/>
  <c r="B256" i="3" a="1"/>
  <c r="B256" i="3"/>
  <c r="C256" i="3" a="1"/>
  <c r="C256" i="3"/>
  <c r="B257" i="3" a="1"/>
  <c r="B257" i="3"/>
  <c r="C257" i="3" a="1"/>
  <c r="C257" i="3"/>
  <c r="B258" i="3" a="1"/>
  <c r="B258" i="3"/>
  <c r="C258" i="3" a="1"/>
  <c r="C258" i="3"/>
  <c r="B259" i="3" a="1"/>
  <c r="B259" i="3"/>
  <c r="C259" i="3" a="1"/>
  <c r="C259" i="3"/>
  <c r="B260" i="3" a="1"/>
  <c r="B260" i="3"/>
  <c r="C260" i="3" a="1"/>
  <c r="C260" i="3"/>
  <c r="B261" i="3" a="1"/>
  <c r="B261" i="3"/>
  <c r="C261" i="3" a="1"/>
  <c r="C261" i="3"/>
  <c r="B262" i="3" a="1"/>
  <c r="B262" i="3"/>
  <c r="C262" i="3" a="1"/>
  <c r="C262" i="3"/>
  <c r="B263" i="3" a="1"/>
  <c r="B263" i="3"/>
  <c r="C263" i="3" a="1"/>
  <c r="C263" i="3"/>
  <c r="B264" i="3" a="1"/>
  <c r="B264" i="3"/>
  <c r="C264" i="3" a="1"/>
  <c r="C264" i="3"/>
  <c r="B265" i="3" a="1"/>
  <c r="B265" i="3"/>
  <c r="C265" i="3" a="1"/>
  <c r="C265" i="3"/>
  <c r="B266" i="3" a="1"/>
  <c r="B266" i="3"/>
  <c r="C266" i="3" a="1"/>
  <c r="C266" i="3"/>
  <c r="B267" i="3" a="1"/>
  <c r="B267" i="3"/>
  <c r="C267" i="3" a="1"/>
  <c r="C267" i="3"/>
  <c r="B268" i="3" a="1"/>
  <c r="B268" i="3"/>
  <c r="C268" i="3" a="1"/>
  <c r="C268" i="3"/>
  <c r="B269" i="3" a="1"/>
  <c r="B269" i="3"/>
  <c r="C269" i="3" a="1"/>
  <c r="C269" i="3"/>
  <c r="B270" i="3" a="1"/>
  <c r="B270" i="3"/>
  <c r="C270" i="3" a="1"/>
  <c r="C270" i="3"/>
  <c r="B271" i="3" a="1"/>
  <c r="B271" i="3"/>
  <c r="C271" i="3" a="1"/>
  <c r="C271" i="3"/>
  <c r="B272" i="3" a="1"/>
  <c r="B272" i="3"/>
  <c r="C272" i="3" a="1"/>
  <c r="C272" i="3"/>
  <c r="B273" i="3" a="1"/>
  <c r="B273" i="3"/>
  <c r="C273" i="3" a="1"/>
  <c r="C273" i="3"/>
  <c r="B274" i="3" a="1"/>
  <c r="B274" i="3"/>
  <c r="C274" i="3" a="1"/>
  <c r="C274" i="3"/>
  <c r="B275" i="3" a="1"/>
  <c r="B275" i="3"/>
  <c r="C275" i="3" a="1"/>
  <c r="C275" i="3"/>
  <c r="B276" i="3" a="1"/>
  <c r="B276" i="3"/>
  <c r="C276" i="3" a="1"/>
  <c r="C276" i="3"/>
  <c r="B277" i="3" a="1"/>
  <c r="B277" i="3"/>
  <c r="C277" i="3" a="1"/>
  <c r="C277" i="3"/>
  <c r="B278" i="3" a="1"/>
  <c r="B278" i="3"/>
  <c r="C278" i="3" a="1"/>
  <c r="C278" i="3"/>
  <c r="B279" i="3" a="1"/>
  <c r="B279" i="3"/>
  <c r="C279" i="3" a="1"/>
  <c r="C279" i="3"/>
  <c r="B280" i="3" a="1"/>
  <c r="B280" i="3"/>
  <c r="C280" i="3" a="1"/>
  <c r="C280" i="3"/>
  <c r="B281" i="3" a="1"/>
  <c r="B281" i="3"/>
  <c r="C281" i="3" a="1"/>
  <c r="C281" i="3"/>
  <c r="B282" i="3" a="1"/>
  <c r="B282" i="3"/>
  <c r="C282" i="3" a="1"/>
  <c r="C282" i="3"/>
  <c r="B283" i="3" a="1"/>
  <c r="B283" i="3"/>
  <c r="C283" i="3" a="1"/>
  <c r="C283" i="3"/>
  <c r="B284" i="3" a="1"/>
  <c r="B284" i="3"/>
  <c r="C284" i="3" a="1"/>
  <c r="C284" i="3"/>
  <c r="B285" i="3" a="1"/>
  <c r="B285" i="3"/>
  <c r="C285" i="3" a="1"/>
  <c r="C285" i="3"/>
  <c r="B286" i="3" a="1"/>
  <c r="B286" i="3"/>
  <c r="C286" i="3" a="1"/>
  <c r="C286" i="3"/>
  <c r="B287" i="3" a="1"/>
  <c r="B287" i="3"/>
  <c r="C287" i="3" a="1"/>
  <c r="C287" i="3"/>
  <c r="B288" i="3" a="1"/>
  <c r="B288" i="3"/>
  <c r="C288" i="3" a="1"/>
  <c r="C288" i="3"/>
  <c r="B289" i="3" a="1"/>
  <c r="B289" i="3"/>
  <c r="C289" i="3" a="1"/>
  <c r="C289" i="3"/>
  <c r="B290" i="3" a="1"/>
  <c r="B290" i="3"/>
  <c r="C290" i="3" a="1"/>
  <c r="C290" i="3"/>
  <c r="B291" i="3" a="1"/>
  <c r="B291" i="3"/>
  <c r="C291" i="3" a="1"/>
  <c r="C291" i="3"/>
  <c r="B292" i="3" a="1"/>
  <c r="B292" i="3"/>
  <c r="C292" i="3" a="1"/>
  <c r="C292" i="3"/>
  <c r="B293" i="3" a="1"/>
  <c r="B293" i="3"/>
  <c r="C293" i="3" a="1"/>
  <c r="C293" i="3"/>
  <c r="B294" i="3" a="1"/>
  <c r="B294" i="3"/>
  <c r="C294" i="3" a="1"/>
  <c r="C294" i="3"/>
  <c r="B295" i="3" a="1"/>
  <c r="B295" i="3"/>
  <c r="C295" i="3" a="1"/>
  <c r="C295" i="3"/>
  <c r="B296" i="3" a="1"/>
  <c r="B296" i="3"/>
  <c r="C296" i="3" a="1"/>
  <c r="C296" i="3"/>
  <c r="B297" i="3" a="1"/>
  <c r="B297" i="3"/>
  <c r="C297" i="3" a="1"/>
  <c r="C297" i="3"/>
  <c r="B298" i="3" a="1"/>
  <c r="B298" i="3"/>
  <c r="C298" i="3" a="1"/>
  <c r="C298" i="3"/>
  <c r="B299" i="3" a="1"/>
  <c r="B299" i="3"/>
  <c r="C299" i="3" a="1"/>
  <c r="C299" i="3"/>
  <c r="B300" i="3" a="1"/>
  <c r="B300" i="3"/>
  <c r="C300" i="3" a="1"/>
  <c r="C300" i="3"/>
  <c r="B301" i="3" a="1"/>
  <c r="B301" i="3"/>
  <c r="C301" i="3" a="1"/>
  <c r="C301" i="3"/>
  <c r="B302" i="3" a="1"/>
  <c r="B302" i="3"/>
  <c r="C302" i="3" a="1"/>
  <c r="C302" i="3"/>
  <c r="B303" i="3" a="1"/>
  <c r="B303" i="3"/>
  <c r="C303" i="3" a="1"/>
  <c r="C303" i="3"/>
  <c r="B304" i="3" a="1"/>
  <c r="B304" i="3"/>
  <c r="C304" i="3" a="1"/>
  <c r="C304" i="3"/>
  <c r="B305" i="3" a="1"/>
  <c r="B305" i="3"/>
  <c r="C305" i="3" a="1"/>
  <c r="C305" i="3"/>
  <c r="B306" i="3" a="1"/>
  <c r="B306" i="3"/>
  <c r="C306" i="3" a="1"/>
  <c r="C306" i="3"/>
  <c r="B307" i="3" a="1"/>
  <c r="B307" i="3"/>
  <c r="C307" i="3" a="1"/>
  <c r="C307" i="3"/>
  <c r="B308" i="3" a="1"/>
  <c r="B308" i="3"/>
  <c r="C308" i="3" a="1"/>
  <c r="C308" i="3"/>
  <c r="B309" i="3" a="1"/>
  <c r="B309" i="3"/>
  <c r="C309" i="3" a="1"/>
  <c r="C309" i="3"/>
  <c r="B310" i="3" a="1"/>
  <c r="B310" i="3"/>
  <c r="C310" i="3" a="1"/>
  <c r="C310" i="3"/>
  <c r="B311" i="3" a="1"/>
  <c r="B311" i="3"/>
  <c r="C311" i="3" a="1"/>
  <c r="C311" i="3"/>
  <c r="B312" i="3" a="1"/>
  <c r="B312" i="3"/>
  <c r="C312" i="3" a="1"/>
  <c r="C312" i="3"/>
  <c r="B313" i="3" a="1"/>
  <c r="B313" i="3"/>
  <c r="C313" i="3" a="1"/>
  <c r="C313" i="3"/>
  <c r="B314" i="3" a="1"/>
  <c r="B314" i="3"/>
  <c r="C314" i="3" a="1"/>
  <c r="C314" i="3"/>
  <c r="B315" i="3" a="1"/>
  <c r="B315" i="3"/>
  <c r="C315" i="3" a="1"/>
  <c r="C315" i="3"/>
  <c r="B316" i="3" a="1"/>
  <c r="B316" i="3"/>
  <c r="C316" i="3" a="1"/>
  <c r="C316" i="3"/>
  <c r="B317" i="3" a="1"/>
  <c r="B317" i="3"/>
  <c r="C317" i="3" a="1"/>
  <c r="C317" i="3"/>
  <c r="B318" i="3" a="1"/>
  <c r="B318" i="3"/>
  <c r="C318" i="3" a="1"/>
  <c r="C318" i="3"/>
  <c r="B319" i="3" a="1"/>
  <c r="B319" i="3"/>
  <c r="C319" i="3" a="1"/>
  <c r="C319" i="3"/>
  <c r="B320" i="3" a="1"/>
  <c r="B320" i="3"/>
  <c r="C320" i="3" a="1"/>
  <c r="C320" i="3"/>
  <c r="B321" i="3" a="1"/>
  <c r="B321" i="3"/>
  <c r="C321" i="3" a="1"/>
  <c r="C321" i="3"/>
  <c r="B322" i="3" a="1"/>
  <c r="B322" i="3"/>
  <c r="C322" i="3" a="1"/>
  <c r="C322" i="3"/>
  <c r="B323" i="3" a="1"/>
  <c r="B323" i="3"/>
  <c r="C323" i="3" a="1"/>
  <c r="C323" i="3"/>
  <c r="B324" i="3" a="1"/>
  <c r="B324" i="3"/>
  <c r="C324" i="3" a="1"/>
  <c r="C324" i="3"/>
  <c r="B325" i="3" a="1"/>
  <c r="B325" i="3"/>
  <c r="C325" i="3" a="1"/>
  <c r="C325" i="3"/>
  <c r="B326" i="3" a="1"/>
  <c r="B326" i="3"/>
  <c r="C326" i="3" a="1"/>
  <c r="C326" i="3"/>
  <c r="B327" i="3" a="1"/>
  <c r="B327" i="3"/>
  <c r="C327" i="3" a="1"/>
  <c r="C327" i="3"/>
  <c r="B328" i="3" a="1"/>
  <c r="B328" i="3"/>
  <c r="C328" i="3" a="1"/>
  <c r="C328" i="3"/>
  <c r="B329" i="3" a="1"/>
  <c r="B329" i="3"/>
  <c r="C329" i="3" a="1"/>
  <c r="C329" i="3"/>
  <c r="B330" i="3" a="1"/>
  <c r="B330" i="3"/>
  <c r="C330" i="3" a="1"/>
  <c r="C330" i="3"/>
  <c r="B331" i="3" a="1"/>
  <c r="B331" i="3"/>
  <c r="C331" i="3" a="1"/>
  <c r="C331" i="3"/>
  <c r="B332" i="3" a="1"/>
  <c r="B332" i="3"/>
  <c r="C332" i="3" a="1"/>
  <c r="C332" i="3"/>
  <c r="B333" i="3" a="1"/>
  <c r="B333" i="3"/>
  <c r="C333" i="3" a="1"/>
  <c r="C333" i="3"/>
  <c r="B334" i="3" a="1"/>
  <c r="B334" i="3"/>
  <c r="C334" i="3" a="1"/>
  <c r="C334" i="3"/>
  <c r="B335" i="3" a="1"/>
  <c r="B335" i="3"/>
  <c r="C335" i="3" a="1"/>
  <c r="C335" i="3"/>
  <c r="B336" i="3" a="1"/>
  <c r="B336" i="3"/>
  <c r="C336" i="3" a="1"/>
  <c r="C336" i="3"/>
  <c r="B337" i="3" a="1"/>
  <c r="B337" i="3"/>
  <c r="C337" i="3" a="1"/>
  <c r="C337" i="3"/>
  <c r="B338" i="3" a="1"/>
  <c r="B338" i="3"/>
  <c r="C338" i="3" a="1"/>
  <c r="C338" i="3"/>
  <c r="B339" i="3" a="1"/>
  <c r="B339" i="3"/>
  <c r="C339" i="3" a="1"/>
  <c r="C339" i="3"/>
  <c r="B340" i="3" a="1"/>
  <c r="B340" i="3"/>
  <c r="C340" i="3" a="1"/>
  <c r="C340" i="3"/>
  <c r="B341" i="3" a="1"/>
  <c r="B341" i="3"/>
  <c r="C341" i="3" a="1"/>
  <c r="C341" i="3"/>
  <c r="B342" i="3" a="1"/>
  <c r="B342" i="3"/>
  <c r="C342" i="3" a="1"/>
  <c r="C342" i="3"/>
  <c r="B343" i="3" a="1"/>
  <c r="B343" i="3"/>
  <c r="C343" i="3" a="1"/>
  <c r="C343" i="3"/>
  <c r="B344" i="3" a="1"/>
  <c r="B344" i="3"/>
  <c r="C344" i="3" a="1"/>
  <c r="C344" i="3"/>
  <c r="B345" i="3" a="1"/>
  <c r="B345" i="3"/>
  <c r="C345" i="3" a="1"/>
  <c r="C345" i="3"/>
  <c r="B346" i="3" a="1"/>
  <c r="B346" i="3"/>
  <c r="C346" i="3" a="1"/>
  <c r="C346" i="3"/>
  <c r="B347" i="3" a="1"/>
  <c r="B347" i="3"/>
  <c r="C347" i="3" a="1"/>
  <c r="C347" i="3"/>
  <c r="B348" i="3" a="1"/>
  <c r="B348" i="3"/>
  <c r="C348" i="3" a="1"/>
  <c r="C348" i="3"/>
  <c r="B349" i="3" a="1"/>
  <c r="B349" i="3"/>
  <c r="C349" i="3" a="1"/>
  <c r="C349" i="3"/>
  <c r="B350" i="3" a="1"/>
  <c r="B350" i="3"/>
  <c r="C350" i="3" a="1"/>
  <c r="C350" i="3"/>
  <c r="B351" i="3" a="1"/>
  <c r="B351" i="3"/>
  <c r="C351" i="3" a="1"/>
  <c r="C351" i="3"/>
  <c r="B352" i="3" a="1"/>
  <c r="B352" i="3"/>
  <c r="C352" i="3" a="1"/>
  <c r="C352" i="3"/>
  <c r="B353" i="3" a="1"/>
  <c r="B353" i="3"/>
  <c r="C353" i="3" a="1"/>
  <c r="C353" i="3"/>
  <c r="B354" i="3" a="1"/>
  <c r="B354" i="3"/>
  <c r="C354" i="3" a="1"/>
  <c r="C354" i="3"/>
  <c r="B355" i="3" a="1"/>
  <c r="B355" i="3"/>
  <c r="C355" i="3" a="1"/>
  <c r="C355" i="3"/>
  <c r="B356" i="3" a="1"/>
  <c r="B356" i="3"/>
  <c r="C356" i="3" a="1"/>
  <c r="C356" i="3"/>
  <c r="B357" i="3" a="1"/>
  <c r="B357" i="3"/>
  <c r="C357" i="3" a="1"/>
  <c r="C357" i="3"/>
  <c r="B358" i="3" a="1"/>
  <c r="B358" i="3"/>
  <c r="C358" i="3" a="1"/>
  <c r="C358" i="3"/>
  <c r="B359" i="3" a="1"/>
  <c r="B359" i="3"/>
  <c r="C359" i="3" a="1"/>
  <c r="C359" i="3"/>
  <c r="B360" i="3" a="1"/>
  <c r="B360" i="3"/>
  <c r="C360" i="3" a="1"/>
  <c r="C360" i="3"/>
  <c r="B361" i="3" a="1"/>
  <c r="B361" i="3"/>
  <c r="C361" i="3" a="1"/>
  <c r="C361" i="3"/>
  <c r="B362" i="3" a="1"/>
  <c r="B362" i="3"/>
  <c r="C362" i="3" a="1"/>
  <c r="C362" i="3"/>
  <c r="B363" i="3" a="1"/>
  <c r="B363" i="3"/>
  <c r="C363" i="3" a="1"/>
  <c r="C363" i="3"/>
  <c r="B364" i="3" a="1"/>
  <c r="B364" i="3"/>
  <c r="C364" i="3" a="1"/>
  <c r="C364" i="3"/>
  <c r="B365" i="3" a="1"/>
  <c r="B365" i="3"/>
  <c r="C365" i="3" a="1"/>
  <c r="C365" i="3"/>
  <c r="B366" i="3" a="1"/>
  <c r="B366" i="3"/>
  <c r="C366" i="3" a="1"/>
  <c r="C366" i="3"/>
  <c r="B367" i="3" a="1"/>
  <c r="B367" i="3"/>
  <c r="C367" i="3" a="1"/>
  <c r="C367" i="3"/>
  <c r="B368" i="3" a="1"/>
  <c r="B368" i="3"/>
  <c r="C368" i="3" a="1"/>
  <c r="C368" i="3"/>
  <c r="B369" i="3" a="1"/>
  <c r="B369" i="3"/>
  <c r="C369" i="3" a="1"/>
  <c r="C369" i="3"/>
  <c r="B370" i="3" a="1"/>
  <c r="B370" i="3"/>
  <c r="C370" i="3" a="1"/>
  <c r="C370" i="3"/>
  <c r="B371" i="3" a="1"/>
  <c r="B371" i="3"/>
  <c r="C371" i="3" a="1"/>
  <c r="C371" i="3"/>
  <c r="B372" i="3" a="1"/>
  <c r="B372" i="3"/>
  <c r="C372" i="3" a="1"/>
  <c r="C372" i="3"/>
  <c r="B373" i="3" a="1"/>
  <c r="B373" i="3"/>
  <c r="C373" i="3" a="1"/>
  <c r="C373" i="3"/>
  <c r="B374" i="3" a="1"/>
  <c r="B374" i="3"/>
  <c r="C374" i="3" a="1"/>
  <c r="C374" i="3"/>
  <c r="B375" i="3" a="1"/>
  <c r="B375" i="3"/>
  <c r="C375" i="3" a="1"/>
  <c r="C375" i="3"/>
  <c r="B376" i="3" a="1"/>
  <c r="B376" i="3"/>
  <c r="C376" i="3" a="1"/>
  <c r="C376" i="3"/>
  <c r="B377" i="3" a="1"/>
  <c r="B377" i="3"/>
  <c r="C377" i="3" a="1"/>
  <c r="C377" i="3"/>
  <c r="B378" i="3" a="1"/>
  <c r="B378" i="3"/>
  <c r="C378" i="3" a="1"/>
  <c r="C378" i="3"/>
  <c r="B379" i="3" a="1"/>
  <c r="B379" i="3"/>
  <c r="C379" i="3" a="1"/>
  <c r="C379" i="3"/>
  <c r="B380" i="3" a="1"/>
  <c r="B380" i="3"/>
  <c r="C380" i="3" a="1"/>
  <c r="C380" i="3"/>
  <c r="B381" i="3" a="1"/>
  <c r="B381" i="3"/>
  <c r="C381" i="3" a="1"/>
  <c r="C381" i="3"/>
  <c r="B382" i="3" a="1"/>
  <c r="B382" i="3"/>
  <c r="C382" i="3" a="1"/>
  <c r="C382" i="3"/>
  <c r="B383" i="3" a="1"/>
  <c r="B383" i="3"/>
  <c r="C383" i="3" a="1"/>
  <c r="C383" i="3"/>
  <c r="B384" i="3" a="1"/>
  <c r="B384" i="3"/>
  <c r="C384" i="3" a="1"/>
  <c r="C384" i="3"/>
  <c r="B385" i="3" a="1"/>
  <c r="B385" i="3"/>
  <c r="C385" i="3" a="1"/>
  <c r="C385" i="3"/>
  <c r="B386" i="3" a="1"/>
  <c r="B386" i="3"/>
  <c r="C386" i="3" a="1"/>
  <c r="C386" i="3"/>
  <c r="B387" i="3" a="1"/>
  <c r="B387" i="3"/>
  <c r="C387" i="3" a="1"/>
  <c r="C387" i="3"/>
  <c r="B388" i="3" a="1"/>
  <c r="B388" i="3"/>
  <c r="C388" i="3" a="1"/>
  <c r="C388" i="3"/>
  <c r="B389" i="3" a="1"/>
  <c r="B389" i="3"/>
  <c r="C389" i="3" a="1"/>
  <c r="C389" i="3"/>
  <c r="B390" i="3" a="1"/>
  <c r="B390" i="3"/>
  <c r="C390" i="3" a="1"/>
  <c r="C390" i="3"/>
  <c r="B391" i="3" a="1"/>
  <c r="B391" i="3"/>
  <c r="C391" i="3" a="1"/>
  <c r="C391" i="3"/>
  <c r="B392" i="3" a="1"/>
  <c r="B392" i="3"/>
  <c r="C392" i="3" a="1"/>
  <c r="C392" i="3"/>
  <c r="B393" i="3" a="1"/>
  <c r="B393" i="3"/>
  <c r="C393" i="3" a="1"/>
  <c r="C393" i="3"/>
  <c r="B394" i="3" a="1"/>
  <c r="B394" i="3"/>
  <c r="C394" i="3" a="1"/>
  <c r="C394" i="3"/>
  <c r="B395" i="3" a="1"/>
  <c r="B395" i="3"/>
  <c r="C395" i="3" a="1"/>
  <c r="C395" i="3"/>
  <c r="B396" i="3" a="1"/>
  <c r="B396" i="3"/>
  <c r="C396" i="3" a="1"/>
  <c r="C396" i="3"/>
  <c r="B397" i="3" a="1"/>
  <c r="B397" i="3"/>
  <c r="C397" i="3" a="1"/>
  <c r="C397" i="3"/>
  <c r="B398" i="3" a="1"/>
  <c r="B398" i="3"/>
  <c r="C398" i="3" a="1"/>
  <c r="C398" i="3"/>
  <c r="B399" i="3" a="1"/>
  <c r="B399" i="3"/>
  <c r="C399" i="3" a="1"/>
  <c r="C399" i="3"/>
  <c r="B400" i="3" a="1"/>
  <c r="B400" i="3"/>
  <c r="C400" i="3" a="1"/>
  <c r="C400" i="3"/>
  <c r="B401" i="3" a="1"/>
  <c r="B401" i="3"/>
  <c r="C401" i="3" a="1"/>
  <c r="C401" i="3"/>
  <c r="B402" i="3" a="1"/>
  <c r="B402" i="3"/>
  <c r="C402" i="3" a="1"/>
  <c r="C402" i="3"/>
  <c r="B403" i="3" a="1"/>
  <c r="B403" i="3"/>
  <c r="C403" i="3" a="1"/>
  <c r="C403" i="3"/>
  <c r="B404" i="3" a="1"/>
  <c r="B404" i="3"/>
  <c r="C404" i="3" a="1"/>
  <c r="C404" i="3"/>
  <c r="B405" i="3" a="1"/>
  <c r="B405" i="3"/>
  <c r="C405" i="3" a="1"/>
  <c r="C405" i="3"/>
  <c r="B406" i="3" a="1"/>
  <c r="B406" i="3"/>
  <c r="C406" i="3" a="1"/>
  <c r="C406" i="3"/>
  <c r="B407" i="3" a="1"/>
  <c r="B407" i="3"/>
  <c r="C407" i="3" a="1"/>
  <c r="C407" i="3"/>
  <c r="B408" i="3" a="1"/>
  <c r="B408" i="3"/>
  <c r="C408" i="3" a="1"/>
  <c r="C408" i="3"/>
  <c r="B409" i="3" a="1"/>
  <c r="B409" i="3"/>
  <c r="C409" i="3" a="1"/>
  <c r="C409" i="3"/>
  <c r="B410" i="3" a="1"/>
  <c r="B410" i="3"/>
  <c r="C410" i="3" a="1"/>
  <c r="C410" i="3"/>
  <c r="B411" i="3" a="1"/>
  <c r="B411" i="3"/>
  <c r="C411" i="3" a="1"/>
  <c r="C411" i="3"/>
  <c r="B412" i="3" a="1"/>
  <c r="B412" i="3"/>
  <c r="C412" i="3" a="1"/>
  <c r="C412" i="3"/>
  <c r="B413" i="3" a="1"/>
  <c r="B413" i="3"/>
  <c r="C413" i="3" a="1"/>
  <c r="C413" i="3"/>
  <c r="B414" i="3" a="1"/>
  <c r="B414" i="3"/>
  <c r="C414" i="3" a="1"/>
  <c r="C414" i="3"/>
  <c r="B415" i="3" a="1"/>
  <c r="B415" i="3"/>
  <c r="C415" i="3" a="1"/>
  <c r="C415" i="3"/>
  <c r="B416" i="3" a="1"/>
  <c r="B416" i="3"/>
  <c r="C416" i="3" a="1"/>
  <c r="C416" i="3"/>
  <c r="B417" i="3" a="1"/>
  <c r="B417" i="3"/>
  <c r="C417" i="3" a="1"/>
  <c r="C417" i="3"/>
  <c r="B418" i="3" a="1"/>
  <c r="B418" i="3"/>
  <c r="C418" i="3" a="1"/>
  <c r="C418" i="3"/>
  <c r="B419" i="3" a="1"/>
  <c r="B419" i="3"/>
  <c r="C419" i="3" a="1"/>
  <c r="C419" i="3"/>
  <c r="B420" i="3" a="1"/>
  <c r="B420" i="3"/>
  <c r="C420" i="3" a="1"/>
  <c r="C420" i="3"/>
  <c r="B421" i="3" a="1"/>
  <c r="B421" i="3"/>
  <c r="C421" i="3" a="1"/>
  <c r="C421" i="3"/>
  <c r="B422" i="3" a="1"/>
  <c r="B422" i="3"/>
  <c r="C422" i="3" a="1"/>
  <c r="C422" i="3"/>
  <c r="B423" i="3" a="1"/>
  <c r="B423" i="3"/>
  <c r="C423" i="3" a="1"/>
  <c r="C423" i="3"/>
  <c r="B424" i="3" a="1"/>
  <c r="B424" i="3"/>
  <c r="C424" i="3" a="1"/>
  <c r="C424" i="3"/>
  <c r="B425" i="3" a="1"/>
  <c r="B425" i="3"/>
  <c r="C425" i="3" a="1"/>
  <c r="C425" i="3"/>
  <c r="B426" i="3" a="1"/>
  <c r="B426" i="3"/>
  <c r="C426" i="3" a="1"/>
  <c r="C426" i="3"/>
  <c r="B427" i="3" a="1"/>
  <c r="B427" i="3"/>
  <c r="C427" i="3" a="1"/>
  <c r="C427" i="3"/>
  <c r="B428" i="3" a="1"/>
  <c r="B428" i="3"/>
  <c r="C428" i="3" a="1"/>
  <c r="C428" i="3"/>
  <c r="B429" i="3" a="1"/>
  <c r="B429" i="3"/>
  <c r="C429" i="3" a="1"/>
  <c r="C429" i="3"/>
  <c r="B430" i="3" a="1"/>
  <c r="B430" i="3"/>
  <c r="C430" i="3" a="1"/>
  <c r="C430" i="3"/>
  <c r="B431" i="3" a="1"/>
  <c r="B431" i="3"/>
  <c r="C431" i="3" a="1"/>
  <c r="C431" i="3"/>
  <c r="B432" i="3" a="1"/>
  <c r="B432" i="3"/>
  <c r="C432" i="3" a="1"/>
  <c r="C432" i="3"/>
  <c r="B433" i="3" a="1"/>
  <c r="B433" i="3"/>
  <c r="C433" i="3" a="1"/>
  <c r="C433" i="3"/>
  <c r="B434" i="3" a="1"/>
  <c r="B434" i="3"/>
  <c r="C434" i="3" a="1"/>
  <c r="C434" i="3"/>
  <c r="B435" i="3" a="1"/>
  <c r="B435" i="3"/>
  <c r="C435" i="3" a="1"/>
  <c r="C435" i="3"/>
  <c r="B436" i="3" a="1"/>
  <c r="B436" i="3"/>
  <c r="C436" i="3" a="1"/>
  <c r="C436" i="3"/>
  <c r="B437" i="3" a="1"/>
  <c r="B437" i="3"/>
  <c r="C437" i="3" a="1"/>
  <c r="C437" i="3"/>
  <c r="B438" i="3" a="1"/>
  <c r="B438" i="3"/>
  <c r="C438" i="3" a="1"/>
  <c r="C438" i="3"/>
  <c r="B439" i="3" a="1"/>
  <c r="B439" i="3"/>
  <c r="C439" i="3" a="1"/>
  <c r="C439" i="3"/>
  <c r="B440" i="3" a="1"/>
  <c r="B440" i="3"/>
  <c r="C440" i="3" a="1"/>
  <c r="C440" i="3"/>
  <c r="B441" i="3" a="1"/>
  <c r="B441" i="3"/>
  <c r="C441" i="3" a="1"/>
  <c r="C441" i="3"/>
  <c r="B442" i="3" a="1"/>
  <c r="B442" i="3"/>
  <c r="C442" i="3" a="1"/>
  <c r="C442" i="3"/>
  <c r="B443" i="3" a="1"/>
  <c r="B443" i="3"/>
  <c r="C443" i="3" a="1"/>
  <c r="C443" i="3"/>
  <c r="B444" i="3" a="1"/>
  <c r="B444" i="3"/>
  <c r="C444" i="3" a="1"/>
  <c r="C444" i="3"/>
  <c r="B445" i="3" a="1"/>
  <c r="B445" i="3"/>
  <c r="C445" i="3" a="1"/>
  <c r="C445" i="3"/>
  <c r="B446" i="3" a="1"/>
  <c r="B446" i="3"/>
  <c r="C446" i="3" a="1"/>
  <c r="C446" i="3"/>
  <c r="B447" i="3" a="1"/>
  <c r="B447" i="3"/>
  <c r="C447" i="3" a="1"/>
  <c r="C447" i="3"/>
  <c r="B448" i="3" a="1"/>
  <c r="B448" i="3"/>
  <c r="C448" i="3" a="1"/>
  <c r="C448" i="3"/>
  <c r="B449" i="3" a="1"/>
  <c r="B449" i="3"/>
  <c r="C449" i="3" a="1"/>
  <c r="C449" i="3"/>
  <c r="B450" i="3" a="1"/>
  <c r="B450" i="3"/>
  <c r="C450" i="3" a="1"/>
  <c r="C450" i="3"/>
  <c r="B451" i="3" a="1"/>
  <c r="B451" i="3"/>
  <c r="C451" i="3" a="1"/>
  <c r="C451" i="3"/>
  <c r="B452" i="3" a="1"/>
  <c r="B452" i="3"/>
  <c r="C452" i="3" a="1"/>
  <c r="C452" i="3"/>
  <c r="B453" i="3" a="1"/>
  <c r="B453" i="3"/>
  <c r="C453" i="3" a="1"/>
  <c r="C453" i="3"/>
  <c r="B454" i="3" a="1"/>
  <c r="B454" i="3"/>
  <c r="C454" i="3" a="1"/>
  <c r="C454" i="3"/>
  <c r="B455" i="3" a="1"/>
  <c r="B455" i="3"/>
  <c r="C455" i="3" a="1"/>
  <c r="C455" i="3"/>
  <c r="B456" i="3" a="1"/>
  <c r="B456" i="3"/>
  <c r="C456" i="3" a="1"/>
  <c r="C456" i="3"/>
  <c r="B457" i="3" a="1"/>
  <c r="B457" i="3"/>
  <c r="C457" i="3" a="1"/>
  <c r="C457" i="3"/>
  <c r="B458" i="3" a="1"/>
  <c r="B458" i="3"/>
  <c r="C458" i="3" a="1"/>
  <c r="C458" i="3"/>
  <c r="B459" i="3" a="1"/>
  <c r="B459" i="3"/>
  <c r="C459" i="3" a="1"/>
  <c r="C459" i="3"/>
  <c r="B460" i="3" a="1"/>
  <c r="B460" i="3"/>
  <c r="C460" i="3" a="1"/>
  <c r="C460" i="3"/>
  <c r="B461" i="3" a="1"/>
  <c r="B461" i="3"/>
  <c r="C461" i="3" a="1"/>
  <c r="C461" i="3"/>
  <c r="B462" i="3" a="1"/>
  <c r="B462" i="3"/>
  <c r="C462" i="3" a="1"/>
  <c r="C462" i="3"/>
  <c r="B463" i="3" a="1"/>
  <c r="B463" i="3"/>
  <c r="C463" i="3" a="1"/>
  <c r="C463" i="3"/>
  <c r="B464" i="3" a="1"/>
  <c r="B464" i="3"/>
  <c r="C464" i="3" a="1"/>
  <c r="C464" i="3"/>
  <c r="B465" i="3" a="1"/>
  <c r="B465" i="3"/>
  <c r="C465" i="3" a="1"/>
  <c r="C465" i="3"/>
  <c r="B466" i="3" a="1"/>
  <c r="B466" i="3"/>
  <c r="C466" i="3" a="1"/>
  <c r="C466" i="3"/>
  <c r="B467" i="3" a="1"/>
  <c r="B467" i="3"/>
  <c r="C467" i="3" a="1"/>
  <c r="C467" i="3"/>
  <c r="B468" i="3" a="1"/>
  <c r="B468" i="3"/>
  <c r="C468" i="3" a="1"/>
  <c r="C468" i="3"/>
  <c r="B469" i="3" a="1"/>
  <c r="B469" i="3"/>
  <c r="C469" i="3" a="1"/>
  <c r="C469" i="3"/>
  <c r="B470" i="3" a="1"/>
  <c r="B470" i="3"/>
  <c r="C470" i="3" a="1"/>
  <c r="C470" i="3"/>
  <c r="B471" i="3" a="1"/>
  <c r="B471" i="3"/>
  <c r="C471" i="3" a="1"/>
  <c r="C471" i="3"/>
  <c r="B472" i="3" a="1"/>
  <c r="B472" i="3"/>
  <c r="C472" i="3" a="1"/>
  <c r="C472" i="3"/>
  <c r="B473" i="3" a="1"/>
  <c r="B473" i="3"/>
  <c r="C473" i="3" a="1"/>
  <c r="C473" i="3"/>
  <c r="B474" i="3" a="1"/>
  <c r="B474" i="3"/>
  <c r="C474" i="3" a="1"/>
  <c r="C474" i="3"/>
  <c r="B475" i="3" a="1"/>
  <c r="B475" i="3"/>
  <c r="C475" i="3" a="1"/>
  <c r="C475" i="3"/>
  <c r="B476" i="3" a="1"/>
  <c r="B476" i="3"/>
  <c r="C476" i="3" a="1"/>
  <c r="C476" i="3"/>
  <c r="B477" i="3" a="1"/>
  <c r="B477" i="3"/>
  <c r="C477" i="3" a="1"/>
  <c r="C477" i="3"/>
  <c r="B478" i="3" a="1"/>
  <c r="B478" i="3"/>
  <c r="C478" i="3" a="1"/>
  <c r="C478" i="3"/>
  <c r="B479" i="3" a="1"/>
  <c r="B479" i="3"/>
  <c r="C479" i="3" a="1"/>
  <c r="C479" i="3"/>
  <c r="B480" i="3" a="1"/>
  <c r="B480" i="3"/>
  <c r="C480" i="3" a="1"/>
  <c r="C480" i="3"/>
  <c r="B481" i="3" a="1"/>
  <c r="B481" i="3"/>
  <c r="C481" i="3" a="1"/>
  <c r="C481" i="3"/>
  <c r="B482" i="3" a="1"/>
  <c r="B482" i="3"/>
  <c r="C482" i="3" a="1"/>
  <c r="C482" i="3"/>
  <c r="B483" i="3" a="1"/>
  <c r="B483" i="3"/>
  <c r="C483" i="3" a="1"/>
  <c r="C483" i="3"/>
  <c r="B484" i="3" a="1"/>
  <c r="B484" i="3"/>
  <c r="C484" i="3" a="1"/>
  <c r="C484" i="3"/>
  <c r="B485" i="3" a="1"/>
  <c r="B485" i="3"/>
  <c r="C485" i="3" a="1"/>
  <c r="C485" i="3"/>
  <c r="B486" i="3" a="1"/>
  <c r="B486" i="3"/>
  <c r="C486" i="3" a="1"/>
  <c r="C486" i="3"/>
  <c r="B487" i="3" a="1"/>
  <c r="B487" i="3"/>
  <c r="C487" i="3" a="1"/>
  <c r="C487" i="3"/>
  <c r="B488" i="3" a="1"/>
  <c r="B488" i="3"/>
  <c r="C488" i="3" a="1"/>
  <c r="C488" i="3"/>
  <c r="B489" i="3" a="1"/>
  <c r="B489" i="3"/>
  <c r="C489" i="3" a="1"/>
  <c r="C489" i="3"/>
  <c r="B490" i="3" a="1"/>
  <c r="B490" i="3"/>
  <c r="C490" i="3" a="1"/>
  <c r="C490" i="3"/>
  <c r="B491" i="3" a="1"/>
  <c r="B491" i="3"/>
  <c r="C491" i="3" a="1"/>
  <c r="C491" i="3"/>
  <c r="B492" i="3" a="1"/>
  <c r="B492" i="3"/>
  <c r="C492" i="3" a="1"/>
  <c r="C492" i="3"/>
  <c r="B493" i="3" a="1"/>
  <c r="B493" i="3"/>
  <c r="C493" i="3" a="1"/>
  <c r="C493" i="3"/>
  <c r="B494" i="3" a="1"/>
  <c r="B494" i="3"/>
  <c r="C494" i="3" a="1"/>
  <c r="C494" i="3"/>
  <c r="B495" i="3" a="1"/>
  <c r="B495" i="3"/>
  <c r="C495" i="3" a="1"/>
  <c r="C495" i="3"/>
  <c r="B496" i="3" a="1"/>
  <c r="B496" i="3"/>
  <c r="C496" i="3" a="1"/>
  <c r="C496" i="3"/>
  <c r="B497" i="3" a="1"/>
  <c r="B497" i="3"/>
  <c r="C497" i="3" a="1"/>
  <c r="C497" i="3"/>
  <c r="B498" i="3" a="1"/>
  <c r="B498" i="3"/>
  <c r="C498" i="3" a="1"/>
  <c r="C498" i="3"/>
  <c r="B499" i="3" a="1"/>
  <c r="B499" i="3"/>
  <c r="C499" i="3" a="1"/>
  <c r="C499" i="3"/>
  <c r="B500" i="3" a="1"/>
  <c r="B500" i="3"/>
  <c r="C500" i="3" a="1"/>
  <c r="C500" i="3"/>
  <c r="B501" i="3" a="1"/>
  <c r="B501" i="3"/>
  <c r="C501" i="3" a="1"/>
  <c r="C501" i="3"/>
  <c r="B502" i="3" a="1"/>
  <c r="B502" i="3"/>
  <c r="C502" i="3" a="1"/>
  <c r="C502" i="3"/>
  <c r="B503" i="3" a="1"/>
  <c r="B503" i="3"/>
  <c r="C503" i="3" a="1"/>
  <c r="C503" i="3"/>
  <c r="B504" i="3" a="1"/>
  <c r="B504" i="3"/>
  <c r="C504" i="3" a="1"/>
  <c r="C504" i="3"/>
  <c r="B505" i="3" a="1"/>
  <c r="B505" i="3"/>
  <c r="C505" i="3" a="1"/>
  <c r="C505" i="3"/>
  <c r="B506" i="3" a="1"/>
  <c r="B506" i="3"/>
  <c r="C506" i="3" a="1"/>
  <c r="C506" i="3"/>
  <c r="B507" i="3" a="1"/>
  <c r="B507" i="3"/>
  <c r="C507" i="3" a="1"/>
  <c r="C507" i="3"/>
  <c r="B508" i="3" a="1"/>
  <c r="B508" i="3"/>
  <c r="C508" i="3" a="1"/>
  <c r="C508" i="3"/>
  <c r="B509" i="3" a="1"/>
  <c r="B509" i="3"/>
  <c r="C509" i="3" a="1"/>
  <c r="C509" i="3"/>
  <c r="B510" i="3" a="1"/>
  <c r="B510" i="3"/>
  <c r="C510" i="3" a="1"/>
  <c r="C510" i="3"/>
  <c r="B511" i="3" a="1"/>
  <c r="B511" i="3"/>
  <c r="C511" i="3" a="1"/>
  <c r="C511" i="3"/>
  <c r="B512" i="3" a="1"/>
  <c r="B512" i="3"/>
  <c r="C512" i="3" a="1"/>
  <c r="C512" i="3"/>
  <c r="B513" i="3" a="1"/>
  <c r="B513" i="3"/>
  <c r="C513" i="3" a="1"/>
  <c r="C513" i="3"/>
  <c r="B514" i="3" a="1"/>
  <c r="B514" i="3"/>
  <c r="C514" i="3" a="1"/>
  <c r="C514" i="3"/>
  <c r="B515" i="3" a="1"/>
  <c r="B515" i="3"/>
  <c r="C515" i="3" a="1"/>
  <c r="C515" i="3"/>
  <c r="B516" i="3" a="1"/>
  <c r="B516" i="3"/>
  <c r="C516" i="3" a="1"/>
  <c r="C516" i="3"/>
  <c r="B517" i="3" a="1"/>
  <c r="B517" i="3"/>
  <c r="C517" i="3" a="1"/>
  <c r="C517" i="3"/>
  <c r="B518" i="3" a="1"/>
  <c r="B518" i="3"/>
  <c r="C518" i="3" a="1"/>
  <c r="C518" i="3"/>
  <c r="B519" i="3" a="1"/>
  <c r="B519" i="3"/>
  <c r="C519" i="3" a="1"/>
  <c r="C519" i="3"/>
  <c r="B520" i="3" a="1"/>
  <c r="B520" i="3"/>
  <c r="C520" i="3" a="1"/>
  <c r="C520" i="3"/>
  <c r="B521" i="3" a="1"/>
  <c r="B521" i="3"/>
  <c r="C521" i="3" a="1"/>
  <c r="C521" i="3"/>
  <c r="B522" i="3" a="1"/>
  <c r="B522" i="3"/>
  <c r="C522" i="3" a="1"/>
  <c r="C522" i="3"/>
  <c r="B523" i="3" a="1"/>
  <c r="B523" i="3"/>
  <c r="C523" i="3" a="1"/>
  <c r="C523" i="3"/>
  <c r="B524" i="3" a="1"/>
  <c r="B524" i="3"/>
  <c r="C524" i="3" a="1"/>
  <c r="C524" i="3"/>
  <c r="B525" i="3" a="1"/>
  <c r="B525" i="3"/>
  <c r="C525" i="3" a="1"/>
  <c r="C525" i="3"/>
  <c r="B526" i="3" a="1"/>
  <c r="B526" i="3"/>
  <c r="C526" i="3" a="1"/>
  <c r="C526" i="3"/>
  <c r="B527" i="3" a="1"/>
  <c r="B527" i="3"/>
  <c r="C527" i="3" a="1"/>
  <c r="C527" i="3"/>
  <c r="B528" i="3" a="1"/>
  <c r="B528" i="3"/>
  <c r="C528" i="3" a="1"/>
  <c r="C528" i="3"/>
  <c r="B529" i="3" a="1"/>
  <c r="B529" i="3"/>
  <c r="C529" i="3" a="1"/>
  <c r="C529" i="3"/>
  <c r="B530" i="3" a="1"/>
  <c r="B530" i="3"/>
  <c r="C530" i="3" a="1"/>
  <c r="C530" i="3"/>
  <c r="B531" i="3" a="1"/>
  <c r="B531" i="3"/>
  <c r="C531" i="3" a="1"/>
  <c r="C531" i="3"/>
  <c r="B532" i="3" a="1"/>
  <c r="B532" i="3"/>
  <c r="C532" i="3" a="1"/>
  <c r="C532" i="3"/>
  <c r="B533" i="3" a="1"/>
  <c r="B533" i="3"/>
  <c r="C533" i="3" a="1"/>
  <c r="C533" i="3"/>
  <c r="B534" i="3" a="1"/>
  <c r="B534" i="3"/>
  <c r="C534" i="3" a="1"/>
  <c r="C534" i="3"/>
  <c r="B535" i="3" a="1"/>
  <c r="B535" i="3"/>
  <c r="C535" i="3" a="1"/>
  <c r="C535" i="3"/>
  <c r="B536" i="3" a="1"/>
  <c r="B536" i="3"/>
  <c r="C536" i="3" a="1"/>
  <c r="C536" i="3"/>
  <c r="B537" i="3" a="1"/>
  <c r="B537" i="3"/>
  <c r="C537" i="3" a="1"/>
  <c r="C537" i="3"/>
  <c r="B538" i="3" a="1"/>
  <c r="B538" i="3"/>
  <c r="C538" i="3" a="1"/>
  <c r="C538" i="3"/>
  <c r="B539" i="3" a="1"/>
  <c r="B539" i="3"/>
  <c r="C539" i="3" a="1"/>
  <c r="C539" i="3"/>
  <c r="B540" i="3" a="1"/>
  <c r="B540" i="3"/>
  <c r="C540" i="3" a="1"/>
  <c r="C540" i="3"/>
  <c r="B541" i="3" a="1"/>
  <c r="B541" i="3"/>
  <c r="C541" i="3" a="1"/>
  <c r="C541" i="3"/>
  <c r="B542" i="3" a="1"/>
  <c r="B542" i="3"/>
  <c r="C542" i="3" a="1"/>
  <c r="C542" i="3"/>
  <c r="B543" i="3" a="1"/>
  <c r="B543" i="3"/>
  <c r="C543" i="3" a="1"/>
  <c r="C543" i="3"/>
  <c r="B544" i="3" a="1"/>
  <c r="B544" i="3"/>
  <c r="C544" i="3" a="1"/>
  <c r="C544" i="3"/>
  <c r="B545" i="3" a="1"/>
  <c r="B545" i="3"/>
  <c r="C545" i="3" a="1"/>
  <c r="C545" i="3"/>
  <c r="B546" i="3" a="1"/>
  <c r="B546" i="3"/>
  <c r="C546" i="3" a="1"/>
  <c r="C546" i="3"/>
  <c r="B547" i="3" a="1"/>
  <c r="B547" i="3"/>
  <c r="C547" i="3" a="1"/>
  <c r="C547" i="3"/>
  <c r="B548" i="3" a="1"/>
  <c r="B548" i="3"/>
  <c r="C548" i="3" a="1"/>
  <c r="C548" i="3"/>
  <c r="B549" i="3" a="1"/>
  <c r="B549" i="3"/>
  <c r="C549" i="3" a="1"/>
  <c r="C549" i="3"/>
  <c r="B550" i="3" a="1"/>
  <c r="B550" i="3"/>
  <c r="C550" i="3" a="1"/>
  <c r="C550" i="3"/>
  <c r="B551" i="3" a="1"/>
  <c r="B551" i="3"/>
  <c r="C551" i="3" a="1"/>
  <c r="C551" i="3"/>
  <c r="B552" i="3" a="1"/>
  <c r="B552" i="3"/>
  <c r="C552" i="3" a="1"/>
  <c r="C552" i="3"/>
  <c r="B553" i="3" a="1"/>
  <c r="B553" i="3"/>
  <c r="C553" i="3" a="1"/>
  <c r="C553" i="3"/>
  <c r="B554" i="3" a="1"/>
  <c r="B554" i="3"/>
  <c r="C554" i="3" a="1"/>
  <c r="C554" i="3"/>
  <c r="B555" i="3" a="1"/>
  <c r="B555" i="3"/>
  <c r="C555" i="3" a="1"/>
  <c r="C555" i="3"/>
  <c r="B556" i="3" a="1"/>
  <c r="B556" i="3"/>
  <c r="C556" i="3" a="1"/>
  <c r="C556" i="3"/>
  <c r="B557" i="3" a="1"/>
  <c r="B557" i="3"/>
  <c r="C557" i="3" a="1"/>
  <c r="C557" i="3"/>
  <c r="B558" i="3" a="1"/>
  <c r="B558" i="3"/>
  <c r="C558" i="3" a="1"/>
  <c r="C558" i="3"/>
  <c r="B559" i="3" a="1"/>
  <c r="B559" i="3"/>
  <c r="C559" i="3" a="1"/>
  <c r="C559" i="3"/>
  <c r="B560" i="3" a="1"/>
  <c r="B560" i="3"/>
  <c r="C560" i="3" a="1"/>
  <c r="C560" i="3"/>
  <c r="B561" i="3" a="1"/>
  <c r="B561" i="3"/>
  <c r="C561" i="3" a="1"/>
  <c r="C561" i="3"/>
  <c r="B562" i="3" a="1"/>
  <c r="B562" i="3"/>
  <c r="C562" i="3" a="1"/>
  <c r="C562" i="3"/>
  <c r="B563" i="3" a="1"/>
  <c r="B563" i="3"/>
  <c r="C563" i="3" a="1"/>
  <c r="C563" i="3"/>
  <c r="B564" i="3" a="1"/>
  <c r="B564" i="3"/>
  <c r="C564" i="3" a="1"/>
  <c r="C564" i="3"/>
  <c r="B565" i="3" a="1"/>
  <c r="B565" i="3"/>
  <c r="C565" i="3" a="1"/>
  <c r="C565" i="3"/>
  <c r="B566" i="3" a="1"/>
  <c r="B566" i="3"/>
  <c r="C566" i="3" a="1"/>
  <c r="C566" i="3"/>
  <c r="B567" i="3" a="1"/>
  <c r="B567" i="3"/>
  <c r="C567" i="3" a="1"/>
  <c r="C567" i="3"/>
  <c r="B568" i="3" a="1"/>
  <c r="B568" i="3"/>
  <c r="C568" i="3" a="1"/>
  <c r="C568" i="3"/>
  <c r="B569" i="3" a="1"/>
  <c r="B569" i="3"/>
  <c r="C569" i="3" a="1"/>
  <c r="C569" i="3"/>
  <c r="B570" i="3" a="1"/>
  <c r="B570" i="3"/>
  <c r="C570" i="3" a="1"/>
  <c r="C570" i="3"/>
  <c r="B571" i="3" a="1"/>
  <c r="B571" i="3"/>
  <c r="C571" i="3" a="1"/>
  <c r="C571" i="3"/>
  <c r="B572" i="3" a="1"/>
  <c r="B572" i="3"/>
  <c r="C572" i="3" a="1"/>
  <c r="C572" i="3"/>
  <c r="B573" i="3" a="1"/>
  <c r="B573" i="3"/>
  <c r="C573" i="3" a="1"/>
  <c r="C573" i="3"/>
  <c r="B574" i="3" a="1"/>
  <c r="B574" i="3"/>
  <c r="C574" i="3" a="1"/>
  <c r="C574" i="3"/>
  <c r="B575" i="3" a="1"/>
  <c r="B575" i="3"/>
  <c r="C575" i="3" a="1"/>
  <c r="C575" i="3"/>
  <c r="B576" i="3" a="1"/>
  <c r="B576" i="3"/>
  <c r="C576" i="3" a="1"/>
  <c r="C576" i="3"/>
  <c r="B577" i="3" a="1"/>
  <c r="B577" i="3"/>
  <c r="C577" i="3" a="1"/>
  <c r="C577" i="3"/>
  <c r="B578" i="3" a="1"/>
  <c r="B578" i="3"/>
  <c r="C578" i="3" a="1"/>
  <c r="C578" i="3"/>
  <c r="B579" i="3" a="1"/>
  <c r="B579" i="3"/>
  <c r="C579" i="3" a="1"/>
  <c r="C579" i="3"/>
  <c r="B580" i="3" a="1"/>
  <c r="B580" i="3"/>
  <c r="C580" i="3" a="1"/>
  <c r="C580" i="3"/>
  <c r="B581" i="3" a="1"/>
  <c r="B581" i="3"/>
  <c r="C581" i="3" a="1"/>
  <c r="C581" i="3"/>
  <c r="B582" i="3" a="1"/>
  <c r="B582" i="3"/>
  <c r="C582" i="3" a="1"/>
  <c r="C582" i="3"/>
  <c r="B583" i="3" a="1"/>
  <c r="B583" i="3"/>
  <c r="C583" i="3" a="1"/>
  <c r="C583" i="3"/>
  <c r="B584" i="3" a="1"/>
  <c r="B584" i="3"/>
  <c r="C584" i="3" a="1"/>
  <c r="C584" i="3"/>
  <c r="B585" i="3" a="1"/>
  <c r="B585" i="3"/>
  <c r="C585" i="3" a="1"/>
  <c r="C585" i="3"/>
  <c r="B586" i="3" a="1"/>
  <c r="B586" i="3"/>
  <c r="C586" i="3" a="1"/>
  <c r="C586" i="3"/>
  <c r="B587" i="3" a="1"/>
  <c r="B587" i="3"/>
  <c r="C587" i="3" a="1"/>
  <c r="C587" i="3"/>
  <c r="B588" i="3" a="1"/>
  <c r="B588" i="3"/>
  <c r="C588" i="3" a="1"/>
  <c r="C588" i="3"/>
  <c r="B589" i="3" a="1"/>
  <c r="B589" i="3"/>
  <c r="C589" i="3" a="1"/>
  <c r="C589" i="3"/>
  <c r="B590" i="3" a="1"/>
  <c r="B590" i="3"/>
  <c r="C590" i="3" a="1"/>
  <c r="C590" i="3"/>
  <c r="B591" i="3" a="1"/>
  <c r="B591" i="3"/>
  <c r="C591" i="3" a="1"/>
  <c r="C591" i="3"/>
  <c r="B592" i="3" a="1"/>
  <c r="B592" i="3"/>
  <c r="C592" i="3" a="1"/>
  <c r="C592" i="3"/>
  <c r="B593" i="3" a="1"/>
  <c r="B593" i="3"/>
  <c r="C593" i="3" a="1"/>
  <c r="C593" i="3"/>
  <c r="B594" i="3" a="1"/>
  <c r="B594" i="3"/>
  <c r="C594" i="3" a="1"/>
  <c r="C594" i="3"/>
  <c r="B595" i="3" a="1"/>
  <c r="B595" i="3"/>
  <c r="C595" i="3" a="1"/>
  <c r="C595" i="3"/>
  <c r="B596" i="3" a="1"/>
  <c r="B596" i="3"/>
  <c r="C596" i="3" a="1"/>
  <c r="C596" i="3"/>
  <c r="B597" i="3" a="1"/>
  <c r="B597" i="3"/>
  <c r="C597" i="3" a="1"/>
  <c r="C597" i="3"/>
  <c r="B598" i="3" a="1"/>
  <c r="B598" i="3"/>
  <c r="C598" i="3" a="1"/>
  <c r="C598" i="3"/>
  <c r="B599" i="3" a="1"/>
  <c r="B599" i="3"/>
  <c r="C599" i="3" a="1"/>
  <c r="C599" i="3"/>
  <c r="B600" i="3" a="1"/>
  <c r="B600" i="3"/>
  <c r="C600" i="3" a="1"/>
  <c r="C600" i="3"/>
  <c r="B601" i="3" a="1"/>
  <c r="B601" i="3"/>
  <c r="C601" i="3" a="1"/>
  <c r="C601" i="3"/>
  <c r="B602" i="3" a="1"/>
  <c r="B602" i="3"/>
  <c r="C602" i="3" a="1"/>
  <c r="C602" i="3"/>
  <c r="B603" i="3" a="1"/>
  <c r="B603" i="3"/>
  <c r="C603" i="3" a="1"/>
  <c r="C603" i="3"/>
  <c r="B604" i="3" a="1"/>
  <c r="B604" i="3"/>
  <c r="C604" i="3" a="1"/>
  <c r="C604" i="3"/>
  <c r="B605" i="3" a="1"/>
  <c r="B605" i="3"/>
  <c r="C605" i="3" a="1"/>
  <c r="C605" i="3"/>
  <c r="B606" i="3" a="1"/>
  <c r="B606" i="3"/>
  <c r="C606" i="3" a="1"/>
  <c r="C606" i="3"/>
  <c r="B607" i="3" a="1"/>
  <c r="B607" i="3"/>
  <c r="C607" i="3" a="1"/>
  <c r="C607" i="3"/>
  <c r="B608" i="3" a="1"/>
  <c r="B608" i="3"/>
  <c r="C608" i="3" a="1"/>
  <c r="C608" i="3"/>
  <c r="B609" i="3" a="1"/>
  <c r="B609" i="3"/>
  <c r="C609" i="3" a="1"/>
  <c r="C609" i="3"/>
  <c r="B610" i="3" a="1"/>
  <c r="B610" i="3"/>
  <c r="C610" i="3" a="1"/>
  <c r="C610" i="3"/>
  <c r="B611" i="3" a="1"/>
  <c r="B611" i="3"/>
  <c r="C611" i="3" a="1"/>
  <c r="C611" i="3"/>
  <c r="B612" i="3" a="1"/>
  <c r="B612" i="3"/>
  <c r="C612" i="3" a="1"/>
  <c r="C612" i="3"/>
  <c r="B613" i="3" a="1"/>
  <c r="B613" i="3"/>
  <c r="C613" i="3" a="1"/>
  <c r="C613" i="3"/>
  <c r="B614" i="3" a="1"/>
  <c r="B614" i="3"/>
  <c r="C614" i="3" a="1"/>
  <c r="C614" i="3"/>
  <c r="B615" i="3" a="1"/>
  <c r="B615" i="3"/>
  <c r="C615" i="3" a="1"/>
  <c r="C615" i="3"/>
  <c r="B616" i="3" a="1"/>
  <c r="B616" i="3"/>
  <c r="C616" i="3" a="1"/>
  <c r="C616" i="3"/>
  <c r="B617" i="3" a="1"/>
  <c r="B617" i="3"/>
  <c r="C617" i="3" a="1"/>
  <c r="C617" i="3"/>
  <c r="B618" i="3" a="1"/>
  <c r="B618" i="3"/>
  <c r="C618" i="3" a="1"/>
  <c r="C618" i="3"/>
  <c r="B619" i="3" a="1"/>
  <c r="B619" i="3"/>
  <c r="C619" i="3" a="1"/>
  <c r="C619" i="3"/>
  <c r="B620" i="3" a="1"/>
  <c r="B620" i="3"/>
  <c r="C620" i="3" a="1"/>
  <c r="C620" i="3"/>
  <c r="B621" i="3" a="1"/>
  <c r="B621" i="3"/>
  <c r="C621" i="3" a="1"/>
  <c r="C621" i="3"/>
  <c r="B622" i="3" a="1"/>
  <c r="B622" i="3"/>
  <c r="C622" i="3" a="1"/>
  <c r="C622" i="3"/>
  <c r="B623" i="3" a="1"/>
  <c r="B623" i="3"/>
  <c r="C623" i="3" a="1"/>
  <c r="C623" i="3"/>
  <c r="B624" i="3" a="1"/>
  <c r="B624" i="3"/>
  <c r="C624" i="3" a="1"/>
  <c r="C624" i="3"/>
  <c r="B625" i="3" a="1"/>
  <c r="B625" i="3"/>
  <c r="C625" i="3" a="1"/>
  <c r="C625" i="3"/>
  <c r="B626" i="3" a="1"/>
  <c r="B626" i="3"/>
  <c r="C626" i="3" a="1"/>
  <c r="C626" i="3"/>
  <c r="B627" i="3" a="1"/>
  <c r="B627" i="3"/>
  <c r="C627" i="3" a="1"/>
  <c r="C627" i="3"/>
  <c r="B628" i="3" a="1"/>
  <c r="B628" i="3"/>
  <c r="C628" i="3" a="1"/>
  <c r="C628" i="3"/>
  <c r="B629" i="3" a="1"/>
  <c r="B629" i="3"/>
  <c r="C629" i="3" a="1"/>
  <c r="C629" i="3"/>
  <c r="B630" i="3" a="1"/>
  <c r="B630" i="3"/>
  <c r="C630" i="3" a="1"/>
  <c r="C630" i="3"/>
  <c r="B631" i="3" a="1"/>
  <c r="B631" i="3"/>
  <c r="C631" i="3" a="1"/>
  <c r="C631" i="3"/>
  <c r="B632" i="3" a="1"/>
  <c r="B632" i="3"/>
  <c r="C632" i="3" a="1"/>
  <c r="C632" i="3"/>
  <c r="B633" i="3" a="1"/>
  <c r="B633" i="3"/>
  <c r="C633" i="3" a="1"/>
  <c r="C633" i="3"/>
  <c r="B634" i="3" a="1"/>
  <c r="B634" i="3"/>
  <c r="C634" i="3" a="1"/>
  <c r="C634" i="3"/>
  <c r="B635" i="3" a="1"/>
  <c r="B635" i="3"/>
  <c r="C635" i="3" a="1"/>
  <c r="C635" i="3"/>
  <c r="B636" i="3" a="1"/>
  <c r="B636" i="3"/>
  <c r="C636" i="3" a="1"/>
  <c r="C636" i="3"/>
  <c r="B637" i="3" a="1"/>
  <c r="B637" i="3"/>
  <c r="C637" i="3" a="1"/>
  <c r="C637" i="3"/>
  <c r="B638" i="3" a="1"/>
  <c r="B638" i="3"/>
  <c r="C638" i="3" a="1"/>
  <c r="C638" i="3"/>
  <c r="B639" i="3" a="1"/>
  <c r="B639" i="3"/>
  <c r="C639" i="3" a="1"/>
  <c r="C639" i="3"/>
  <c r="B640" i="3" a="1"/>
  <c r="B640" i="3"/>
  <c r="C640" i="3" a="1"/>
  <c r="C640" i="3"/>
  <c r="B641" i="3" a="1"/>
  <c r="B641" i="3"/>
  <c r="C641" i="3" a="1"/>
  <c r="C641" i="3"/>
  <c r="B642" i="3" a="1"/>
  <c r="B642" i="3"/>
  <c r="C642" i="3" a="1"/>
  <c r="C642" i="3"/>
  <c r="B643" i="3" a="1"/>
  <c r="B643" i="3"/>
  <c r="C643" i="3" a="1"/>
  <c r="C643" i="3"/>
  <c r="B644" i="3" a="1"/>
  <c r="B644" i="3"/>
  <c r="C644" i="3" a="1"/>
  <c r="C644" i="3"/>
  <c r="B645" i="3" a="1"/>
  <c r="B645" i="3"/>
  <c r="C645" i="3" a="1"/>
  <c r="C645" i="3"/>
  <c r="B646" i="3" a="1"/>
  <c r="B646" i="3"/>
  <c r="C646" i="3" a="1"/>
  <c r="C646" i="3"/>
  <c r="B647" i="3" a="1"/>
  <c r="B647" i="3"/>
  <c r="C647" i="3" a="1"/>
  <c r="C647" i="3"/>
  <c r="B648" i="3" a="1"/>
  <c r="B648" i="3"/>
  <c r="C648" i="3" a="1"/>
  <c r="C648" i="3"/>
  <c r="B649" i="3" a="1"/>
  <c r="B649" i="3"/>
  <c r="C649" i="3" a="1"/>
  <c r="C649" i="3"/>
  <c r="B650" i="3" a="1"/>
  <c r="B650" i="3"/>
  <c r="C650" i="3" a="1"/>
  <c r="C650" i="3"/>
  <c r="B651" i="3" a="1"/>
  <c r="B651" i="3"/>
  <c r="C651" i="3" a="1"/>
  <c r="C651" i="3"/>
  <c r="B652" i="3" a="1"/>
  <c r="B652" i="3"/>
  <c r="C652" i="3" a="1"/>
  <c r="C652" i="3"/>
  <c r="B653" i="3" a="1"/>
  <c r="B653" i="3"/>
  <c r="C653" i="3" a="1"/>
  <c r="C653" i="3"/>
  <c r="B654" i="3" a="1"/>
  <c r="B654" i="3"/>
  <c r="C654" i="3" a="1"/>
  <c r="C654" i="3"/>
  <c r="B655" i="3" a="1"/>
  <c r="B655" i="3"/>
  <c r="C655" i="3" a="1"/>
  <c r="C655" i="3"/>
  <c r="B656" i="3" a="1"/>
  <c r="B656" i="3"/>
  <c r="C656" i="3" a="1"/>
  <c r="C656" i="3"/>
  <c r="B657" i="3" a="1"/>
  <c r="B657" i="3"/>
  <c r="C657" i="3" a="1"/>
  <c r="C657" i="3"/>
  <c r="B658" i="3" a="1"/>
  <c r="B658" i="3"/>
  <c r="C658" i="3" a="1"/>
  <c r="C658" i="3"/>
  <c r="B659" i="3" a="1"/>
  <c r="B659" i="3"/>
  <c r="C659" i="3" a="1"/>
  <c r="C659" i="3"/>
  <c r="B660" i="3" a="1"/>
  <c r="B660" i="3"/>
  <c r="C660" i="3" a="1"/>
  <c r="C660" i="3"/>
  <c r="B661" i="3" a="1"/>
  <c r="B661" i="3"/>
  <c r="C661" i="3" a="1"/>
  <c r="C661" i="3"/>
  <c r="B662" i="3" a="1"/>
  <c r="B662" i="3"/>
  <c r="C662" i="3" a="1"/>
  <c r="C662" i="3"/>
  <c r="B663" i="3" a="1"/>
  <c r="B663" i="3"/>
  <c r="C663" i="3" a="1"/>
  <c r="C663" i="3"/>
  <c r="B664" i="3" a="1"/>
  <c r="B664" i="3"/>
  <c r="C664" i="3" a="1"/>
  <c r="C664" i="3"/>
  <c r="B665" i="3" a="1"/>
  <c r="B665" i="3"/>
  <c r="C665" i="3" a="1"/>
  <c r="C665" i="3"/>
  <c r="B666" i="3" a="1"/>
  <c r="B666" i="3"/>
  <c r="C666" i="3" a="1"/>
  <c r="C666" i="3"/>
  <c r="B667" i="3" a="1"/>
  <c r="B667" i="3"/>
  <c r="C667" i="3" a="1"/>
  <c r="C667" i="3"/>
  <c r="B668" i="3" a="1"/>
  <c r="B668" i="3"/>
  <c r="C668" i="3" a="1"/>
  <c r="C668" i="3"/>
  <c r="B669" i="3" a="1"/>
  <c r="B669" i="3"/>
  <c r="C669" i="3" a="1"/>
  <c r="C669" i="3"/>
  <c r="B670" i="3" a="1"/>
  <c r="B670" i="3"/>
  <c r="C670" i="3" a="1"/>
  <c r="C670" i="3"/>
  <c r="B671" i="3" a="1"/>
  <c r="B671" i="3"/>
  <c r="C671" i="3" a="1"/>
  <c r="C671" i="3"/>
  <c r="B672" i="3" a="1"/>
  <c r="B672" i="3"/>
  <c r="C672" i="3" a="1"/>
  <c r="C672" i="3"/>
  <c r="B673" i="3" a="1"/>
  <c r="B673" i="3"/>
  <c r="C673" i="3" a="1"/>
  <c r="C673" i="3"/>
  <c r="B674" i="3" a="1"/>
  <c r="B674" i="3"/>
  <c r="C674" i="3" a="1"/>
  <c r="C674" i="3"/>
  <c r="B675" i="3" a="1"/>
  <c r="B675" i="3"/>
  <c r="C675" i="3" a="1"/>
  <c r="C675" i="3"/>
  <c r="B676" i="3" a="1"/>
  <c r="B676" i="3"/>
  <c r="C676" i="3" a="1"/>
  <c r="C676" i="3"/>
  <c r="B677" i="3" a="1"/>
  <c r="B677" i="3"/>
  <c r="C677" i="3" a="1"/>
  <c r="C677" i="3"/>
  <c r="B678" i="3" a="1"/>
  <c r="B678" i="3"/>
  <c r="C678" i="3" a="1"/>
  <c r="C678" i="3"/>
  <c r="B679" i="3" a="1"/>
  <c r="B679" i="3"/>
  <c r="C679" i="3" a="1"/>
  <c r="C679" i="3"/>
  <c r="B680" i="3" a="1"/>
  <c r="B680" i="3"/>
  <c r="C680" i="3" a="1"/>
  <c r="C680" i="3"/>
  <c r="B681" i="3" a="1"/>
  <c r="B681" i="3"/>
  <c r="C681" i="3" a="1"/>
  <c r="C681" i="3"/>
  <c r="B682" i="3" a="1"/>
  <c r="B682" i="3"/>
  <c r="C682" i="3" a="1"/>
  <c r="C682" i="3"/>
  <c r="B683" i="3" a="1"/>
  <c r="B683" i="3"/>
  <c r="C683" i="3" a="1"/>
  <c r="C683" i="3"/>
  <c r="B684" i="3" a="1"/>
  <c r="B684" i="3"/>
  <c r="C684" i="3" a="1"/>
  <c r="C684" i="3"/>
  <c r="B685" i="3" a="1"/>
  <c r="B685" i="3"/>
  <c r="C685" i="3" a="1"/>
  <c r="C685" i="3"/>
  <c r="B686" i="3" a="1"/>
  <c r="B686" i="3"/>
  <c r="C686" i="3" a="1"/>
  <c r="C686" i="3"/>
  <c r="B687" i="3" a="1"/>
  <c r="B687" i="3"/>
  <c r="C687" i="3" a="1"/>
  <c r="C687" i="3"/>
  <c r="B688" i="3" a="1"/>
  <c r="B688" i="3"/>
  <c r="C688" i="3" a="1"/>
  <c r="C688" i="3"/>
  <c r="B689" i="3" a="1"/>
  <c r="B689" i="3"/>
  <c r="C689" i="3" a="1"/>
  <c r="C689" i="3"/>
  <c r="B690" i="3" a="1"/>
  <c r="B690" i="3"/>
  <c r="C690" i="3" a="1"/>
  <c r="C690" i="3"/>
  <c r="B691" i="3" a="1"/>
  <c r="B691" i="3"/>
  <c r="C691" i="3" a="1"/>
  <c r="C691" i="3"/>
  <c r="B692" i="3" a="1"/>
  <c r="B692" i="3"/>
  <c r="C692" i="3" a="1"/>
  <c r="C692" i="3"/>
  <c r="B693" i="3" a="1"/>
  <c r="B693" i="3"/>
  <c r="C693" i="3" a="1"/>
  <c r="C693" i="3"/>
  <c r="B694" i="3" a="1"/>
  <c r="B694" i="3"/>
  <c r="C694" i="3" a="1"/>
  <c r="C694" i="3"/>
  <c r="B695" i="3" a="1"/>
  <c r="B695" i="3"/>
  <c r="C695" i="3" a="1"/>
  <c r="C695" i="3"/>
  <c r="B696" i="3" a="1"/>
  <c r="B696" i="3"/>
  <c r="C696" i="3" a="1"/>
  <c r="C696" i="3"/>
  <c r="B697" i="3" a="1"/>
  <c r="B697" i="3"/>
  <c r="C697" i="3" a="1"/>
  <c r="C697" i="3"/>
  <c r="B698" i="3" a="1"/>
  <c r="B698" i="3"/>
  <c r="C698" i="3" a="1"/>
  <c r="C698" i="3"/>
  <c r="B699" i="3" a="1"/>
  <c r="B699" i="3"/>
  <c r="C699" i="3" a="1"/>
  <c r="C699" i="3"/>
  <c r="B700" i="3" a="1"/>
  <c r="B700" i="3"/>
  <c r="C700" i="3" a="1"/>
  <c r="C700" i="3"/>
  <c r="B701" i="3" a="1"/>
  <c r="B701" i="3"/>
  <c r="C701" i="3" a="1"/>
  <c r="C701" i="3"/>
  <c r="B702" i="3" a="1"/>
  <c r="B702" i="3"/>
  <c r="C702" i="3" a="1"/>
  <c r="C702" i="3"/>
  <c r="B703" i="3" a="1"/>
  <c r="B703" i="3"/>
  <c r="C703" i="3" a="1"/>
  <c r="C703" i="3"/>
  <c r="B704" i="3" a="1"/>
  <c r="B704" i="3"/>
  <c r="C704" i="3" a="1"/>
  <c r="C704" i="3"/>
  <c r="B705" i="3" a="1"/>
  <c r="B705" i="3"/>
  <c r="C705" i="3" a="1"/>
  <c r="C705" i="3"/>
  <c r="B706" i="3" a="1"/>
  <c r="B706" i="3"/>
  <c r="C706" i="3" a="1"/>
  <c r="C706" i="3"/>
  <c r="B707" i="3" a="1"/>
  <c r="B707" i="3"/>
  <c r="C707" i="3" a="1"/>
  <c r="C707" i="3"/>
  <c r="B708" i="3" a="1"/>
  <c r="B708" i="3"/>
  <c r="C708" i="3" a="1"/>
  <c r="C708" i="3"/>
  <c r="B709" i="3" a="1"/>
  <c r="B709" i="3"/>
  <c r="C709" i="3" a="1"/>
  <c r="C709" i="3"/>
  <c r="B710" i="3" a="1"/>
  <c r="B710" i="3"/>
  <c r="C710" i="3" a="1"/>
  <c r="C710" i="3"/>
  <c r="B711" i="3" a="1"/>
  <c r="B711" i="3"/>
  <c r="C711" i="3" a="1"/>
  <c r="C711" i="3"/>
  <c r="B712" i="3" a="1"/>
  <c r="B712" i="3"/>
  <c r="C712" i="3" a="1"/>
  <c r="C712" i="3"/>
  <c r="B713" i="3" a="1"/>
  <c r="B713" i="3"/>
  <c r="C713" i="3" a="1"/>
  <c r="C713" i="3"/>
  <c r="B714" i="3" a="1"/>
  <c r="B714" i="3"/>
  <c r="C714" i="3" a="1"/>
  <c r="C714" i="3"/>
  <c r="B715" i="3" a="1"/>
  <c r="B715" i="3"/>
  <c r="C715" i="3" a="1"/>
  <c r="C715" i="3"/>
  <c r="B716" i="3" a="1"/>
  <c r="B716" i="3"/>
  <c r="C716" i="3" a="1"/>
  <c r="C716" i="3"/>
  <c r="B717" i="3" a="1"/>
  <c r="B717" i="3"/>
  <c r="C717" i="3" a="1"/>
  <c r="C717" i="3"/>
  <c r="B718" i="3" a="1"/>
  <c r="B718" i="3"/>
  <c r="C718" i="3" a="1"/>
  <c r="C718" i="3"/>
  <c r="B719" i="3" a="1"/>
  <c r="B719" i="3"/>
  <c r="C719" i="3" a="1"/>
  <c r="C719" i="3"/>
  <c r="B720" i="3" a="1"/>
  <c r="B720" i="3"/>
  <c r="C720" i="3" a="1"/>
  <c r="C720" i="3"/>
  <c r="B721" i="3" a="1"/>
  <c r="B721" i="3"/>
  <c r="C721" i="3" a="1"/>
  <c r="C721" i="3"/>
  <c r="B722" i="3" a="1"/>
  <c r="B722" i="3"/>
  <c r="C722" i="3" a="1"/>
  <c r="C722" i="3"/>
  <c r="B723" i="3" a="1"/>
  <c r="B723" i="3"/>
  <c r="C723" i="3" a="1"/>
  <c r="C723" i="3"/>
  <c r="B724" i="3" a="1"/>
  <c r="B724" i="3"/>
  <c r="C724" i="3" a="1"/>
  <c r="C724" i="3"/>
  <c r="B725" i="3" a="1"/>
  <c r="B725" i="3"/>
  <c r="C725" i="3" a="1"/>
  <c r="C725" i="3"/>
  <c r="B726" i="3" a="1"/>
  <c r="B726" i="3"/>
  <c r="C726" i="3" a="1"/>
  <c r="C726" i="3"/>
  <c r="B727" i="3" a="1"/>
  <c r="B727" i="3"/>
  <c r="C727" i="3" a="1"/>
  <c r="C727" i="3"/>
  <c r="B728" i="3" a="1"/>
  <c r="B728" i="3"/>
  <c r="C728" i="3" a="1"/>
  <c r="C728" i="3"/>
  <c r="B729" i="3" a="1"/>
  <c r="B729" i="3"/>
  <c r="C729" i="3" a="1"/>
  <c r="C729" i="3"/>
  <c r="B730" i="3" a="1"/>
  <c r="B730" i="3"/>
  <c r="C730" i="3" a="1"/>
  <c r="C730" i="3"/>
  <c r="B731" i="3" a="1"/>
  <c r="B731" i="3"/>
  <c r="C731" i="3" a="1"/>
  <c r="C731" i="3"/>
  <c r="B732" i="3" a="1"/>
  <c r="B732" i="3"/>
  <c r="C732" i="3" a="1"/>
  <c r="C732" i="3"/>
  <c r="B733" i="3" a="1"/>
  <c r="B733" i="3"/>
  <c r="C733" i="3" a="1"/>
  <c r="C733" i="3"/>
  <c r="B734" i="3" a="1"/>
  <c r="B734" i="3"/>
  <c r="C734" i="3" a="1"/>
  <c r="C734" i="3"/>
  <c r="B735" i="3" a="1"/>
  <c r="B735" i="3"/>
  <c r="C735" i="3" a="1"/>
  <c r="C735" i="3"/>
  <c r="B736" i="3" a="1"/>
  <c r="B736" i="3"/>
  <c r="C736" i="3" a="1"/>
  <c r="C736" i="3"/>
  <c r="B737" i="3" a="1"/>
  <c r="B737" i="3"/>
  <c r="C737" i="3" a="1"/>
  <c r="C737" i="3"/>
  <c r="B738" i="3" a="1"/>
  <c r="B738" i="3"/>
  <c r="C738" i="3" a="1"/>
  <c r="C738" i="3"/>
  <c r="B739" i="3" a="1"/>
  <c r="B739" i="3"/>
  <c r="C739" i="3" a="1"/>
  <c r="C739" i="3"/>
  <c r="B740" i="3" a="1"/>
  <c r="B740" i="3"/>
  <c r="C740" i="3" a="1"/>
  <c r="C740" i="3"/>
  <c r="B741" i="3" a="1"/>
  <c r="B741" i="3"/>
  <c r="C741" i="3" a="1"/>
  <c r="C741" i="3"/>
  <c r="B742" i="3" a="1"/>
  <c r="B742" i="3"/>
  <c r="C742" i="3" a="1"/>
  <c r="C742" i="3"/>
  <c r="B743" i="3" a="1"/>
  <c r="B743" i="3"/>
  <c r="C743" i="3" a="1"/>
  <c r="C743" i="3"/>
  <c r="B744" i="3" a="1"/>
  <c r="B744" i="3"/>
  <c r="C744" i="3" a="1"/>
  <c r="C744" i="3"/>
  <c r="B745" i="3" a="1"/>
  <c r="B745" i="3"/>
  <c r="C745" i="3" a="1"/>
  <c r="C745" i="3"/>
  <c r="B746" i="3" a="1"/>
  <c r="B746" i="3"/>
  <c r="C746" i="3" a="1"/>
  <c r="C746" i="3"/>
  <c r="B747" i="3" a="1"/>
  <c r="B747" i="3"/>
  <c r="C747" i="3" a="1"/>
  <c r="C747" i="3"/>
  <c r="B748" i="3" a="1"/>
  <c r="B748" i="3"/>
  <c r="C748" i="3" a="1"/>
  <c r="C748" i="3"/>
  <c r="B749" i="3" a="1"/>
  <c r="B749" i="3"/>
  <c r="C749" i="3" a="1"/>
  <c r="C749" i="3"/>
  <c r="B750" i="3" a="1"/>
  <c r="B750" i="3"/>
  <c r="C750" i="3" a="1"/>
  <c r="C750" i="3"/>
  <c r="B751" i="3" a="1"/>
  <c r="B751" i="3"/>
  <c r="C751" i="3" a="1"/>
  <c r="C751" i="3"/>
  <c r="B752" i="3" a="1"/>
  <c r="B752" i="3"/>
  <c r="C752" i="3" a="1"/>
  <c r="C752" i="3"/>
  <c r="B753" i="3" a="1"/>
  <c r="B753" i="3"/>
  <c r="C753" i="3" a="1"/>
  <c r="C753" i="3"/>
  <c r="B754" i="3" a="1"/>
  <c r="B754" i="3"/>
  <c r="C754" i="3" a="1"/>
  <c r="C754" i="3"/>
  <c r="B755" i="3" a="1"/>
  <c r="B755" i="3"/>
  <c r="C755" i="3" a="1"/>
  <c r="C755" i="3"/>
  <c r="B756" i="3" a="1"/>
  <c r="B756" i="3"/>
  <c r="C756" i="3" a="1"/>
  <c r="C756" i="3"/>
  <c r="B757" i="3" a="1"/>
  <c r="B757" i="3"/>
  <c r="C757" i="3" a="1"/>
  <c r="C757" i="3"/>
  <c r="B758" i="3" a="1"/>
  <c r="B758" i="3"/>
  <c r="C758" i="3" a="1"/>
  <c r="C758" i="3"/>
  <c r="B759" i="3" a="1"/>
  <c r="B759" i="3"/>
  <c r="C759" i="3" a="1"/>
  <c r="C759" i="3"/>
  <c r="B760" i="3" a="1"/>
  <c r="B760" i="3"/>
  <c r="C760" i="3" a="1"/>
  <c r="C760" i="3"/>
  <c r="B761" i="3" a="1"/>
  <c r="B761" i="3"/>
  <c r="C761" i="3" a="1"/>
  <c r="C761" i="3"/>
  <c r="B762" i="3" a="1"/>
  <c r="B762" i="3"/>
  <c r="C762" i="3" a="1"/>
  <c r="C762" i="3"/>
  <c r="B763" i="3" a="1"/>
  <c r="B763" i="3"/>
  <c r="C763" i="3" a="1"/>
  <c r="C763" i="3"/>
  <c r="B764" i="3" a="1"/>
  <c r="B764" i="3"/>
  <c r="C764" i="3" a="1"/>
  <c r="C764" i="3"/>
  <c r="B765" i="3" a="1"/>
  <c r="B765" i="3"/>
  <c r="C765" i="3" a="1"/>
  <c r="C765" i="3"/>
  <c r="B766" i="3" a="1"/>
  <c r="B766" i="3"/>
  <c r="C766" i="3" a="1"/>
  <c r="C766" i="3"/>
  <c r="B767" i="3" a="1"/>
  <c r="B767" i="3"/>
  <c r="C767" i="3" a="1"/>
  <c r="C767" i="3"/>
  <c r="B768" i="3" a="1"/>
  <c r="B768" i="3"/>
  <c r="C768" i="3" a="1"/>
  <c r="C768" i="3"/>
  <c r="B769" i="3" a="1"/>
  <c r="B769" i="3"/>
  <c r="C769" i="3" a="1"/>
  <c r="C769" i="3"/>
  <c r="B770" i="3" a="1"/>
  <c r="B770" i="3"/>
  <c r="C770" i="3" a="1"/>
  <c r="C770" i="3"/>
  <c r="B771" i="3" a="1"/>
  <c r="B771" i="3"/>
  <c r="C771" i="3" a="1"/>
  <c r="C771" i="3"/>
  <c r="B772" i="3" a="1"/>
  <c r="B772" i="3"/>
  <c r="C772" i="3" a="1"/>
  <c r="C772" i="3"/>
  <c r="B773" i="3" a="1"/>
  <c r="B773" i="3"/>
  <c r="C773" i="3" a="1"/>
  <c r="C773" i="3"/>
  <c r="B774" i="3" a="1"/>
  <c r="B774" i="3"/>
  <c r="C774" i="3" a="1"/>
  <c r="C774" i="3"/>
  <c r="B775" i="3" a="1"/>
  <c r="B775" i="3"/>
  <c r="C775" i="3" a="1"/>
  <c r="C775" i="3"/>
  <c r="B776" i="3" a="1"/>
  <c r="B776" i="3"/>
  <c r="C776" i="3" a="1"/>
  <c r="C776" i="3"/>
  <c r="B777" i="3" a="1"/>
  <c r="B777" i="3"/>
  <c r="C777" i="3" a="1"/>
  <c r="C777" i="3"/>
  <c r="B778" i="3" a="1"/>
  <c r="B778" i="3"/>
  <c r="C778" i="3" a="1"/>
  <c r="C778" i="3"/>
  <c r="B779" i="3" a="1"/>
  <c r="B779" i="3"/>
  <c r="C779" i="3" a="1"/>
  <c r="C779" i="3"/>
  <c r="B780" i="3" a="1"/>
  <c r="B780" i="3"/>
  <c r="C780" i="3" a="1"/>
  <c r="C780" i="3"/>
  <c r="B781" i="3" a="1"/>
  <c r="B781" i="3"/>
  <c r="C781" i="3" a="1"/>
  <c r="C781" i="3"/>
  <c r="B782" i="3" a="1"/>
  <c r="B782" i="3"/>
  <c r="C782" i="3" a="1"/>
  <c r="C782" i="3"/>
  <c r="B783" i="3" a="1"/>
  <c r="B783" i="3"/>
  <c r="C783" i="3" a="1"/>
  <c r="C783" i="3"/>
  <c r="B784" i="3" a="1"/>
  <c r="B784" i="3"/>
  <c r="C784" i="3" a="1"/>
  <c r="C784" i="3"/>
  <c r="B785" i="3" a="1"/>
  <c r="B785" i="3"/>
  <c r="C785" i="3" a="1"/>
  <c r="C785" i="3"/>
  <c r="B786" i="3" a="1"/>
  <c r="B786" i="3"/>
  <c r="C786" i="3" a="1"/>
  <c r="C786" i="3"/>
  <c r="B787" i="3" a="1"/>
  <c r="B787" i="3"/>
  <c r="C787" i="3" a="1"/>
  <c r="C787" i="3"/>
  <c r="B788" i="3" a="1"/>
  <c r="B788" i="3"/>
  <c r="C788" i="3" a="1"/>
  <c r="C788" i="3"/>
  <c r="B789" i="3" a="1"/>
  <c r="B789" i="3"/>
  <c r="C789" i="3" a="1"/>
  <c r="C789" i="3"/>
  <c r="B790" i="3" a="1"/>
  <c r="B790" i="3"/>
  <c r="C790" i="3" a="1"/>
  <c r="C790" i="3"/>
  <c r="B791" i="3" a="1"/>
  <c r="B791" i="3"/>
  <c r="C791" i="3" a="1"/>
  <c r="C791" i="3"/>
  <c r="B792" i="3" a="1"/>
  <c r="B792" i="3"/>
  <c r="C792" i="3" a="1"/>
  <c r="C792" i="3"/>
  <c r="B793" i="3" a="1"/>
  <c r="B793" i="3"/>
  <c r="C793" i="3" a="1"/>
  <c r="C793" i="3"/>
  <c r="B794" i="3" a="1"/>
  <c r="B794" i="3"/>
  <c r="C794" i="3" a="1"/>
  <c r="C794" i="3"/>
  <c r="B795" i="3" a="1"/>
  <c r="B795" i="3"/>
  <c r="C795" i="3" a="1"/>
  <c r="C795" i="3"/>
  <c r="B796" i="3" a="1"/>
  <c r="B796" i="3"/>
  <c r="C796" i="3" a="1"/>
  <c r="C796" i="3"/>
  <c r="B797" i="3" a="1"/>
  <c r="B797" i="3"/>
  <c r="C797" i="3" a="1"/>
  <c r="C797" i="3"/>
  <c r="B798" i="3" a="1"/>
  <c r="B798" i="3"/>
  <c r="C798" i="3" a="1"/>
  <c r="C798" i="3"/>
  <c r="B799" i="3" a="1"/>
  <c r="B799" i="3"/>
  <c r="C799" i="3" a="1"/>
  <c r="C799" i="3"/>
  <c r="B800" i="3" a="1"/>
  <c r="B800" i="3"/>
  <c r="C800" i="3" a="1"/>
  <c r="C800" i="3"/>
  <c r="B801" i="3" a="1"/>
  <c r="B801" i="3"/>
  <c r="C801" i="3" a="1"/>
  <c r="C801" i="3"/>
  <c r="B802" i="3" a="1"/>
  <c r="B802" i="3"/>
  <c r="C802" i="3" a="1"/>
  <c r="C802" i="3"/>
  <c r="B803" i="3" a="1"/>
  <c r="B803" i="3"/>
  <c r="C803" i="3" a="1"/>
  <c r="C803" i="3"/>
  <c r="B804" i="3" a="1"/>
  <c r="B804" i="3"/>
  <c r="C804" i="3" a="1"/>
  <c r="C804" i="3"/>
  <c r="B805" i="3" a="1"/>
  <c r="B805" i="3"/>
  <c r="C805" i="3" a="1"/>
  <c r="C805" i="3"/>
  <c r="B806" i="3" a="1"/>
  <c r="B806" i="3"/>
  <c r="C806" i="3" a="1"/>
  <c r="C806" i="3"/>
  <c r="B807" i="3" a="1"/>
  <c r="B807" i="3"/>
  <c r="C807" i="3" a="1"/>
  <c r="C807" i="3"/>
  <c r="B808" i="3" a="1"/>
  <c r="B808" i="3"/>
  <c r="C808" i="3" a="1"/>
  <c r="C808" i="3"/>
  <c r="B809" i="3" a="1"/>
  <c r="B809" i="3"/>
  <c r="C809" i="3" a="1"/>
  <c r="C809" i="3"/>
  <c r="B810" i="3" a="1"/>
  <c r="B810" i="3"/>
  <c r="C810" i="3" a="1"/>
  <c r="C810" i="3"/>
  <c r="B811" i="3" a="1"/>
  <c r="B811" i="3"/>
  <c r="C811" i="3" a="1"/>
  <c r="C811" i="3"/>
  <c r="B812" i="3" a="1"/>
  <c r="B812" i="3"/>
  <c r="C812" i="3" a="1"/>
  <c r="C812" i="3"/>
  <c r="B813" i="3" a="1"/>
  <c r="B813" i="3"/>
  <c r="C813" i="3" a="1"/>
  <c r="C813" i="3"/>
  <c r="B814" i="3" a="1"/>
  <c r="B814" i="3"/>
  <c r="C814" i="3" a="1"/>
  <c r="C814" i="3"/>
  <c r="B815" i="3" a="1"/>
  <c r="B815" i="3"/>
  <c r="C815" i="3" a="1"/>
  <c r="C815" i="3"/>
  <c r="B816" i="3" a="1"/>
  <c r="B816" i="3"/>
  <c r="C816" i="3" a="1"/>
  <c r="C816" i="3"/>
  <c r="B817" i="3" a="1"/>
  <c r="B817" i="3"/>
  <c r="C817" i="3" a="1"/>
  <c r="C817" i="3"/>
  <c r="B818" i="3" a="1"/>
  <c r="B818" i="3"/>
  <c r="C818" i="3" a="1"/>
  <c r="C818" i="3"/>
  <c r="B819" i="3" a="1"/>
  <c r="B819" i="3"/>
  <c r="C819" i="3" a="1"/>
  <c r="C819" i="3"/>
  <c r="B820" i="3" a="1"/>
  <c r="B820" i="3"/>
  <c r="C820" i="3" a="1"/>
  <c r="C820" i="3"/>
  <c r="B821" i="3" a="1"/>
  <c r="B821" i="3"/>
  <c r="C821" i="3" a="1"/>
  <c r="C821" i="3"/>
  <c r="B822" i="3" a="1"/>
  <c r="B822" i="3"/>
  <c r="C822" i="3" a="1"/>
  <c r="C822" i="3"/>
  <c r="B823" i="3" a="1"/>
  <c r="B823" i="3"/>
  <c r="C823" i="3" a="1"/>
  <c r="C823" i="3"/>
  <c r="B824" i="3" a="1"/>
  <c r="B824" i="3"/>
  <c r="C824" i="3" a="1"/>
  <c r="C824" i="3"/>
  <c r="B825" i="3" a="1"/>
  <c r="B825" i="3"/>
  <c r="C825" i="3" a="1"/>
  <c r="C825" i="3"/>
  <c r="B826" i="3" a="1"/>
  <c r="B826" i="3"/>
  <c r="C826" i="3" a="1"/>
  <c r="C826" i="3"/>
  <c r="B827" i="3" a="1"/>
  <c r="B827" i="3"/>
  <c r="C827" i="3" a="1"/>
  <c r="C827" i="3"/>
  <c r="B828" i="3" a="1"/>
  <c r="B828" i="3"/>
  <c r="C828" i="3" a="1"/>
  <c r="C828" i="3"/>
  <c r="B829" i="3" a="1"/>
  <c r="B829" i="3"/>
  <c r="C829" i="3" a="1"/>
  <c r="C829" i="3"/>
  <c r="B830" i="3" a="1"/>
  <c r="B830" i="3"/>
  <c r="C830" i="3" a="1"/>
  <c r="C830" i="3"/>
  <c r="B831" i="3" a="1"/>
  <c r="B831" i="3"/>
  <c r="C831" i="3" a="1"/>
  <c r="C831" i="3"/>
  <c r="B832" i="3" a="1"/>
  <c r="B832" i="3"/>
  <c r="C832" i="3" a="1"/>
  <c r="C832" i="3"/>
  <c r="B833" i="3" a="1"/>
  <c r="B833" i="3"/>
  <c r="C833" i="3" a="1"/>
  <c r="C833" i="3"/>
  <c r="B834" i="3" a="1"/>
  <c r="B834" i="3"/>
  <c r="C834" i="3" a="1"/>
  <c r="C834" i="3"/>
  <c r="B835" i="3" a="1"/>
  <c r="B835" i="3"/>
  <c r="C835" i="3" a="1"/>
  <c r="C835" i="3"/>
  <c r="B836" i="3" a="1"/>
  <c r="B836" i="3"/>
  <c r="C836" i="3" a="1"/>
  <c r="C836" i="3"/>
  <c r="B837" i="3" a="1"/>
  <c r="B837" i="3"/>
  <c r="C837" i="3" a="1"/>
  <c r="C837" i="3"/>
  <c r="B838" i="3" a="1"/>
  <c r="B838" i="3"/>
  <c r="C838" i="3" a="1"/>
  <c r="C838" i="3"/>
  <c r="B839" i="3" a="1"/>
  <c r="B839" i="3"/>
  <c r="C839" i="3" a="1"/>
  <c r="C839" i="3"/>
  <c r="B840" i="3" a="1"/>
  <c r="B840" i="3"/>
  <c r="C840" i="3" a="1"/>
  <c r="C840" i="3"/>
  <c r="B841" i="3" a="1"/>
  <c r="B841" i="3"/>
  <c r="C841" i="3" a="1"/>
  <c r="C841" i="3"/>
  <c r="B842" i="3" a="1"/>
  <c r="B842" i="3"/>
  <c r="C842" i="3" a="1"/>
  <c r="C842" i="3"/>
  <c r="B843" i="3" a="1"/>
  <c r="B843" i="3"/>
  <c r="C843" i="3" a="1"/>
  <c r="C843" i="3"/>
  <c r="B844" i="3" a="1"/>
  <c r="B844" i="3"/>
  <c r="C844" i="3" a="1"/>
  <c r="C844" i="3"/>
  <c r="B845" i="3" a="1"/>
  <c r="B845" i="3"/>
  <c r="C845" i="3" a="1"/>
  <c r="C845" i="3"/>
  <c r="B846" i="3" a="1"/>
  <c r="B846" i="3"/>
  <c r="C846" i="3" a="1"/>
  <c r="C846" i="3"/>
  <c r="B847" i="3" a="1"/>
  <c r="B847" i="3"/>
  <c r="C847" i="3" a="1"/>
  <c r="C847" i="3"/>
  <c r="B848" i="3" a="1"/>
  <c r="B848" i="3"/>
  <c r="C848" i="3" a="1"/>
  <c r="C848" i="3"/>
  <c r="B849" i="3" a="1"/>
  <c r="B849" i="3"/>
  <c r="C849" i="3" a="1"/>
  <c r="C849" i="3"/>
  <c r="B850" i="3" a="1"/>
  <c r="B850" i="3"/>
  <c r="C850" i="3" a="1"/>
  <c r="C850" i="3"/>
  <c r="B851" i="3" a="1"/>
  <c r="B851" i="3"/>
  <c r="C851" i="3" a="1"/>
  <c r="C851" i="3"/>
  <c r="B852" i="3" a="1"/>
  <c r="B852" i="3"/>
  <c r="C852" i="3" a="1"/>
  <c r="C852" i="3"/>
  <c r="B853" i="3" a="1"/>
  <c r="B853" i="3"/>
  <c r="C853" i="3" a="1"/>
  <c r="C853" i="3"/>
  <c r="B854" i="3" a="1"/>
  <c r="B854" i="3"/>
  <c r="C854" i="3" a="1"/>
  <c r="C854" i="3"/>
  <c r="B855" i="3" a="1"/>
  <c r="B855" i="3"/>
  <c r="C855" i="3" a="1"/>
  <c r="C855" i="3"/>
  <c r="B856" i="3" a="1"/>
  <c r="B856" i="3"/>
  <c r="C856" i="3" a="1"/>
  <c r="C856" i="3"/>
  <c r="B857" i="3" a="1"/>
  <c r="B857" i="3"/>
  <c r="C857" i="3" a="1"/>
  <c r="C857" i="3"/>
  <c r="B858" i="3" a="1"/>
  <c r="B858" i="3"/>
  <c r="C858" i="3" a="1"/>
  <c r="C858" i="3"/>
  <c r="B859" i="3" a="1"/>
  <c r="B859" i="3"/>
  <c r="C859" i="3" a="1"/>
  <c r="C859" i="3"/>
  <c r="B860" i="3" a="1"/>
  <c r="B860" i="3"/>
  <c r="C860" i="3" a="1"/>
  <c r="C860" i="3"/>
  <c r="B861" i="3" a="1"/>
  <c r="B861" i="3"/>
  <c r="C861" i="3" a="1"/>
  <c r="C861" i="3"/>
  <c r="B862" i="3" a="1"/>
  <c r="B862" i="3"/>
  <c r="C862" i="3" a="1"/>
  <c r="C862" i="3"/>
  <c r="B863" i="3" a="1"/>
  <c r="B863" i="3"/>
  <c r="C863" i="3" a="1"/>
  <c r="C863" i="3"/>
  <c r="B864" i="3" a="1"/>
  <c r="B864" i="3"/>
  <c r="C864" i="3" a="1"/>
  <c r="C864" i="3"/>
  <c r="B865" i="3" a="1"/>
  <c r="B865" i="3"/>
  <c r="C865" i="3" a="1"/>
  <c r="C865" i="3"/>
  <c r="B866" i="3" a="1"/>
  <c r="B866" i="3"/>
  <c r="C866" i="3" a="1"/>
  <c r="C866" i="3"/>
  <c r="B867" i="3" a="1"/>
  <c r="B867" i="3"/>
  <c r="C867" i="3" a="1"/>
  <c r="C867" i="3"/>
  <c r="B868" i="3" a="1"/>
  <c r="B868" i="3"/>
  <c r="C868" i="3" a="1"/>
  <c r="C868" i="3"/>
  <c r="B869" i="3" a="1"/>
  <c r="B869" i="3"/>
  <c r="C869" i="3" a="1"/>
  <c r="C869" i="3"/>
  <c r="B870" i="3" a="1"/>
  <c r="B870" i="3"/>
  <c r="C870" i="3" a="1"/>
  <c r="C870" i="3"/>
  <c r="B871" i="3" a="1"/>
  <c r="B871" i="3"/>
  <c r="C871" i="3" a="1"/>
  <c r="C871" i="3"/>
  <c r="B872" i="3" a="1"/>
  <c r="B872" i="3"/>
  <c r="C872" i="3" a="1"/>
  <c r="C872" i="3"/>
  <c r="B873" i="3" a="1"/>
  <c r="B873" i="3"/>
  <c r="C873" i="3" a="1"/>
  <c r="C873" i="3"/>
  <c r="B874" i="3" a="1"/>
  <c r="B874" i="3"/>
  <c r="C874" i="3" a="1"/>
  <c r="C874" i="3"/>
  <c r="B875" i="3" a="1"/>
  <c r="B875" i="3"/>
  <c r="C875" i="3" a="1"/>
  <c r="C875" i="3"/>
  <c r="B876" i="3" a="1"/>
  <c r="B876" i="3"/>
  <c r="C876" i="3" a="1"/>
  <c r="C876" i="3"/>
  <c r="B877" i="3" a="1"/>
  <c r="B877" i="3"/>
  <c r="C877" i="3" a="1"/>
  <c r="C877" i="3"/>
  <c r="B878" i="3" a="1"/>
  <c r="B878" i="3"/>
  <c r="C878" i="3" a="1"/>
  <c r="C878" i="3"/>
  <c r="B879" i="3" a="1"/>
  <c r="B879" i="3"/>
  <c r="C879" i="3" a="1"/>
  <c r="C879" i="3"/>
  <c r="B880" i="3" a="1"/>
  <c r="B880" i="3"/>
  <c r="C880" i="3" a="1"/>
  <c r="C880" i="3"/>
  <c r="B881" i="3" a="1"/>
  <c r="B881" i="3"/>
  <c r="C881" i="3" a="1"/>
  <c r="C881" i="3"/>
  <c r="B882" i="3" a="1"/>
  <c r="B882" i="3"/>
  <c r="C882" i="3" a="1"/>
  <c r="C882" i="3"/>
  <c r="B883" i="3" a="1"/>
  <c r="B883" i="3"/>
  <c r="C883" i="3" a="1"/>
  <c r="C883" i="3"/>
  <c r="B884" i="3" a="1"/>
  <c r="B884" i="3"/>
  <c r="C884" i="3" a="1"/>
  <c r="C884" i="3"/>
  <c r="B885" i="3" a="1"/>
  <c r="B885" i="3"/>
  <c r="C885" i="3" a="1"/>
  <c r="C885" i="3"/>
  <c r="B886" i="3" a="1"/>
  <c r="B886" i="3"/>
  <c r="C886" i="3" a="1"/>
  <c r="C886" i="3"/>
  <c r="B887" i="3" a="1"/>
  <c r="B887" i="3"/>
  <c r="C887" i="3" a="1"/>
  <c r="C887" i="3"/>
  <c r="B888" i="3" a="1"/>
  <c r="B888" i="3"/>
  <c r="C888" i="3" a="1"/>
  <c r="C888" i="3"/>
  <c r="B889" i="3" a="1"/>
  <c r="B889" i="3"/>
  <c r="C889" i="3" a="1"/>
  <c r="C889" i="3"/>
  <c r="B890" i="3" a="1"/>
  <c r="B890" i="3"/>
  <c r="C890" i="3" a="1"/>
  <c r="C890" i="3"/>
  <c r="B891" i="3" a="1"/>
  <c r="B891" i="3"/>
  <c r="C891" i="3" a="1"/>
  <c r="C891" i="3"/>
  <c r="B892" i="3" a="1"/>
  <c r="B892" i="3"/>
  <c r="C892" i="3" a="1"/>
  <c r="C892" i="3"/>
  <c r="B893" i="3" a="1"/>
  <c r="B893" i="3"/>
  <c r="C893" i="3" a="1"/>
  <c r="C893" i="3"/>
  <c r="B894" i="3" a="1"/>
  <c r="B894" i="3"/>
  <c r="C894" i="3" a="1"/>
  <c r="C894" i="3"/>
  <c r="B895" i="3" a="1"/>
  <c r="B895" i="3"/>
  <c r="C895" i="3" a="1"/>
  <c r="C895" i="3"/>
  <c r="B896" i="3" a="1"/>
  <c r="B896" i="3"/>
  <c r="C896" i="3" a="1"/>
  <c r="C896" i="3"/>
  <c r="B897" i="3" a="1"/>
  <c r="B897" i="3"/>
  <c r="C897" i="3" a="1"/>
  <c r="C897" i="3"/>
  <c r="B898" i="3" a="1"/>
  <c r="B898" i="3"/>
  <c r="C898" i="3" a="1"/>
  <c r="C898" i="3"/>
  <c r="B899" i="3" a="1"/>
  <c r="B899" i="3"/>
  <c r="C899" i="3" a="1"/>
  <c r="C899" i="3"/>
  <c r="B900" i="3" a="1"/>
  <c r="B900" i="3"/>
  <c r="C900" i="3" a="1"/>
  <c r="C900" i="3"/>
  <c r="B901" i="3" a="1"/>
  <c r="B901" i="3"/>
  <c r="C901" i="3" a="1"/>
  <c r="C901" i="3"/>
  <c r="B902" i="3" a="1"/>
  <c r="B902" i="3"/>
  <c r="C902" i="3" a="1"/>
  <c r="C902" i="3"/>
  <c r="B903" i="3" a="1"/>
  <c r="B903" i="3"/>
  <c r="C903" i="3" a="1"/>
  <c r="C903" i="3"/>
  <c r="B904" i="3" a="1"/>
  <c r="B904" i="3"/>
  <c r="C904" i="3" a="1"/>
  <c r="C904" i="3"/>
  <c r="B905" i="3" a="1"/>
  <c r="B905" i="3"/>
  <c r="C905" i="3" a="1"/>
  <c r="C905" i="3"/>
  <c r="B906" i="3" a="1"/>
  <c r="B906" i="3"/>
  <c r="C906" i="3" a="1"/>
  <c r="C906" i="3"/>
  <c r="B907" i="3" a="1"/>
  <c r="B907" i="3"/>
  <c r="C907" i="3" a="1"/>
  <c r="C907" i="3"/>
  <c r="B908" i="3" a="1"/>
  <c r="B908" i="3"/>
  <c r="C908" i="3" a="1"/>
  <c r="C908" i="3"/>
  <c r="B909" i="3" a="1"/>
  <c r="B909" i="3"/>
  <c r="C909" i="3" a="1"/>
  <c r="C909" i="3"/>
  <c r="B910" i="3" a="1"/>
  <c r="B910" i="3"/>
  <c r="C910" i="3" a="1"/>
  <c r="C910" i="3"/>
  <c r="B911" i="3" a="1"/>
  <c r="B911" i="3"/>
  <c r="C911" i="3" a="1"/>
  <c r="C911" i="3"/>
  <c r="B912" i="3" a="1"/>
  <c r="B912" i="3"/>
  <c r="C912" i="3" a="1"/>
  <c r="C912" i="3"/>
  <c r="B913" i="3" a="1"/>
  <c r="B913" i="3"/>
  <c r="C913" i="3" a="1"/>
  <c r="C913" i="3"/>
  <c r="B914" i="3" a="1"/>
  <c r="B914" i="3"/>
  <c r="C914" i="3" a="1"/>
  <c r="C914" i="3"/>
  <c r="B915" i="3" a="1"/>
  <c r="B915" i="3"/>
  <c r="C915" i="3" a="1"/>
  <c r="C915" i="3"/>
  <c r="B916" i="3" a="1"/>
  <c r="B916" i="3"/>
  <c r="C916" i="3" a="1"/>
  <c r="C916" i="3"/>
  <c r="B917" i="3" a="1"/>
  <c r="B917" i="3"/>
  <c r="C917" i="3" a="1"/>
  <c r="C917" i="3"/>
  <c r="B918" i="3" a="1"/>
  <c r="B918" i="3"/>
  <c r="C918" i="3" a="1"/>
  <c r="C918" i="3"/>
  <c r="B919" i="3" a="1"/>
  <c r="B919" i="3"/>
  <c r="C919" i="3" a="1"/>
  <c r="C919" i="3"/>
  <c r="B920" i="3" a="1"/>
  <c r="B920" i="3"/>
  <c r="C920" i="3" a="1"/>
  <c r="C920" i="3"/>
  <c r="B921" i="3" a="1"/>
  <c r="B921" i="3"/>
  <c r="C921" i="3" a="1"/>
  <c r="C921" i="3"/>
  <c r="B922" i="3" a="1"/>
  <c r="B922" i="3"/>
  <c r="C922" i="3" a="1"/>
  <c r="C922" i="3"/>
  <c r="B923" i="3" a="1"/>
  <c r="B923" i="3"/>
  <c r="C923" i="3" a="1"/>
  <c r="C923" i="3"/>
  <c r="B924" i="3" a="1"/>
  <c r="B924" i="3"/>
  <c r="C924" i="3" a="1"/>
  <c r="C924" i="3"/>
  <c r="B925" i="3" a="1"/>
  <c r="B925" i="3"/>
  <c r="C925" i="3" a="1"/>
  <c r="C925" i="3"/>
  <c r="B926" i="3" a="1"/>
  <c r="B926" i="3"/>
  <c r="C926" i="3" a="1"/>
  <c r="C926" i="3"/>
  <c r="B927" i="3" a="1"/>
  <c r="B927" i="3"/>
  <c r="C927" i="3" a="1"/>
  <c r="C927" i="3"/>
  <c r="B928" i="3" a="1"/>
  <c r="B928" i="3"/>
  <c r="C928" i="3" a="1"/>
  <c r="C928" i="3"/>
  <c r="B929" i="3" a="1"/>
  <c r="B929" i="3"/>
  <c r="C929" i="3" a="1"/>
  <c r="C929" i="3"/>
  <c r="B930" i="3" a="1"/>
  <c r="B930" i="3"/>
  <c r="C930" i="3" a="1"/>
  <c r="C930" i="3"/>
  <c r="B931" i="3" a="1"/>
  <c r="B931" i="3"/>
  <c r="C931" i="3" a="1"/>
  <c r="C931" i="3"/>
  <c r="B932" i="3" a="1"/>
  <c r="B932" i="3"/>
  <c r="C932" i="3" a="1"/>
  <c r="C932" i="3"/>
  <c r="B933" i="3" a="1"/>
  <c r="B933" i="3"/>
  <c r="C933" i="3" a="1"/>
  <c r="C933" i="3"/>
  <c r="B934" i="3" a="1"/>
  <c r="B934" i="3"/>
  <c r="C934" i="3" a="1"/>
  <c r="C934" i="3"/>
  <c r="B935" i="3" a="1"/>
  <c r="B935" i="3"/>
  <c r="C935" i="3" a="1"/>
  <c r="C935" i="3"/>
  <c r="B936" i="3" a="1"/>
  <c r="B936" i="3"/>
  <c r="C936" i="3" a="1"/>
  <c r="C936" i="3"/>
  <c r="B937" i="3" a="1"/>
  <c r="B937" i="3"/>
  <c r="C937" i="3" a="1"/>
  <c r="C937" i="3"/>
  <c r="B938" i="3" a="1"/>
  <c r="B938" i="3"/>
  <c r="C938" i="3" a="1"/>
  <c r="C938" i="3"/>
  <c r="B939" i="3" a="1"/>
  <c r="B939" i="3"/>
  <c r="C939" i="3" a="1"/>
  <c r="C939" i="3"/>
  <c r="B940" i="3" a="1"/>
  <c r="B940" i="3"/>
  <c r="C940" i="3" a="1"/>
  <c r="C940" i="3"/>
  <c r="B941" i="3" a="1"/>
  <c r="B941" i="3"/>
  <c r="C941" i="3" a="1"/>
  <c r="C941" i="3"/>
  <c r="B942" i="3" a="1"/>
  <c r="B942" i="3"/>
  <c r="C942" i="3" a="1"/>
  <c r="C942" i="3"/>
  <c r="B943" i="3" a="1"/>
  <c r="B943" i="3"/>
  <c r="C943" i="3" a="1"/>
  <c r="C943" i="3"/>
  <c r="B944" i="3" a="1"/>
  <c r="B944" i="3"/>
  <c r="C944" i="3" a="1"/>
  <c r="C944" i="3"/>
  <c r="B945" i="3" a="1"/>
  <c r="B945" i="3"/>
  <c r="C945" i="3" a="1"/>
  <c r="C945" i="3"/>
  <c r="B946" i="3" a="1"/>
  <c r="B946" i="3"/>
  <c r="C946" i="3" a="1"/>
  <c r="C946" i="3"/>
  <c r="B947" i="3" a="1"/>
  <c r="B947" i="3"/>
  <c r="C947" i="3" a="1"/>
  <c r="C947" i="3"/>
  <c r="B948" i="3" a="1"/>
  <c r="B948" i="3"/>
  <c r="C948" i="3" a="1"/>
  <c r="C948" i="3"/>
  <c r="B949" i="3" a="1"/>
  <c r="B949" i="3"/>
  <c r="C949" i="3" a="1"/>
  <c r="C949" i="3"/>
  <c r="B950" i="3" a="1"/>
  <c r="B950" i="3"/>
  <c r="C950" i="3" a="1"/>
  <c r="C950" i="3"/>
  <c r="B951" i="3" a="1"/>
  <c r="B951" i="3"/>
  <c r="C951" i="3" a="1"/>
  <c r="C951" i="3"/>
  <c r="B952" i="3" a="1"/>
  <c r="B952" i="3"/>
  <c r="C952" i="3" a="1"/>
  <c r="C952" i="3"/>
  <c r="B953" i="3" a="1"/>
  <c r="B953" i="3"/>
  <c r="C953" i="3" a="1"/>
  <c r="C953" i="3"/>
  <c r="B954" i="3" a="1"/>
  <c r="B954" i="3"/>
  <c r="C954" i="3" a="1"/>
  <c r="C954" i="3"/>
  <c r="B955" i="3" a="1"/>
  <c r="B955" i="3"/>
  <c r="C955" i="3" a="1"/>
  <c r="C955" i="3"/>
  <c r="B956" i="3" a="1"/>
  <c r="B956" i="3"/>
  <c r="C956" i="3" a="1"/>
  <c r="C956" i="3"/>
  <c r="B957" i="3" a="1"/>
  <c r="B957" i="3"/>
  <c r="C957" i="3" a="1"/>
  <c r="C957" i="3"/>
  <c r="B958" i="3" a="1"/>
  <c r="B958" i="3"/>
  <c r="C958" i="3" a="1"/>
  <c r="C958" i="3"/>
  <c r="B959" i="3" a="1"/>
  <c r="B959" i="3"/>
  <c r="C959" i="3" a="1"/>
  <c r="C959" i="3"/>
  <c r="B960" i="3" a="1"/>
  <c r="B960" i="3"/>
  <c r="C960" i="3" a="1"/>
  <c r="C960" i="3"/>
  <c r="B961" i="3" a="1"/>
  <c r="B961" i="3"/>
  <c r="C961" i="3" a="1"/>
  <c r="C961" i="3"/>
  <c r="B962" i="3" a="1"/>
  <c r="B962" i="3"/>
  <c r="C962" i="3" a="1"/>
  <c r="C962" i="3"/>
  <c r="B963" i="3" a="1"/>
  <c r="B963" i="3"/>
  <c r="C963" i="3" a="1"/>
  <c r="C963" i="3"/>
  <c r="B964" i="3" a="1"/>
  <c r="B964" i="3"/>
  <c r="C964" i="3" a="1"/>
  <c r="C964" i="3"/>
  <c r="B965" i="3" a="1"/>
  <c r="B965" i="3"/>
  <c r="C965" i="3" a="1"/>
  <c r="C965" i="3"/>
  <c r="B966" i="3" a="1"/>
  <c r="B966" i="3"/>
  <c r="C966" i="3" a="1"/>
  <c r="C966" i="3"/>
  <c r="B967" i="3" a="1"/>
  <c r="B967" i="3"/>
  <c r="C967" i="3" a="1"/>
  <c r="C967" i="3"/>
  <c r="B968" i="3" a="1"/>
  <c r="B968" i="3"/>
  <c r="C968" i="3" a="1"/>
  <c r="C968" i="3"/>
  <c r="B969" i="3" a="1"/>
  <c r="B969" i="3"/>
  <c r="C969" i="3" a="1"/>
  <c r="C969" i="3"/>
  <c r="B970" i="3" a="1"/>
  <c r="B970" i="3"/>
  <c r="C970" i="3" a="1"/>
  <c r="C970" i="3"/>
  <c r="B971" i="3" a="1"/>
  <c r="B971" i="3"/>
  <c r="C971" i="3" a="1"/>
  <c r="C971" i="3"/>
  <c r="B972" i="3" a="1"/>
  <c r="B972" i="3"/>
  <c r="C972" i="3" a="1"/>
  <c r="C972" i="3"/>
  <c r="B973" i="3" a="1"/>
  <c r="B973" i="3"/>
  <c r="C973" i="3" a="1"/>
  <c r="C973" i="3"/>
  <c r="B974" i="3" a="1"/>
  <c r="B974" i="3"/>
  <c r="C974" i="3" a="1"/>
  <c r="C974" i="3"/>
  <c r="B975" i="3" a="1"/>
  <c r="B975" i="3"/>
  <c r="C975" i="3" a="1"/>
  <c r="C975" i="3"/>
  <c r="B976" i="3" a="1"/>
  <c r="B976" i="3"/>
  <c r="C976" i="3" a="1"/>
  <c r="C976" i="3"/>
  <c r="B977" i="3" a="1"/>
  <c r="B977" i="3"/>
  <c r="C977" i="3" a="1"/>
  <c r="C977" i="3"/>
  <c r="B978" i="3" a="1"/>
  <c r="B978" i="3"/>
  <c r="C978" i="3" a="1"/>
  <c r="C978" i="3"/>
  <c r="B979" i="3" a="1"/>
  <c r="B979" i="3"/>
  <c r="C979" i="3" a="1"/>
  <c r="C979" i="3"/>
  <c r="B980" i="3" a="1"/>
  <c r="B980" i="3"/>
  <c r="C980" i="3" a="1"/>
  <c r="C980" i="3"/>
  <c r="B981" i="3" a="1"/>
  <c r="B981" i="3"/>
  <c r="C981" i="3" a="1"/>
  <c r="C981" i="3"/>
  <c r="B982" i="3" a="1"/>
  <c r="B982" i="3"/>
  <c r="C982" i="3" a="1"/>
  <c r="C982" i="3"/>
  <c r="B983" i="3" a="1"/>
  <c r="B983" i="3"/>
  <c r="C983" i="3" a="1"/>
  <c r="C983" i="3"/>
  <c r="B984" i="3" a="1"/>
  <c r="B984" i="3"/>
  <c r="C984" i="3" a="1"/>
  <c r="C984" i="3"/>
  <c r="B985" i="3" a="1"/>
  <c r="B985" i="3"/>
  <c r="C985" i="3" a="1"/>
  <c r="C985" i="3"/>
  <c r="B986" i="3" a="1"/>
  <c r="B986" i="3"/>
  <c r="C986" i="3" a="1"/>
  <c r="C986" i="3"/>
  <c r="B987" i="3" a="1"/>
  <c r="B987" i="3"/>
  <c r="C987" i="3" a="1"/>
  <c r="C987" i="3"/>
  <c r="B988" i="3" a="1"/>
  <c r="B988" i="3"/>
  <c r="C988" i="3" a="1"/>
  <c r="C988" i="3"/>
  <c r="B989" i="3" a="1"/>
  <c r="B989" i="3"/>
  <c r="C989" i="3" a="1"/>
  <c r="C989" i="3"/>
  <c r="B990" i="3" a="1"/>
  <c r="B990" i="3"/>
  <c r="C990" i="3" a="1"/>
  <c r="C990" i="3"/>
  <c r="B991" i="3" a="1"/>
  <c r="B991" i="3"/>
  <c r="C991" i="3" a="1"/>
  <c r="C991" i="3"/>
  <c r="B992" i="3" a="1"/>
  <c r="B992" i="3"/>
  <c r="C992" i="3" a="1"/>
  <c r="C992" i="3"/>
  <c r="B993" i="3" a="1"/>
  <c r="B993" i="3"/>
  <c r="C993" i="3" a="1"/>
  <c r="C993" i="3"/>
  <c r="B994" i="3" a="1"/>
  <c r="B994" i="3"/>
  <c r="C994" i="3" a="1"/>
  <c r="C994" i="3"/>
  <c r="B995" i="3" a="1"/>
  <c r="B995" i="3"/>
  <c r="C995" i="3" a="1"/>
  <c r="C995" i="3"/>
  <c r="B996" i="3" a="1"/>
  <c r="B996" i="3"/>
  <c r="C996" i="3" a="1"/>
  <c r="C996" i="3"/>
  <c r="B997" i="3" a="1"/>
  <c r="B997" i="3"/>
  <c r="C997" i="3" a="1"/>
  <c r="C997" i="3"/>
  <c r="B998" i="3" a="1"/>
  <c r="B998" i="3"/>
  <c r="C998" i="3" a="1"/>
  <c r="C998" i="3"/>
  <c r="B999" i="3" a="1"/>
  <c r="B999" i="3"/>
  <c r="C999" i="3" a="1"/>
  <c r="C999" i="3"/>
  <c r="B1000" i="3" a="1"/>
  <c r="B1000" i="3"/>
  <c r="C1000" i="3" a="1"/>
  <c r="C1000" i="3"/>
  <c r="B1001" i="3" a="1"/>
  <c r="B1001" i="3"/>
  <c r="C1001" i="3" a="1"/>
  <c r="C1001" i="3"/>
  <c r="B1002" i="3" a="1"/>
  <c r="B1002" i="3"/>
  <c r="C1002" i="3" a="1"/>
  <c r="C1002" i="3"/>
  <c r="B1003" i="3" a="1"/>
  <c r="B1003" i="3"/>
  <c r="C1003" i="3" a="1"/>
  <c r="C1003" i="3"/>
  <c r="B1004" i="3" a="1"/>
  <c r="B1004" i="3"/>
  <c r="C1004" i="3" a="1"/>
  <c r="C1004" i="3"/>
  <c r="B1005" i="3" a="1"/>
  <c r="B1005" i="3"/>
  <c r="C1005" i="3" a="1"/>
  <c r="C1005" i="3"/>
  <c r="B1006" i="3" a="1"/>
  <c r="B1006" i="3"/>
  <c r="C1006" i="3" a="1"/>
  <c r="C1006" i="3"/>
  <c r="B1007" i="3" a="1"/>
  <c r="B1007" i="3"/>
  <c r="C1007" i="3" a="1"/>
  <c r="C1007" i="3"/>
  <c r="B1008" i="3" a="1"/>
  <c r="B1008" i="3"/>
  <c r="C1008" i="3" a="1"/>
  <c r="C1008" i="3"/>
  <c r="B1009" i="3" a="1"/>
  <c r="B1009" i="3"/>
  <c r="C1009" i="3" a="1"/>
  <c r="C1009" i="3"/>
  <c r="B1010" i="3" a="1"/>
  <c r="B1010" i="3"/>
  <c r="C1010" i="3" a="1"/>
  <c r="C1010" i="3"/>
  <c r="B1011" i="3" a="1"/>
  <c r="B1011" i="3"/>
  <c r="C1011" i="3" a="1"/>
  <c r="C1011" i="3"/>
  <c r="B1012" i="3" a="1"/>
  <c r="B1012" i="3"/>
  <c r="C1012" i="3" a="1"/>
  <c r="C1012" i="3"/>
  <c r="B1013" i="3" a="1"/>
  <c r="B1013" i="3"/>
  <c r="C1013" i="3" a="1"/>
  <c r="C1013" i="3"/>
  <c r="B1014" i="3" a="1"/>
  <c r="B1014" i="3"/>
  <c r="C1014" i="3" a="1"/>
  <c r="C1014" i="3"/>
  <c r="B1015" i="3" a="1"/>
  <c r="B1015" i="3"/>
  <c r="C1015" i="3" a="1"/>
  <c r="C1015" i="3"/>
  <c r="B1016" i="3" a="1"/>
  <c r="B1016" i="3"/>
  <c r="C1016" i="3" a="1"/>
  <c r="C1016" i="3"/>
  <c r="B1017" i="3" a="1"/>
  <c r="B1017" i="3"/>
  <c r="C1017" i="3" a="1"/>
  <c r="C1017" i="3"/>
  <c r="B1018" i="3" a="1"/>
  <c r="B1018" i="3"/>
  <c r="C1018" i="3" a="1"/>
  <c r="C1018" i="3"/>
  <c r="B1019" i="3" a="1"/>
  <c r="B1019" i="3"/>
  <c r="C1019" i="3" a="1"/>
  <c r="C1019" i="3"/>
  <c r="B1020" i="3" a="1"/>
  <c r="B1020" i="3"/>
  <c r="C1020" i="3" a="1"/>
  <c r="C1020" i="3"/>
  <c r="B1021" i="3" a="1"/>
  <c r="B1021" i="3"/>
  <c r="C1021" i="3" a="1"/>
  <c r="C1021" i="3"/>
  <c r="B1022" i="3" a="1"/>
  <c r="B1022" i="3"/>
  <c r="C1022" i="3" a="1"/>
  <c r="C1022" i="3"/>
  <c r="B1023" i="3" a="1"/>
  <c r="B1023" i="3"/>
  <c r="C1023" i="3" a="1"/>
  <c r="C1023" i="3"/>
  <c r="B1024" i="3" a="1"/>
  <c r="B1024" i="3"/>
  <c r="C1024" i="3" a="1"/>
  <c r="C1024" i="3"/>
  <c r="B1025" i="3" a="1"/>
  <c r="B1025" i="3"/>
  <c r="C1025" i="3" a="1"/>
  <c r="C1025" i="3"/>
  <c r="B1026" i="3" a="1"/>
  <c r="B1026" i="3"/>
  <c r="C1026" i="3" a="1"/>
  <c r="C1026" i="3"/>
  <c r="B1027" i="3" a="1"/>
  <c r="B1027" i="3"/>
  <c r="C1027" i="3" a="1"/>
  <c r="C1027" i="3"/>
  <c r="B1028" i="3" a="1"/>
  <c r="B1028" i="3"/>
  <c r="C1028" i="3" a="1"/>
  <c r="C1028" i="3"/>
  <c r="B1029" i="3" a="1"/>
  <c r="B1029" i="3"/>
  <c r="C1029" i="3" a="1"/>
  <c r="C1029" i="3"/>
  <c r="B1030" i="3" a="1"/>
  <c r="B1030" i="3"/>
  <c r="C1030" i="3" a="1"/>
  <c r="C1030" i="3"/>
  <c r="B1031" i="3" a="1"/>
  <c r="B1031" i="3"/>
  <c r="C1031" i="3" a="1"/>
  <c r="C1031" i="3"/>
  <c r="B1032" i="3" a="1"/>
  <c r="B1032" i="3"/>
  <c r="C1032" i="3" a="1"/>
  <c r="C1032" i="3"/>
  <c r="B1033" i="3" a="1"/>
  <c r="B1033" i="3"/>
  <c r="C1033" i="3" a="1"/>
  <c r="C1033" i="3"/>
  <c r="B1034" i="3" a="1"/>
  <c r="B1034" i="3"/>
  <c r="C1034" i="3" a="1"/>
  <c r="C1034" i="3"/>
  <c r="B1035" i="3" a="1"/>
  <c r="B1035" i="3"/>
  <c r="C1035" i="3" a="1"/>
  <c r="C1035" i="3"/>
  <c r="B1036" i="3" a="1"/>
  <c r="B1036" i="3"/>
  <c r="C1036" i="3" a="1"/>
  <c r="C1036" i="3"/>
  <c r="B1037" i="3" a="1"/>
  <c r="B1037" i="3"/>
  <c r="C1037" i="3" a="1"/>
  <c r="C1037" i="3"/>
  <c r="B1038" i="3" a="1"/>
  <c r="B1038" i="3"/>
  <c r="C1038" i="3" a="1"/>
  <c r="C1038" i="3"/>
  <c r="B1039" i="3" a="1"/>
  <c r="B1039" i="3"/>
  <c r="C1039" i="3" a="1"/>
  <c r="C1039" i="3"/>
  <c r="B1040" i="3" a="1"/>
  <c r="B1040" i="3"/>
  <c r="C1040" i="3" a="1"/>
  <c r="C1040" i="3"/>
  <c r="B1041" i="3" a="1"/>
  <c r="B1041" i="3"/>
  <c r="C1041" i="3" a="1"/>
  <c r="C1041" i="3"/>
  <c r="B1042" i="3" a="1"/>
  <c r="B1042" i="3"/>
  <c r="C1042" i="3" a="1"/>
  <c r="C1042" i="3"/>
  <c r="B1043" i="3" a="1"/>
  <c r="B1043" i="3"/>
  <c r="C1043" i="3" a="1"/>
  <c r="C1043" i="3"/>
  <c r="B1044" i="3" a="1"/>
  <c r="B1044" i="3"/>
  <c r="C1044" i="3" a="1"/>
  <c r="C1044" i="3"/>
  <c r="B1045" i="3" a="1"/>
  <c r="B1045" i="3"/>
  <c r="C1045" i="3" a="1"/>
  <c r="C1045" i="3"/>
  <c r="B1046" i="3" a="1"/>
  <c r="B1046" i="3"/>
  <c r="C1046" i="3" a="1"/>
  <c r="C1046" i="3"/>
  <c r="B1047" i="3" a="1"/>
  <c r="B1047" i="3"/>
  <c r="C1047" i="3" a="1"/>
  <c r="C1047" i="3"/>
  <c r="B1048" i="3" a="1"/>
  <c r="B1048" i="3"/>
  <c r="C1048" i="3" a="1"/>
  <c r="C1048" i="3"/>
  <c r="B1049" i="3" a="1"/>
  <c r="B1049" i="3"/>
  <c r="C1049" i="3" a="1"/>
  <c r="C1049" i="3"/>
  <c r="B1050" i="3" a="1"/>
  <c r="B1050" i="3"/>
  <c r="C1050" i="3" a="1"/>
  <c r="C1050" i="3"/>
  <c r="B1051" i="3" a="1"/>
  <c r="B1051" i="3"/>
  <c r="C1051" i="3" a="1"/>
  <c r="C1051" i="3"/>
  <c r="B1052" i="3" a="1"/>
  <c r="B1052" i="3"/>
  <c r="C1052" i="3" a="1"/>
  <c r="C1052" i="3"/>
  <c r="B1053" i="3" a="1"/>
  <c r="B1053" i="3"/>
  <c r="C1053" i="3" a="1"/>
  <c r="C1053" i="3"/>
  <c r="B1054" i="3" a="1"/>
  <c r="B1054" i="3"/>
  <c r="C1054" i="3" a="1"/>
  <c r="C1054" i="3"/>
  <c r="B1055" i="3" a="1"/>
  <c r="B1055" i="3"/>
  <c r="C1055" i="3" a="1"/>
  <c r="C1055" i="3"/>
  <c r="B1056" i="3" a="1"/>
  <c r="B1056" i="3"/>
  <c r="C1056" i="3" a="1"/>
  <c r="C1056" i="3"/>
  <c r="B1057" i="3" a="1"/>
  <c r="B1057" i="3"/>
  <c r="C1057" i="3" a="1"/>
  <c r="C1057" i="3"/>
  <c r="B1058" i="3" a="1"/>
  <c r="B1058" i="3"/>
  <c r="C1058" i="3" a="1"/>
  <c r="C1058" i="3"/>
  <c r="B1059" i="3" a="1"/>
  <c r="B1059" i="3"/>
  <c r="C1059" i="3" a="1"/>
  <c r="C1059" i="3"/>
  <c r="B1060" i="3" a="1"/>
  <c r="B1060" i="3"/>
  <c r="C1060" i="3" a="1"/>
  <c r="C1060" i="3"/>
  <c r="B1061" i="3" a="1"/>
  <c r="B1061" i="3"/>
  <c r="C1061" i="3" a="1"/>
  <c r="C1061" i="3"/>
  <c r="B1062" i="3" a="1"/>
  <c r="B1062" i="3"/>
  <c r="C1062" i="3" a="1"/>
  <c r="C1062" i="3"/>
  <c r="B1063" i="3" a="1"/>
  <c r="B1063" i="3"/>
  <c r="C1063" i="3" a="1"/>
  <c r="C1063" i="3"/>
  <c r="B1064" i="3" a="1"/>
  <c r="B1064" i="3"/>
  <c r="C1064" i="3" a="1"/>
  <c r="C1064" i="3"/>
  <c r="B1065" i="3" a="1"/>
  <c r="B1065" i="3"/>
  <c r="C1065" i="3" a="1"/>
  <c r="C1065" i="3"/>
  <c r="B1066" i="3" a="1"/>
  <c r="B1066" i="3"/>
  <c r="C1066" i="3" a="1"/>
  <c r="C1066" i="3"/>
  <c r="B1067" i="3" a="1"/>
  <c r="B1067" i="3"/>
  <c r="C1067" i="3" a="1"/>
  <c r="C1067" i="3"/>
  <c r="B1068" i="3" a="1"/>
  <c r="B1068" i="3"/>
  <c r="C1068" i="3" a="1"/>
  <c r="C1068" i="3"/>
  <c r="B1069" i="3" a="1"/>
  <c r="B1069" i="3"/>
  <c r="C1069" i="3" a="1"/>
  <c r="C1069" i="3"/>
  <c r="B1070" i="3" a="1"/>
  <c r="B1070" i="3"/>
  <c r="C1070" i="3" a="1"/>
  <c r="C1070" i="3"/>
  <c r="B1071" i="3" a="1"/>
  <c r="B1071" i="3"/>
  <c r="C1071" i="3" a="1"/>
  <c r="C1071" i="3"/>
  <c r="B1072" i="3" a="1"/>
  <c r="B1072" i="3"/>
  <c r="C1072" i="3" a="1"/>
  <c r="C1072" i="3"/>
  <c r="B1073" i="3" a="1"/>
  <c r="B1073" i="3"/>
  <c r="C1073" i="3" a="1"/>
  <c r="C1073" i="3"/>
  <c r="B1074" i="3" a="1"/>
  <c r="B1074" i="3"/>
  <c r="C1074" i="3" a="1"/>
  <c r="C1074" i="3"/>
  <c r="B1075" i="3" a="1"/>
  <c r="B1075" i="3"/>
  <c r="C1075" i="3" a="1"/>
  <c r="C1075" i="3"/>
  <c r="B1076" i="3" a="1"/>
  <c r="B1076" i="3"/>
  <c r="C1076" i="3" a="1"/>
  <c r="C1076" i="3"/>
  <c r="B1077" i="3" a="1"/>
  <c r="B1077" i="3"/>
  <c r="C1077" i="3" a="1"/>
  <c r="C1077" i="3"/>
  <c r="B1078" i="3" a="1"/>
  <c r="B1078" i="3"/>
  <c r="C1078" i="3" a="1"/>
  <c r="C1078" i="3"/>
  <c r="B1079" i="3" a="1"/>
  <c r="B1079" i="3"/>
  <c r="C1079" i="3" a="1"/>
  <c r="C1079" i="3"/>
  <c r="B1080" i="3" a="1"/>
  <c r="B1080" i="3"/>
  <c r="C1080" i="3" a="1"/>
  <c r="C1080" i="3"/>
  <c r="B1081" i="3" a="1"/>
  <c r="B1081" i="3"/>
  <c r="C1081" i="3" a="1"/>
  <c r="C1081" i="3"/>
  <c r="B1082" i="3" a="1"/>
  <c r="B1082" i="3"/>
  <c r="C1082" i="3" a="1"/>
  <c r="C1082" i="3"/>
  <c r="B1083" i="3" a="1"/>
  <c r="B1083" i="3"/>
  <c r="C1083" i="3" a="1"/>
  <c r="C1083" i="3"/>
  <c r="B1084" i="3" a="1"/>
  <c r="B1084" i="3"/>
  <c r="C1084" i="3" a="1"/>
  <c r="C1084" i="3"/>
  <c r="B1085" i="3" a="1"/>
  <c r="B1085" i="3"/>
  <c r="C1085" i="3" a="1"/>
  <c r="C1085" i="3"/>
  <c r="B1086" i="3" a="1"/>
  <c r="B1086" i="3"/>
  <c r="C1086" i="3" a="1"/>
  <c r="C1086" i="3"/>
  <c r="B1087" i="3" a="1"/>
  <c r="B1087" i="3"/>
  <c r="C1087" i="3" a="1"/>
  <c r="C1087" i="3"/>
  <c r="B1088" i="3" a="1"/>
  <c r="B1088" i="3"/>
  <c r="C1088" i="3" a="1"/>
  <c r="C1088" i="3"/>
  <c r="B1089" i="3" a="1"/>
  <c r="B1089" i="3"/>
  <c r="C1089" i="3" a="1"/>
  <c r="C1089" i="3"/>
  <c r="B1090" i="3" a="1"/>
  <c r="B1090" i="3"/>
  <c r="C1090" i="3" a="1"/>
  <c r="C1090" i="3"/>
  <c r="B1091" i="3" a="1"/>
  <c r="B1091" i="3"/>
  <c r="C1091" i="3" a="1"/>
  <c r="C1091" i="3"/>
  <c r="B1092" i="3" a="1"/>
  <c r="B1092" i="3"/>
  <c r="C1092" i="3" a="1"/>
  <c r="C1092" i="3"/>
  <c r="B1093" i="3" a="1"/>
  <c r="B1093" i="3"/>
  <c r="C1093" i="3" a="1"/>
  <c r="C1093" i="3"/>
  <c r="B1094" i="3" a="1"/>
  <c r="B1094" i="3"/>
  <c r="C1094" i="3" a="1"/>
  <c r="C1094" i="3"/>
  <c r="B1095" i="3" a="1"/>
  <c r="B1095" i="3"/>
  <c r="C1095" i="3" a="1"/>
  <c r="C1095" i="3"/>
  <c r="B1096" i="3" a="1"/>
  <c r="B1096" i="3"/>
  <c r="C1096" i="3" a="1"/>
  <c r="C1096" i="3"/>
  <c r="B1097" i="3" a="1"/>
  <c r="B1097" i="3"/>
  <c r="C1097" i="3" a="1"/>
  <c r="C1097" i="3"/>
  <c r="A879" i="3"/>
  <c r="A880" i="3"/>
  <c r="A881" i="3"/>
  <c r="A882" i="3"/>
  <c r="A883" i="3"/>
  <c r="A884" i="3"/>
  <c r="A885" i="3"/>
  <c r="A886" i="3"/>
  <c r="A887" i="3"/>
  <c r="A888" i="3"/>
  <c r="A889" i="3"/>
  <c r="A890" i="3"/>
  <c r="A891" i="3"/>
  <c r="A892" i="3"/>
  <c r="A893" i="3"/>
  <c r="A894" i="3"/>
  <c r="A895" i="3"/>
  <c r="A896" i="3"/>
  <c r="A897" i="3"/>
  <c r="A898" i="3"/>
  <c r="A899" i="3"/>
  <c r="A900" i="3"/>
  <c r="A901" i="3"/>
  <c r="A902" i="3"/>
  <c r="A903" i="3"/>
  <c r="A904" i="3"/>
  <c r="A905" i="3"/>
  <c r="A906" i="3"/>
  <c r="A907" i="3"/>
  <c r="A908" i="3"/>
  <c r="A909" i="3"/>
  <c r="A910" i="3"/>
  <c r="A911" i="3"/>
  <c r="A912" i="3"/>
  <c r="A913" i="3"/>
  <c r="A914" i="3"/>
  <c r="A915" i="3"/>
  <c r="A916" i="3"/>
  <c r="A917" i="3"/>
  <c r="A918" i="3"/>
  <c r="A919" i="3"/>
  <c r="A920" i="3"/>
  <c r="A921" i="3"/>
  <c r="A922" i="3"/>
  <c r="A923" i="3"/>
  <c r="A924" i="3"/>
  <c r="A925" i="3"/>
  <c r="A926" i="3"/>
  <c r="A927" i="3"/>
  <c r="A928" i="3"/>
  <c r="A929" i="3"/>
  <c r="A930" i="3"/>
  <c r="A931" i="3"/>
  <c r="A932" i="3"/>
  <c r="A933" i="3"/>
  <c r="A934" i="3"/>
  <c r="A935" i="3"/>
  <c r="A936" i="3"/>
  <c r="A937" i="3"/>
  <c r="A938" i="3"/>
  <c r="A939" i="3"/>
  <c r="A940" i="3"/>
  <c r="A941" i="3"/>
  <c r="A942" i="3"/>
  <c r="A943" i="3"/>
  <c r="A944" i="3"/>
  <c r="A945" i="3"/>
  <c r="A946" i="3"/>
  <c r="A947" i="3"/>
  <c r="A948" i="3"/>
  <c r="A949" i="3"/>
  <c r="A950" i="3"/>
  <c r="A951" i="3"/>
  <c r="A952" i="3"/>
  <c r="A953" i="3"/>
  <c r="A954" i="3"/>
  <c r="A955" i="3"/>
  <c r="A956" i="3"/>
  <c r="A957" i="3"/>
  <c r="A958" i="3"/>
  <c r="A959" i="3"/>
  <c r="A960" i="3"/>
  <c r="A961" i="3"/>
  <c r="A962" i="3"/>
  <c r="A963" i="3"/>
  <c r="A964" i="3"/>
  <c r="A965" i="3"/>
  <c r="A966" i="3"/>
  <c r="A967" i="3"/>
  <c r="A968" i="3"/>
  <c r="A969" i="3"/>
  <c r="A970" i="3"/>
  <c r="A971" i="3"/>
  <c r="A972" i="3"/>
  <c r="A973" i="3"/>
  <c r="A974" i="3"/>
  <c r="A975" i="3"/>
  <c r="A976" i="3"/>
  <c r="A977" i="3"/>
  <c r="A978" i="3"/>
  <c r="A979" i="3"/>
  <c r="A980" i="3"/>
  <c r="A981" i="3"/>
  <c r="A982" i="3"/>
  <c r="A983" i="3"/>
  <c r="A984" i="3"/>
  <c r="A985" i="3"/>
  <c r="A986" i="3"/>
  <c r="A987" i="3"/>
  <c r="A988" i="3"/>
  <c r="A989" i="3"/>
  <c r="A990" i="3"/>
  <c r="A991" i="3"/>
  <c r="A992" i="3"/>
  <c r="A993" i="3"/>
  <c r="A994" i="3"/>
  <c r="A995" i="3"/>
  <c r="A996" i="3"/>
  <c r="A997" i="3"/>
  <c r="A998" i="3"/>
  <c r="A999" i="3"/>
  <c r="A1000" i="3"/>
  <c r="A1001" i="3"/>
  <c r="A1002" i="3"/>
  <c r="A1003" i="3"/>
  <c r="A1004" i="3"/>
  <c r="A1005" i="3"/>
  <c r="A1006" i="3"/>
  <c r="A1007" i="3"/>
  <c r="A1008" i="3"/>
  <c r="A1009" i="3"/>
  <c r="A1010" i="3"/>
  <c r="A1011" i="3"/>
  <c r="A1012" i="3"/>
  <c r="A1013" i="3"/>
  <c r="A1014" i="3"/>
  <c r="A1015" i="3"/>
  <c r="A1016" i="3"/>
  <c r="A1017" i="3"/>
  <c r="A1018" i="3"/>
  <c r="A1019" i="3"/>
  <c r="A1020" i="3"/>
  <c r="A1021" i="3"/>
  <c r="A1022" i="3"/>
  <c r="A1023" i="3"/>
  <c r="A1024" i="3"/>
  <c r="A1025" i="3"/>
  <c r="A1026" i="3"/>
  <c r="A1027" i="3"/>
  <c r="A1028" i="3"/>
  <c r="A1029" i="3"/>
  <c r="A1030" i="3"/>
  <c r="A1031" i="3"/>
  <c r="A1032" i="3"/>
  <c r="A1033" i="3"/>
  <c r="A1034" i="3"/>
  <c r="A1035" i="3"/>
  <c r="A1036" i="3"/>
  <c r="A1037" i="3"/>
  <c r="A1038" i="3"/>
  <c r="A1039" i="3"/>
  <c r="A1040" i="3"/>
  <c r="A1041" i="3"/>
  <c r="A1042" i="3"/>
  <c r="A1043" i="3"/>
  <c r="A1044" i="3"/>
  <c r="A1045" i="3"/>
  <c r="A1046" i="3"/>
  <c r="A1047" i="3"/>
  <c r="A1048" i="3"/>
  <c r="A1049" i="3"/>
  <c r="A1050" i="3"/>
  <c r="A1051" i="3"/>
  <c r="A1052" i="3"/>
  <c r="A1053" i="3"/>
  <c r="A1054" i="3"/>
  <c r="A1055" i="3"/>
  <c r="A1056" i="3"/>
  <c r="A1057" i="3"/>
  <c r="A1058" i="3"/>
  <c r="A1059" i="3"/>
  <c r="A1060" i="3"/>
  <c r="A1061" i="3"/>
  <c r="A1062" i="3"/>
  <c r="A1063" i="3"/>
  <c r="A1064" i="3"/>
  <c r="A1065" i="3"/>
  <c r="A1066" i="3"/>
  <c r="A1067" i="3"/>
  <c r="A1068" i="3"/>
  <c r="A1069" i="3"/>
  <c r="A1070" i="3"/>
  <c r="A1071" i="3"/>
  <c r="A1072" i="3"/>
  <c r="A1073" i="3"/>
  <c r="A1074" i="3"/>
  <c r="A1075" i="3"/>
  <c r="A1076" i="3"/>
  <c r="A1077" i="3"/>
  <c r="A1078" i="3"/>
  <c r="A1079" i="3"/>
  <c r="A1080" i="3"/>
  <c r="A1081" i="3"/>
  <c r="A1082" i="3"/>
  <c r="A1083" i="3"/>
  <c r="A1084" i="3"/>
  <c r="A1085" i="3"/>
  <c r="A1086" i="3"/>
  <c r="A1087" i="3"/>
  <c r="A1088" i="3"/>
  <c r="A1089" i="3"/>
  <c r="A1090" i="3"/>
  <c r="A1091" i="3"/>
  <c r="A1092" i="3"/>
  <c r="A1093" i="3"/>
  <c r="A1094" i="3"/>
  <c r="A1095" i="3"/>
  <c r="A1096" i="3"/>
  <c r="A1097" i="3"/>
  <c r="E10" i="5"/>
  <c r="A3" i="3"/>
  <c r="A4" i="3"/>
  <c r="A5" i="3"/>
  <c r="A6" i="3"/>
  <c r="A7" i="3"/>
  <c r="A8" i="3"/>
  <c r="A9" i="3"/>
  <c r="A10" i="3"/>
  <c r="A11" i="3"/>
  <c r="A12" i="3"/>
  <c r="A13" i="3"/>
  <c r="A14" i="3"/>
  <c r="A15" i="3"/>
  <c r="A16" i="3"/>
  <c r="A17" i="3"/>
  <c r="A18" i="3"/>
  <c r="A19" i="3"/>
  <c r="A20" i="3"/>
  <c r="A21" i="3"/>
  <c r="A22" i="3"/>
  <c r="A23" i="3"/>
  <c r="A24" i="3"/>
  <c r="A25" i="3"/>
  <c r="A26" i="3"/>
  <c r="A27" i="3"/>
  <c r="A28" i="3"/>
  <c r="A29" i="3"/>
  <c r="A30" i="3"/>
  <c r="A31" i="3"/>
  <c r="A32" i="3"/>
  <c r="A33" i="3"/>
  <c r="A34" i="3"/>
  <c r="A35" i="3"/>
  <c r="A36" i="3"/>
  <c r="A37" i="3"/>
  <c r="A38" i="3"/>
  <c r="A39" i="3"/>
  <c r="A40" i="3"/>
  <c r="A41" i="3"/>
  <c r="A42" i="3"/>
  <c r="A43" i="3"/>
  <c r="A44" i="3"/>
  <c r="A45" i="3"/>
  <c r="A46" i="3"/>
  <c r="A47" i="3"/>
  <c r="A48" i="3"/>
  <c r="A49" i="3"/>
  <c r="A50" i="3"/>
  <c r="A51" i="3"/>
  <c r="A52" i="3"/>
  <c r="A53" i="3"/>
  <c r="A54" i="3"/>
  <c r="A55" i="3"/>
  <c r="A56" i="3"/>
  <c r="A57" i="3"/>
  <c r="A58" i="3"/>
  <c r="A59" i="3"/>
  <c r="A60" i="3"/>
  <c r="A61" i="3"/>
  <c r="A62" i="3"/>
  <c r="A63" i="3"/>
  <c r="A64" i="3"/>
  <c r="A65" i="3"/>
  <c r="A66" i="3"/>
  <c r="A67" i="3"/>
  <c r="A68" i="3"/>
  <c r="A69" i="3"/>
  <c r="A70" i="3"/>
  <c r="A71" i="3"/>
  <c r="A72" i="3"/>
  <c r="A73" i="3"/>
  <c r="A74" i="3"/>
  <c r="A75" i="3"/>
  <c r="A76" i="3"/>
  <c r="A77" i="3"/>
  <c r="A78" i="3"/>
  <c r="A79" i="3"/>
  <c r="A80" i="3"/>
  <c r="A81" i="3"/>
  <c r="A82" i="3"/>
  <c r="A83" i="3"/>
  <c r="A84" i="3"/>
  <c r="A85" i="3"/>
  <c r="A86" i="3"/>
  <c r="A87" i="3"/>
  <c r="A88" i="3"/>
  <c r="A89" i="3"/>
  <c r="A90" i="3"/>
  <c r="A91" i="3"/>
  <c r="A92" i="3"/>
  <c r="A93" i="3"/>
  <c r="A94" i="3"/>
  <c r="A95" i="3"/>
  <c r="A96" i="3"/>
  <c r="A97" i="3"/>
  <c r="A98" i="3"/>
  <c r="A99" i="3"/>
  <c r="A100" i="3"/>
  <c r="A101" i="3"/>
  <c r="A102" i="3"/>
  <c r="A103" i="3"/>
  <c r="A104" i="3"/>
  <c r="A105" i="3"/>
  <c r="A106" i="3"/>
  <c r="A107" i="3"/>
  <c r="A108" i="3"/>
  <c r="A109" i="3"/>
  <c r="A110" i="3"/>
  <c r="A111" i="3"/>
  <c r="A112" i="3"/>
  <c r="A113" i="3"/>
  <c r="A114" i="3"/>
  <c r="A115" i="3"/>
  <c r="A116" i="3"/>
  <c r="A117" i="3"/>
  <c r="A118" i="3"/>
  <c r="A119" i="3"/>
  <c r="A120" i="3"/>
  <c r="A121" i="3"/>
  <c r="A122" i="3"/>
  <c r="A123" i="3"/>
  <c r="A124" i="3"/>
  <c r="A125" i="3"/>
  <c r="A126" i="3"/>
  <c r="A127" i="3"/>
  <c r="A128" i="3"/>
  <c r="A129" i="3"/>
  <c r="A130" i="3"/>
  <c r="A131" i="3"/>
  <c r="A132" i="3"/>
  <c r="A133" i="3"/>
  <c r="A134" i="3"/>
  <c r="A135" i="3"/>
  <c r="A136" i="3"/>
  <c r="A137" i="3"/>
  <c r="A138" i="3"/>
  <c r="A139" i="3"/>
  <c r="A140" i="3"/>
  <c r="A141" i="3"/>
  <c r="A142" i="3"/>
  <c r="A143" i="3"/>
  <c r="A144" i="3"/>
  <c r="A145" i="3"/>
  <c r="A146" i="3"/>
  <c r="A147" i="3"/>
  <c r="A148" i="3"/>
  <c r="A149" i="3"/>
  <c r="A150" i="3"/>
  <c r="A151" i="3"/>
  <c r="A152" i="3"/>
  <c r="A153" i="3"/>
  <c r="A154" i="3"/>
  <c r="A155" i="3"/>
  <c r="A156" i="3"/>
  <c r="A157" i="3"/>
  <c r="A158" i="3"/>
  <c r="A159" i="3"/>
  <c r="A160" i="3"/>
  <c r="A161" i="3"/>
  <c r="A162" i="3"/>
  <c r="A163" i="3"/>
  <c r="A164" i="3"/>
  <c r="A165" i="3"/>
  <c r="A166" i="3"/>
  <c r="A167" i="3"/>
  <c r="A168" i="3"/>
  <c r="A169" i="3"/>
  <c r="A170" i="3"/>
  <c r="A171" i="3"/>
  <c r="A172" i="3"/>
  <c r="A173" i="3"/>
  <c r="A174" i="3"/>
  <c r="A175" i="3"/>
  <c r="A176" i="3"/>
  <c r="A177" i="3"/>
  <c r="A178" i="3"/>
  <c r="A179" i="3"/>
  <c r="A180" i="3"/>
  <c r="A181" i="3"/>
  <c r="A182" i="3"/>
  <c r="A183" i="3"/>
  <c r="A184" i="3"/>
  <c r="A185" i="3"/>
  <c r="A186" i="3"/>
  <c r="A187" i="3"/>
  <c r="A188" i="3"/>
  <c r="A189" i="3"/>
  <c r="A190" i="3"/>
  <c r="A191" i="3"/>
  <c r="A192" i="3"/>
  <c r="A193" i="3"/>
  <c r="A194" i="3"/>
  <c r="A195" i="3"/>
  <c r="A196" i="3"/>
  <c r="A197" i="3"/>
  <c r="A198" i="3"/>
  <c r="A199" i="3"/>
  <c r="A200" i="3"/>
  <c r="A201" i="3"/>
  <c r="A202" i="3"/>
  <c r="A203" i="3"/>
  <c r="A204" i="3"/>
  <c r="A205" i="3"/>
  <c r="A206" i="3"/>
  <c r="A207" i="3"/>
  <c r="A208" i="3"/>
  <c r="A209" i="3"/>
  <c r="A210" i="3"/>
  <c r="A211" i="3"/>
  <c r="A212" i="3"/>
  <c r="A213" i="3"/>
  <c r="A214" i="3"/>
  <c r="A215" i="3"/>
  <c r="A216" i="3"/>
  <c r="A217" i="3"/>
  <c r="A218" i="3"/>
  <c r="A219" i="3"/>
  <c r="A220" i="3"/>
  <c r="A221" i="3"/>
  <c r="A222" i="3"/>
  <c r="A223" i="3"/>
  <c r="A224" i="3"/>
  <c r="A225" i="3"/>
  <c r="A226" i="3"/>
  <c r="A227" i="3"/>
  <c r="A228" i="3"/>
  <c r="A229" i="3"/>
  <c r="A230" i="3"/>
  <c r="A231" i="3"/>
  <c r="A232" i="3"/>
  <c r="A233" i="3"/>
  <c r="A234" i="3"/>
  <c r="A235" i="3"/>
  <c r="A236" i="3"/>
  <c r="A237" i="3"/>
  <c r="A238" i="3"/>
  <c r="A239" i="3"/>
  <c r="A240" i="3"/>
  <c r="A241" i="3"/>
  <c r="A242" i="3"/>
  <c r="A243" i="3"/>
  <c r="A244" i="3"/>
  <c r="A245" i="3"/>
  <c r="A246" i="3"/>
  <c r="A247" i="3"/>
  <c r="A248" i="3"/>
  <c r="A249" i="3"/>
  <c r="A250" i="3"/>
  <c r="A251" i="3"/>
  <c r="A252" i="3"/>
  <c r="A253" i="3"/>
  <c r="A254" i="3"/>
  <c r="A255" i="3"/>
  <c r="A256" i="3"/>
  <c r="A257" i="3"/>
  <c r="A258" i="3"/>
  <c r="A259" i="3"/>
  <c r="A260" i="3"/>
  <c r="A261" i="3"/>
  <c r="A262" i="3"/>
  <c r="A263" i="3"/>
  <c r="A264" i="3"/>
  <c r="A265" i="3"/>
  <c r="A266" i="3"/>
  <c r="A267" i="3"/>
  <c r="A268" i="3"/>
  <c r="A269" i="3"/>
  <c r="A270" i="3"/>
  <c r="A271" i="3"/>
  <c r="A272" i="3"/>
  <c r="A273" i="3"/>
  <c r="A274" i="3"/>
  <c r="A275" i="3"/>
  <c r="A276" i="3"/>
  <c r="A277" i="3"/>
  <c r="A278" i="3"/>
  <c r="A279" i="3"/>
  <c r="A280" i="3"/>
  <c r="A281" i="3"/>
  <c r="A282" i="3"/>
  <c r="A283" i="3"/>
  <c r="A284" i="3"/>
  <c r="A285" i="3"/>
  <c r="A286" i="3"/>
  <c r="A287" i="3"/>
  <c r="A288" i="3"/>
  <c r="A289" i="3"/>
  <c r="A290" i="3"/>
  <c r="A291" i="3"/>
  <c r="A292" i="3"/>
  <c r="A293" i="3"/>
  <c r="A294" i="3"/>
  <c r="A295" i="3"/>
  <c r="A296" i="3"/>
  <c r="A297" i="3"/>
  <c r="A298" i="3"/>
  <c r="A299" i="3"/>
  <c r="A300" i="3"/>
  <c r="A301" i="3"/>
  <c r="A302" i="3"/>
  <c r="A303" i="3"/>
  <c r="A304" i="3"/>
  <c r="A305" i="3"/>
  <c r="A306" i="3"/>
  <c r="A307" i="3"/>
  <c r="A308" i="3"/>
  <c r="A309" i="3"/>
  <c r="A310" i="3"/>
  <c r="A311" i="3"/>
  <c r="A312" i="3"/>
  <c r="A313" i="3"/>
  <c r="A314" i="3"/>
  <c r="A315" i="3"/>
  <c r="A316" i="3"/>
  <c r="A317" i="3"/>
  <c r="A318" i="3"/>
  <c r="A319" i="3"/>
  <c r="A320" i="3"/>
  <c r="A321" i="3"/>
  <c r="A322" i="3"/>
  <c r="A323" i="3"/>
  <c r="A324" i="3"/>
  <c r="A325" i="3"/>
  <c r="A326" i="3"/>
  <c r="A327" i="3"/>
  <c r="A328" i="3"/>
  <c r="A329" i="3"/>
  <c r="A330" i="3"/>
  <c r="A331" i="3"/>
  <c r="A332" i="3"/>
  <c r="A333" i="3"/>
  <c r="A334" i="3"/>
  <c r="A335" i="3"/>
  <c r="A336" i="3"/>
  <c r="A337" i="3"/>
  <c r="A338" i="3"/>
  <c r="A339" i="3"/>
  <c r="A340" i="3"/>
  <c r="A341" i="3"/>
  <c r="A342" i="3"/>
  <c r="A343" i="3"/>
  <c r="A344" i="3"/>
  <c r="A345" i="3"/>
  <c r="A346" i="3"/>
  <c r="A347" i="3"/>
  <c r="A348" i="3"/>
  <c r="A349" i="3"/>
  <c r="A350" i="3"/>
  <c r="A351" i="3"/>
  <c r="A352" i="3"/>
  <c r="A353" i="3"/>
  <c r="A354" i="3"/>
  <c r="A355" i="3"/>
  <c r="A356" i="3"/>
  <c r="A357" i="3"/>
  <c r="A358" i="3"/>
  <c r="A359" i="3"/>
  <c r="A360" i="3"/>
  <c r="A361" i="3"/>
  <c r="A362" i="3"/>
  <c r="A363" i="3"/>
  <c r="A364" i="3"/>
  <c r="A365" i="3"/>
  <c r="A366" i="3"/>
  <c r="A367" i="3"/>
  <c r="A368" i="3"/>
  <c r="A369" i="3"/>
  <c r="A370" i="3"/>
  <c r="A371" i="3"/>
  <c r="A372" i="3"/>
  <c r="A373" i="3"/>
  <c r="A374" i="3"/>
  <c r="A375" i="3"/>
  <c r="A376" i="3"/>
  <c r="A377" i="3"/>
  <c r="A378" i="3"/>
  <c r="A379" i="3"/>
  <c r="A380" i="3"/>
  <c r="A381" i="3"/>
  <c r="A382" i="3"/>
  <c r="A383" i="3"/>
  <c r="A384" i="3"/>
  <c r="A385" i="3"/>
  <c r="A386" i="3"/>
  <c r="A387" i="3"/>
  <c r="A388" i="3"/>
  <c r="A389" i="3"/>
  <c r="A390" i="3"/>
  <c r="A391" i="3"/>
  <c r="A392" i="3"/>
  <c r="A393" i="3"/>
  <c r="A394" i="3"/>
  <c r="A395" i="3"/>
  <c r="A396" i="3"/>
  <c r="A397" i="3"/>
  <c r="A398" i="3"/>
  <c r="A399" i="3"/>
  <c r="A400" i="3"/>
  <c r="A401" i="3"/>
  <c r="A402" i="3"/>
  <c r="A403" i="3"/>
  <c r="A404" i="3"/>
  <c r="A405" i="3"/>
  <c r="A406" i="3"/>
  <c r="A407" i="3"/>
  <c r="A408" i="3"/>
  <c r="A409" i="3"/>
  <c r="A410" i="3"/>
  <c r="A411" i="3"/>
  <c r="A412" i="3"/>
  <c r="A413" i="3"/>
  <c r="A414" i="3"/>
  <c r="A415" i="3"/>
  <c r="A416" i="3"/>
  <c r="A417" i="3"/>
  <c r="A418" i="3"/>
  <c r="A419" i="3"/>
  <c r="A420" i="3"/>
  <c r="A421" i="3"/>
  <c r="A422" i="3"/>
  <c r="A423" i="3"/>
  <c r="A424" i="3"/>
  <c r="A425" i="3"/>
  <c r="A426" i="3"/>
  <c r="A427" i="3"/>
  <c r="A428" i="3"/>
  <c r="A429" i="3"/>
  <c r="A430" i="3"/>
  <c r="A431" i="3"/>
  <c r="A432" i="3"/>
  <c r="A433" i="3"/>
  <c r="A434" i="3"/>
  <c r="A435" i="3"/>
  <c r="A436" i="3"/>
  <c r="A437" i="3"/>
  <c r="A438" i="3"/>
  <c r="A439" i="3"/>
  <c r="A440" i="3"/>
  <c r="A441" i="3"/>
  <c r="A442" i="3"/>
  <c r="A443" i="3"/>
  <c r="A444" i="3"/>
  <c r="A445" i="3"/>
  <c r="A446" i="3"/>
  <c r="A447" i="3"/>
  <c r="A448" i="3"/>
  <c r="A449" i="3"/>
  <c r="A450" i="3"/>
  <c r="A451" i="3"/>
  <c r="A452" i="3"/>
  <c r="A453" i="3"/>
  <c r="A454" i="3"/>
  <c r="A455" i="3"/>
  <c r="A456" i="3"/>
  <c r="A457" i="3"/>
  <c r="A458" i="3"/>
  <c r="A459" i="3"/>
  <c r="A460" i="3"/>
  <c r="A461" i="3"/>
  <c r="A462" i="3"/>
  <c r="A463" i="3"/>
  <c r="A464" i="3"/>
  <c r="A465" i="3"/>
  <c r="A466" i="3"/>
  <c r="A467" i="3"/>
  <c r="A468" i="3"/>
  <c r="A469" i="3"/>
  <c r="A470" i="3"/>
  <c r="A471" i="3"/>
  <c r="A472" i="3"/>
  <c r="A473" i="3"/>
  <c r="A474" i="3"/>
  <c r="A475" i="3"/>
  <c r="A476" i="3"/>
  <c r="A477" i="3"/>
  <c r="A478" i="3"/>
  <c r="A479" i="3"/>
  <c r="A480" i="3"/>
  <c r="A481" i="3"/>
  <c r="A482" i="3"/>
  <c r="A483" i="3"/>
  <c r="A484" i="3"/>
  <c r="A485" i="3"/>
  <c r="A486" i="3"/>
  <c r="A487" i="3"/>
  <c r="A488" i="3"/>
  <c r="A489" i="3"/>
  <c r="A490" i="3"/>
  <c r="A491" i="3"/>
  <c r="A492" i="3"/>
  <c r="A493" i="3"/>
  <c r="A494" i="3"/>
  <c r="A495" i="3"/>
  <c r="A496" i="3"/>
  <c r="A497" i="3"/>
  <c r="A498" i="3"/>
  <c r="A499" i="3"/>
  <c r="A500" i="3"/>
  <c r="A501" i="3"/>
  <c r="A502" i="3"/>
  <c r="A503" i="3"/>
  <c r="A504" i="3"/>
  <c r="A505" i="3"/>
  <c r="A506" i="3"/>
  <c r="A507" i="3"/>
  <c r="A508" i="3"/>
  <c r="A509" i="3"/>
  <c r="A510" i="3"/>
  <c r="A511" i="3"/>
  <c r="A512" i="3"/>
  <c r="A513" i="3"/>
  <c r="A514" i="3"/>
  <c r="A515" i="3"/>
  <c r="A516" i="3"/>
  <c r="A517" i="3"/>
  <c r="A518" i="3"/>
  <c r="A519" i="3"/>
  <c r="A520" i="3"/>
  <c r="A521" i="3"/>
  <c r="A522" i="3"/>
  <c r="A523" i="3"/>
  <c r="A524" i="3"/>
  <c r="A525" i="3"/>
  <c r="A526" i="3"/>
  <c r="A527" i="3"/>
  <c r="A528" i="3"/>
  <c r="A529" i="3"/>
  <c r="A530" i="3"/>
  <c r="A531" i="3"/>
  <c r="A532" i="3"/>
  <c r="A533" i="3"/>
  <c r="A534" i="3"/>
  <c r="A535" i="3"/>
  <c r="A536" i="3"/>
  <c r="A537" i="3"/>
  <c r="A538" i="3"/>
  <c r="A539" i="3"/>
  <c r="A540" i="3"/>
  <c r="A541" i="3"/>
  <c r="A542" i="3"/>
  <c r="A543" i="3"/>
  <c r="A544" i="3"/>
  <c r="A545" i="3"/>
  <c r="A546" i="3"/>
  <c r="A547" i="3"/>
  <c r="A548" i="3"/>
  <c r="A549" i="3"/>
  <c r="A550" i="3"/>
  <c r="A551" i="3"/>
  <c r="A552" i="3"/>
  <c r="A553" i="3"/>
  <c r="A554" i="3"/>
  <c r="A555" i="3"/>
  <c r="A556" i="3"/>
  <c r="A557" i="3"/>
  <c r="A558" i="3"/>
  <c r="A559" i="3"/>
  <c r="A560" i="3"/>
  <c r="A561" i="3"/>
  <c r="A562" i="3"/>
  <c r="A563" i="3"/>
  <c r="A564" i="3"/>
  <c r="A565" i="3"/>
  <c r="A566" i="3"/>
  <c r="A567" i="3"/>
  <c r="A568" i="3"/>
  <c r="A569" i="3"/>
  <c r="A570" i="3"/>
  <c r="A571" i="3"/>
  <c r="A572" i="3"/>
  <c r="A573" i="3"/>
  <c r="A574" i="3"/>
  <c r="A575" i="3"/>
  <c r="A576" i="3"/>
  <c r="A577" i="3"/>
  <c r="A578" i="3"/>
  <c r="A579" i="3"/>
  <c r="A580" i="3"/>
  <c r="A581" i="3"/>
  <c r="A582" i="3"/>
  <c r="A583" i="3"/>
  <c r="A584" i="3"/>
  <c r="A585" i="3"/>
  <c r="A586" i="3"/>
  <c r="A587" i="3"/>
  <c r="A588" i="3"/>
  <c r="A589" i="3"/>
  <c r="A590" i="3"/>
  <c r="A591" i="3"/>
  <c r="A592" i="3"/>
  <c r="A593" i="3"/>
  <c r="A594" i="3"/>
  <c r="A595" i="3"/>
  <c r="A596" i="3"/>
  <c r="A597" i="3"/>
  <c r="A598" i="3"/>
  <c r="A599" i="3"/>
  <c r="A600" i="3"/>
  <c r="A601" i="3"/>
  <c r="A602" i="3"/>
  <c r="A603" i="3"/>
  <c r="A604" i="3"/>
  <c r="A605" i="3"/>
  <c r="A606" i="3"/>
  <c r="A607" i="3"/>
  <c r="A608" i="3"/>
  <c r="A609" i="3"/>
  <c r="A610" i="3"/>
  <c r="A611" i="3"/>
  <c r="A612" i="3"/>
  <c r="A613" i="3"/>
  <c r="A614" i="3"/>
  <c r="A615" i="3"/>
  <c r="A616" i="3"/>
  <c r="A617" i="3"/>
  <c r="A618" i="3"/>
  <c r="A619" i="3"/>
  <c r="A620" i="3"/>
  <c r="A621" i="3"/>
  <c r="A622" i="3"/>
  <c r="A623" i="3"/>
  <c r="A624" i="3"/>
  <c r="A625" i="3"/>
  <c r="A626" i="3"/>
  <c r="A627" i="3"/>
  <c r="A628" i="3"/>
  <c r="A629" i="3"/>
  <c r="A630" i="3"/>
  <c r="A631" i="3"/>
  <c r="A632" i="3"/>
  <c r="A633" i="3"/>
  <c r="A634" i="3"/>
  <c r="A635" i="3"/>
  <c r="A636" i="3"/>
  <c r="A637" i="3"/>
  <c r="A638" i="3"/>
  <c r="A639" i="3"/>
  <c r="A640" i="3"/>
  <c r="A641" i="3"/>
  <c r="A642" i="3"/>
  <c r="A643" i="3"/>
  <c r="A644" i="3"/>
  <c r="A645" i="3"/>
  <c r="A646" i="3"/>
  <c r="A647" i="3"/>
  <c r="A648" i="3"/>
  <c r="A649" i="3"/>
  <c r="A650" i="3"/>
  <c r="A651" i="3"/>
  <c r="A652" i="3"/>
  <c r="A653" i="3"/>
  <c r="A654" i="3"/>
  <c r="A655" i="3"/>
  <c r="A656" i="3"/>
  <c r="A657" i="3"/>
  <c r="A658" i="3"/>
  <c r="A659" i="3"/>
  <c r="A660" i="3"/>
  <c r="A661" i="3"/>
  <c r="A662" i="3"/>
  <c r="A663" i="3"/>
  <c r="A664" i="3"/>
  <c r="A665" i="3"/>
  <c r="A666" i="3"/>
  <c r="A667" i="3"/>
  <c r="A668" i="3"/>
  <c r="A669" i="3"/>
  <c r="A670" i="3"/>
  <c r="A671" i="3"/>
  <c r="A672" i="3"/>
  <c r="A673" i="3"/>
  <c r="A674" i="3"/>
  <c r="A675" i="3"/>
  <c r="A676" i="3"/>
  <c r="A677" i="3"/>
  <c r="A678" i="3"/>
  <c r="A679" i="3"/>
  <c r="A680" i="3"/>
  <c r="A681" i="3"/>
  <c r="A682" i="3"/>
  <c r="A683" i="3"/>
  <c r="A684" i="3"/>
  <c r="A685" i="3"/>
  <c r="A686" i="3"/>
  <c r="A687" i="3"/>
  <c r="A688" i="3"/>
  <c r="A689" i="3"/>
  <c r="A690" i="3"/>
  <c r="A691" i="3"/>
  <c r="A692" i="3"/>
  <c r="A693" i="3"/>
  <c r="A694" i="3"/>
  <c r="A695" i="3"/>
  <c r="A696" i="3"/>
  <c r="A697" i="3"/>
  <c r="A698" i="3"/>
  <c r="A699" i="3"/>
  <c r="A700" i="3"/>
  <c r="A701" i="3"/>
  <c r="A702" i="3"/>
  <c r="A703" i="3"/>
  <c r="A704" i="3"/>
  <c r="A705" i="3"/>
  <c r="A706" i="3"/>
  <c r="A707" i="3"/>
  <c r="A708" i="3"/>
  <c r="A709" i="3"/>
  <c r="A710" i="3"/>
  <c r="A711" i="3"/>
  <c r="A712" i="3"/>
  <c r="A713" i="3"/>
  <c r="A714" i="3"/>
  <c r="A715" i="3"/>
  <c r="A716" i="3"/>
  <c r="A717" i="3"/>
  <c r="A718" i="3"/>
  <c r="A719" i="3"/>
  <c r="A720" i="3"/>
  <c r="A721" i="3"/>
  <c r="A722" i="3"/>
  <c r="A723" i="3"/>
  <c r="A724" i="3"/>
  <c r="A725" i="3"/>
  <c r="A726" i="3"/>
  <c r="A727" i="3"/>
  <c r="A728" i="3"/>
  <c r="A729" i="3"/>
  <c r="A730" i="3"/>
  <c r="A731" i="3"/>
  <c r="A732" i="3"/>
  <c r="A733" i="3"/>
  <c r="A734" i="3"/>
  <c r="A735" i="3"/>
  <c r="A736" i="3"/>
  <c r="A737" i="3"/>
  <c r="A738" i="3"/>
  <c r="A739" i="3"/>
  <c r="A740" i="3"/>
  <c r="A741" i="3"/>
  <c r="A742" i="3"/>
  <c r="A743" i="3"/>
  <c r="A744" i="3"/>
  <c r="A745" i="3"/>
  <c r="A746" i="3"/>
  <c r="A747" i="3"/>
  <c r="A748" i="3"/>
  <c r="A749" i="3"/>
  <c r="A750" i="3"/>
  <c r="A751" i="3"/>
  <c r="A752" i="3"/>
  <c r="A753" i="3"/>
  <c r="A754" i="3"/>
  <c r="A755" i="3"/>
  <c r="A756" i="3"/>
  <c r="A757" i="3"/>
  <c r="A758" i="3"/>
  <c r="A759" i="3"/>
  <c r="A760" i="3"/>
  <c r="A761" i="3"/>
  <c r="A762" i="3"/>
  <c r="A763" i="3"/>
  <c r="A764" i="3"/>
  <c r="A765" i="3"/>
  <c r="A766" i="3"/>
  <c r="A767" i="3"/>
  <c r="A768" i="3"/>
  <c r="A769" i="3"/>
  <c r="A770" i="3"/>
  <c r="A771" i="3"/>
  <c r="A772" i="3"/>
  <c r="A773" i="3"/>
  <c r="A774" i="3"/>
  <c r="A775" i="3"/>
  <c r="A776" i="3"/>
  <c r="A777" i="3"/>
  <c r="A778" i="3"/>
  <c r="A779" i="3"/>
  <c r="A780" i="3"/>
  <c r="A781" i="3"/>
  <c r="A782" i="3"/>
  <c r="A783" i="3"/>
  <c r="A784" i="3"/>
  <c r="A785" i="3"/>
  <c r="A786" i="3"/>
  <c r="A787" i="3"/>
  <c r="A788" i="3"/>
  <c r="A789" i="3"/>
  <c r="A790" i="3"/>
  <c r="A791" i="3"/>
  <c r="A792" i="3"/>
  <c r="A793" i="3"/>
  <c r="A794" i="3"/>
  <c r="A795" i="3"/>
  <c r="A796" i="3"/>
  <c r="A797" i="3"/>
  <c r="A798" i="3"/>
  <c r="A799" i="3"/>
  <c r="A800" i="3"/>
  <c r="A801" i="3"/>
  <c r="A802" i="3"/>
  <c r="A803" i="3"/>
  <c r="A804" i="3"/>
  <c r="A805" i="3"/>
  <c r="A806" i="3"/>
  <c r="A807" i="3"/>
  <c r="A808" i="3"/>
  <c r="A809" i="3"/>
  <c r="A810" i="3"/>
  <c r="A811" i="3"/>
  <c r="A812" i="3"/>
  <c r="A813" i="3"/>
  <c r="A814" i="3"/>
  <c r="A815" i="3"/>
  <c r="A816" i="3"/>
  <c r="A817" i="3"/>
  <c r="A818" i="3"/>
  <c r="A819" i="3"/>
  <c r="A820" i="3"/>
  <c r="A821" i="3"/>
  <c r="A822" i="3"/>
  <c r="A823" i="3"/>
  <c r="A824" i="3"/>
  <c r="A825" i="3"/>
  <c r="A826" i="3"/>
  <c r="A827" i="3"/>
  <c r="A828" i="3"/>
  <c r="A829" i="3"/>
  <c r="A830" i="3"/>
  <c r="A831" i="3"/>
  <c r="A832" i="3"/>
  <c r="A833" i="3"/>
  <c r="A834" i="3"/>
  <c r="A835" i="3"/>
  <c r="A836" i="3"/>
  <c r="A837" i="3"/>
  <c r="A838" i="3"/>
  <c r="A839" i="3"/>
  <c r="A840" i="3"/>
  <c r="A841" i="3"/>
  <c r="A842" i="3"/>
  <c r="A843" i="3"/>
  <c r="A844" i="3"/>
  <c r="A845" i="3"/>
  <c r="A846" i="3"/>
  <c r="A847" i="3"/>
  <c r="A848" i="3"/>
  <c r="A849" i="3"/>
  <c r="A850" i="3"/>
  <c r="A851" i="3"/>
  <c r="A852" i="3"/>
  <c r="A853" i="3"/>
  <c r="A854" i="3"/>
  <c r="A855" i="3"/>
  <c r="A856" i="3"/>
  <c r="A857" i="3"/>
  <c r="A858" i="3"/>
  <c r="A859" i="3"/>
  <c r="A860" i="3"/>
  <c r="A861" i="3"/>
  <c r="A862" i="3"/>
  <c r="A863" i="3"/>
  <c r="A864" i="3"/>
  <c r="A865" i="3"/>
  <c r="A866" i="3"/>
  <c r="A867" i="3"/>
  <c r="A868" i="3"/>
  <c r="A869" i="3"/>
  <c r="A870" i="3"/>
  <c r="A871" i="3"/>
  <c r="A872" i="3"/>
  <c r="A873" i="3"/>
  <c r="A874" i="3"/>
  <c r="A875" i="3"/>
  <c r="A876" i="3"/>
  <c r="A877" i="3"/>
  <c r="A878" i="3"/>
  <c r="G9" i="5"/>
  <c r="E9" i="5"/>
  <c r="F9" i="5"/>
  <c r="G8" i="5"/>
  <c r="E8" i="5"/>
  <c r="G7" i="5"/>
  <c r="E7" i="5"/>
  <c r="F7" i="5"/>
  <c r="G6" i="5"/>
  <c r="E6" i="5"/>
  <c r="F6" i="5"/>
  <c r="G5" i="5"/>
  <c r="E5" i="5"/>
  <c r="F5" i="5"/>
  <c r="G4" i="5"/>
  <c r="E4" i="5"/>
  <c r="G3" i="5"/>
  <c r="E3" i="5"/>
  <c r="F3" i="5"/>
  <c r="G2" i="5"/>
  <c r="E2" i="5"/>
  <c r="F2" i="5"/>
  <c r="AP2" i="3"/>
  <c r="V2" i="3"/>
  <c r="BA2" i="3"/>
  <c r="AN2" i="3"/>
  <c r="BB2" i="3"/>
  <c r="AT2" i="3"/>
  <c r="BO2" i="3"/>
  <c r="BJ2" i="3"/>
  <c r="AK2" i="3"/>
  <c r="AQ2" i="3"/>
  <c r="X2" i="3"/>
  <c r="AV2" i="3"/>
  <c r="L2" i="3"/>
  <c r="BL2" i="3"/>
  <c r="AG2" i="3"/>
  <c r="P2" i="3"/>
  <c r="BE2" i="3"/>
  <c r="AI2" i="3"/>
  <c r="D2" i="3"/>
  <c r="AD2" i="3"/>
  <c r="AB2" i="3"/>
  <c r="AS2" i="3"/>
  <c r="AY2" i="3"/>
  <c r="AC2" i="3"/>
  <c r="AO2" i="3"/>
  <c r="BD2" i="3"/>
  <c r="AW2" i="3"/>
  <c r="BM2" i="3"/>
  <c r="I2" i="3"/>
  <c r="BI2" i="3"/>
  <c r="F2" i="3"/>
  <c r="R2" i="3"/>
  <c r="BK2" i="3"/>
  <c r="AA2" i="3"/>
  <c r="AE2" i="3"/>
  <c r="Q2" i="3"/>
  <c r="J2" i="3"/>
  <c r="AF2" i="3"/>
  <c r="S2" i="3"/>
  <c r="AM2" i="3"/>
  <c r="N2" i="3"/>
  <c r="AJ2" i="3"/>
  <c r="BP2" i="3"/>
  <c r="BF2" i="3"/>
  <c r="T2" i="3"/>
  <c r="AL2" i="3"/>
  <c r="U2" i="3"/>
  <c r="BC2" i="3"/>
  <c r="BG2" i="3"/>
  <c r="AX2" i="3"/>
  <c r="AU2" i="3"/>
  <c r="E2" i="3"/>
  <c r="BH2" i="3"/>
  <c r="Z2" i="3"/>
  <c r="BN2" i="3"/>
  <c r="AR2" i="3"/>
  <c r="O2" i="3"/>
  <c r="AZ2" i="3"/>
  <c r="M2" i="3"/>
  <c r="W2" i="3"/>
  <c r="G2" i="3"/>
  <c r="H2" i="3"/>
  <c r="Y2" i="3"/>
  <c r="K2" i="3"/>
  <c r="AH2" i="3"/>
  <c r="F8" i="5"/>
  <c r="F4" i="5"/>
</calcChain>
</file>

<file path=xl/sharedStrings.xml><?xml version="1.0" encoding="utf-8"?>
<sst xmlns="http://schemas.openxmlformats.org/spreadsheetml/2006/main" count="5454" uniqueCount="3326">
  <si>
    <t>Signal Naming</t>
  </si>
  <si>
    <t>Description</t>
  </si>
  <si>
    <t>Name</t>
  </si>
  <si>
    <t>Symbol</t>
  </si>
  <si>
    <t>Unit</t>
  </si>
  <si>
    <t>Bus Signal Name</t>
  </si>
  <si>
    <t>Signal Specification</t>
  </si>
  <si>
    <t>DataType</t>
  </si>
  <si>
    <t>Min</t>
  </si>
  <si>
    <t>Max</t>
  </si>
  <si>
    <t>#Values</t>
  </si>
  <si>
    <t>Bits</t>
  </si>
  <si>
    <t>Signed (No = 0, Yes = 1)</t>
  </si>
  <si>
    <t>Values</t>
  </si>
  <si>
    <t>double</t>
  </si>
  <si>
    <t>Double-precision floating point</t>
  </si>
  <si>
    <t>int16</t>
  </si>
  <si>
    <t>Signed 16-bit integer</t>
  </si>
  <si>
    <t>int32</t>
  </si>
  <si>
    <t>Signed 32-bit integer</t>
  </si>
  <si>
    <t>int8</t>
  </si>
  <si>
    <t>Signed 8-bit integer</t>
  </si>
  <si>
    <t>single</t>
  </si>
  <si>
    <t>Single-precision floating point</t>
  </si>
  <si>
    <t>uint16</t>
  </si>
  <si>
    <t>Unsigned 16-bit integer</t>
  </si>
  <si>
    <t>uint32</t>
  </si>
  <si>
    <t>Unsigned 32-bit integer</t>
  </si>
  <si>
    <t>uint8</t>
  </si>
  <si>
    <t>Unsigned 8-bit integer</t>
  </si>
  <si>
    <t>Source</t>
  </si>
  <si>
    <t>Long Name</t>
  </si>
  <si>
    <t>Short Name</t>
  </si>
  <si>
    <t>Bus</t>
  </si>
  <si>
    <t>internal</t>
  </si>
  <si>
    <t>physical</t>
  </si>
  <si>
    <t>CAN</t>
  </si>
  <si>
    <t>Cloud</t>
  </si>
  <si>
    <t>Engine</t>
  </si>
  <si>
    <t>Standard Unit</t>
  </si>
  <si>
    <t>a</t>
  </si>
  <si>
    <t>am</t>
  </si>
  <si>
    <t>Angular Momentum</t>
  </si>
  <si>
    <t>Nms</t>
  </si>
  <si>
    <t>ar</t>
  </si>
  <si>
    <t>Area</t>
  </si>
  <si>
    <t>f</t>
  </si>
  <si>
    <t>Frequency</t>
  </si>
  <si>
    <t>Hz</t>
  </si>
  <si>
    <t>fr</t>
  </si>
  <si>
    <t>Force</t>
  </si>
  <si>
    <t>N</t>
  </si>
  <si>
    <t>Heat Transfer</t>
  </si>
  <si>
    <t>J</t>
  </si>
  <si>
    <t>htc</t>
  </si>
  <si>
    <t>Heat Transfer Coeff</t>
  </si>
  <si>
    <t>m2K</t>
  </si>
  <si>
    <t>i</t>
  </si>
  <si>
    <t>Current</t>
  </si>
  <si>
    <t>A</t>
  </si>
  <si>
    <t>j</t>
  </si>
  <si>
    <t>Moment of Inertia</t>
  </si>
  <si>
    <t>l</t>
  </si>
  <si>
    <t>Length, Distance</t>
  </si>
  <si>
    <t>m</t>
  </si>
  <si>
    <t>Mass</t>
  </si>
  <si>
    <t>kg</t>
  </si>
  <si>
    <t>mfl</t>
  </si>
  <si>
    <t>Mass Flow</t>
  </si>
  <si>
    <t>n</t>
  </si>
  <si>
    <t>Rotational Speed</t>
  </si>
  <si>
    <t>rpm</t>
  </si>
  <si>
    <t>p</t>
  </si>
  <si>
    <t>Pressure</t>
  </si>
  <si>
    <t>phi</t>
  </si>
  <si>
    <t>Angle</t>
  </si>
  <si>
    <t>deg</t>
  </si>
  <si>
    <t>prc</t>
  </si>
  <si>
    <t>Percentage</t>
  </si>
  <si>
    <t>%</t>
  </si>
  <si>
    <t>pwr</t>
  </si>
  <si>
    <t>Power</t>
  </si>
  <si>
    <t>W</t>
  </si>
  <si>
    <t>q</t>
  </si>
  <si>
    <t>Fuel Quantity</t>
  </si>
  <si>
    <t>mg/str</t>
  </si>
  <si>
    <t>res</t>
  </si>
  <si>
    <t>Resistance</t>
  </si>
  <si>
    <t>Ohm</t>
  </si>
  <si>
    <t>rho</t>
  </si>
  <si>
    <t>Density</t>
  </si>
  <si>
    <t>sfc</t>
  </si>
  <si>
    <t>Specific Fuel Consumption</t>
  </si>
  <si>
    <t>g/kWh</t>
  </si>
  <si>
    <t>t</t>
  </si>
  <si>
    <t>Temperature</t>
  </si>
  <si>
    <t>degC</t>
  </si>
  <si>
    <t>ti</t>
  </si>
  <si>
    <t>trq</t>
  </si>
  <si>
    <t>Torque</t>
  </si>
  <si>
    <t>Nm</t>
  </si>
  <si>
    <t>u</t>
  </si>
  <si>
    <t>Voltage</t>
  </si>
  <si>
    <t>V</t>
  </si>
  <si>
    <t>v</t>
  </si>
  <si>
    <t>Linear Speed</t>
  </si>
  <si>
    <t>vol</t>
  </si>
  <si>
    <t>Volume</t>
  </si>
  <si>
    <t>L</t>
  </si>
  <si>
    <t>w</t>
  </si>
  <si>
    <t>Work, Energy</t>
  </si>
  <si>
    <t>ct</t>
  </si>
  <si>
    <t>Counter</t>
  </si>
  <si>
    <t>N/A</t>
  </si>
  <si>
    <t>eta</t>
  </si>
  <si>
    <t>Efficiency</t>
  </si>
  <si>
    <t>fac</t>
  </si>
  <si>
    <t>Factor</t>
  </si>
  <si>
    <t>idx</t>
  </si>
  <si>
    <t>Index</t>
  </si>
  <si>
    <t>num</t>
  </si>
  <si>
    <t>Number</t>
  </si>
  <si>
    <t>r</t>
  </si>
  <si>
    <t>Ratio, Duty Cycle</t>
  </si>
  <si>
    <t>st</t>
  </si>
  <si>
    <t>State, Status</t>
  </si>
  <si>
    <t>swt</t>
  </si>
  <si>
    <t>Switch</t>
  </si>
  <si>
    <t>Abbreviation</t>
  </si>
  <si>
    <t>constant</t>
  </si>
  <si>
    <t>constant array</t>
  </si>
  <si>
    <t>system constant</t>
  </si>
  <si>
    <t>Extention</t>
  </si>
  <si>
    <t>Cld</t>
  </si>
  <si>
    <t>Keyword</t>
  </si>
  <si>
    <t>Keyword Abbreviation</t>
  </si>
  <si>
    <t>Definition English</t>
  </si>
  <si>
    <t>Abort</t>
  </si>
  <si>
    <t>Abs</t>
  </si>
  <si>
    <t>antilock braking system</t>
  </si>
  <si>
    <t>Absolute</t>
  </si>
  <si>
    <t>Abslt</t>
  </si>
  <si>
    <t>Absolute value</t>
  </si>
  <si>
    <t>Ac</t>
  </si>
  <si>
    <t>Alternating current / voltage</t>
  </si>
  <si>
    <t>Acc</t>
  </si>
  <si>
    <t>Adaptive Cruise Control</t>
  </si>
  <si>
    <t>Acceleration</t>
  </si>
  <si>
    <t>This keyword is used to give the physical value of acceleration. It is the value of gaining speed.</t>
  </si>
  <si>
    <t>Accelerator</t>
  </si>
  <si>
    <t>Accr</t>
  </si>
  <si>
    <t>Accept</t>
  </si>
  <si>
    <t>Acpt</t>
  </si>
  <si>
    <t>Access</t>
  </si>
  <si>
    <t>Acs</t>
  </si>
  <si>
    <t>Accessory</t>
  </si>
  <si>
    <t>Acsy</t>
  </si>
  <si>
    <t>Accommodation</t>
  </si>
  <si>
    <t>Acco</t>
  </si>
  <si>
    <t>Acknowledge</t>
  </si>
  <si>
    <t>Ack</t>
  </si>
  <si>
    <t>Acknowledged</t>
  </si>
  <si>
    <t>Ackd</t>
  </si>
  <si>
    <t>Acoustic</t>
  </si>
  <si>
    <t>Acoust</t>
  </si>
  <si>
    <t>Acquire</t>
  </si>
  <si>
    <t>Acq</t>
  </si>
  <si>
    <t>Acquired</t>
  </si>
  <si>
    <t>Acqd</t>
  </si>
  <si>
    <t>Action</t>
  </si>
  <si>
    <t>Actn</t>
  </si>
  <si>
    <t>Activate</t>
  </si>
  <si>
    <t>Actvt</t>
  </si>
  <si>
    <t>Activated</t>
  </si>
  <si>
    <t>Actvd</t>
  </si>
  <si>
    <t>Activation</t>
  </si>
  <si>
    <t>Actvn</t>
  </si>
  <si>
    <t>Active</t>
  </si>
  <si>
    <t>Actv</t>
  </si>
  <si>
    <t>Actual</t>
  </si>
  <si>
    <t>Act</t>
  </si>
  <si>
    <t>Actuation</t>
  </si>
  <si>
    <t>Acttn</t>
  </si>
  <si>
    <t>Actuator</t>
  </si>
  <si>
    <t>Actr</t>
  </si>
  <si>
    <t>Adapter</t>
  </si>
  <si>
    <t>Adpr</t>
  </si>
  <si>
    <t>Adaptive</t>
  </si>
  <si>
    <t>Adpv</t>
  </si>
  <si>
    <t>Additional</t>
  </si>
  <si>
    <t>Addl</t>
  </si>
  <si>
    <t>Additive</t>
  </si>
  <si>
    <t>Add</t>
  </si>
  <si>
    <t>Address</t>
  </si>
  <si>
    <t>Adr</t>
  </si>
  <si>
    <t>Adhesion</t>
  </si>
  <si>
    <t>Adh</t>
  </si>
  <si>
    <t>Adjust</t>
  </si>
  <si>
    <t>Adj</t>
  </si>
  <si>
    <t>Adjustment</t>
  </si>
  <si>
    <t>Adjmt</t>
  </si>
  <si>
    <t>Advance</t>
  </si>
  <si>
    <t>Adv</t>
  </si>
  <si>
    <t>After</t>
  </si>
  <si>
    <t>Aft</t>
  </si>
  <si>
    <t>Aging</t>
  </si>
  <si>
    <t>Agi</t>
  </si>
  <si>
    <t>Ahead</t>
  </si>
  <si>
    <t>Ahd</t>
  </si>
  <si>
    <t>Aid</t>
  </si>
  <si>
    <t>Air</t>
  </si>
  <si>
    <t>Also used as definition of "fresh gas"</t>
  </si>
  <si>
    <t>Airbag</t>
  </si>
  <si>
    <t>Airb</t>
  </si>
  <si>
    <t>airbag</t>
  </si>
  <si>
    <t>Ajar</t>
  </si>
  <si>
    <t>Alarm</t>
  </si>
  <si>
    <t>Alrm</t>
  </si>
  <si>
    <t>Alarmed</t>
  </si>
  <si>
    <t>Alrmd</t>
  </si>
  <si>
    <t>All</t>
  </si>
  <si>
    <t>Allowable</t>
  </si>
  <si>
    <t>Allwbl</t>
  </si>
  <si>
    <t>Allowed</t>
  </si>
  <si>
    <t>Allwd</t>
  </si>
  <si>
    <t>Alternative</t>
  </si>
  <si>
    <t>Altv</t>
  </si>
  <si>
    <t>Alternator</t>
  </si>
  <si>
    <t>Alt</t>
  </si>
  <si>
    <t>alternator</t>
  </si>
  <si>
    <t>Altitude</t>
  </si>
  <si>
    <t>Alti</t>
  </si>
  <si>
    <t>Ambient</t>
  </si>
  <si>
    <t>Amb</t>
  </si>
  <si>
    <t>Amount</t>
  </si>
  <si>
    <t>Amnt</t>
  </si>
  <si>
    <t>Ampere</t>
  </si>
  <si>
    <t>Ampr</t>
  </si>
  <si>
    <t>Amplitude</t>
  </si>
  <si>
    <t>Amp</t>
  </si>
  <si>
    <t>Amt</t>
  </si>
  <si>
    <t>automated manual transmission</t>
  </si>
  <si>
    <t>Analog</t>
  </si>
  <si>
    <t>An</t>
  </si>
  <si>
    <t>Anchorfitting</t>
  </si>
  <si>
    <t>Anchrfitg</t>
  </si>
  <si>
    <t>And</t>
  </si>
  <si>
    <t>Preposition</t>
  </si>
  <si>
    <t>Ag</t>
  </si>
  <si>
    <t>Angular</t>
  </si>
  <si>
    <t>Agr</t>
  </si>
  <si>
    <t>Anti-submarine</t>
  </si>
  <si>
    <t>Antisub</t>
  </si>
  <si>
    <t>Antitheft</t>
  </si>
  <si>
    <t>Antithft</t>
  </si>
  <si>
    <t>Apillar</t>
  </si>
  <si>
    <t>Apil</t>
  </si>
  <si>
    <t>A-Pillar of a car</t>
  </si>
  <si>
    <t>Application</t>
  </si>
  <si>
    <t>Appl</t>
  </si>
  <si>
    <t>Applied</t>
  </si>
  <si>
    <t>Appld</t>
  </si>
  <si>
    <t>Apply</t>
  </si>
  <si>
    <t>Approved</t>
  </si>
  <si>
    <t>Aprvd</t>
  </si>
  <si>
    <t>Arbitrated</t>
  </si>
  <si>
    <t>Arbd</t>
  </si>
  <si>
    <t>Arbitration</t>
  </si>
  <si>
    <t>Arbn</t>
  </si>
  <si>
    <t>Ar</t>
  </si>
  <si>
    <t>Arm</t>
  </si>
  <si>
    <t>Intended as the action of arming some device</t>
  </si>
  <si>
    <t>Armature</t>
  </si>
  <si>
    <t>Armtr</t>
  </si>
  <si>
    <t>This keyword described the constructional element of an armature. It should be used e.g. for calculations of the armature movement of a coil actuator.</t>
  </si>
  <si>
    <t>Armed</t>
  </si>
  <si>
    <t>Arming</t>
  </si>
  <si>
    <t>Array</t>
  </si>
  <si>
    <t>Ary</t>
  </si>
  <si>
    <t>Asc</t>
  </si>
  <si>
    <t>Acceleration Slip Control</t>
  </si>
  <si>
    <t>Ashtray</t>
  </si>
  <si>
    <t>Assist</t>
  </si>
  <si>
    <t>Assi</t>
  </si>
  <si>
    <t>Assistance</t>
  </si>
  <si>
    <t>Assc</t>
  </si>
  <si>
    <t>assistance. this keyword expresses the availability of an electronic assistance for a component or system</t>
  </si>
  <si>
    <t>Assistant</t>
  </si>
  <si>
    <t>Asst</t>
  </si>
  <si>
    <t>assistant. For example: the electronic brake assistant.</t>
  </si>
  <si>
    <t>Assisted</t>
  </si>
  <si>
    <t>Assid</t>
  </si>
  <si>
    <t>Asynchronous</t>
  </si>
  <si>
    <t>Async</t>
  </si>
  <si>
    <t>At</t>
  </si>
  <si>
    <t>Preposition for location, time, presence</t>
  </si>
  <si>
    <t>Attenuator</t>
  </si>
  <si>
    <t>Attn</t>
  </si>
  <si>
    <t>The attenuator switch is a part of the power stage which drives the piezo injectors.</t>
  </si>
  <si>
    <t>Australia</t>
  </si>
  <si>
    <t>Authentication</t>
  </si>
  <si>
    <t>Authent</t>
  </si>
  <si>
    <t>Authorization</t>
  </si>
  <si>
    <t>Authn</t>
  </si>
  <si>
    <t>Authorize</t>
  </si>
  <si>
    <t>Auth</t>
  </si>
  <si>
    <t>Automatic</t>
  </si>
  <si>
    <t>Aut</t>
  </si>
  <si>
    <t>Auxiliary</t>
  </si>
  <si>
    <t>Aux</t>
  </si>
  <si>
    <t>Available</t>
  </si>
  <si>
    <t>Avl</t>
  </si>
  <si>
    <t>Axis</t>
  </si>
  <si>
    <t>Axle</t>
  </si>
  <si>
    <t>Axles</t>
  </si>
  <si>
    <t>Front and rear axle</t>
  </si>
  <si>
    <t>Back</t>
  </si>
  <si>
    <t>anatomic human back</t>
  </si>
  <si>
    <t>Backed</t>
  </si>
  <si>
    <t>Backlit</t>
  </si>
  <si>
    <t>Backlt</t>
  </si>
  <si>
    <t>Backlite</t>
  </si>
  <si>
    <t>Backward</t>
  </si>
  <si>
    <t>Backw</t>
  </si>
  <si>
    <t>Balance</t>
  </si>
  <si>
    <t>Bal</t>
  </si>
  <si>
    <t>Bank</t>
  </si>
  <si>
    <t>Bnk</t>
  </si>
  <si>
    <t>Bar</t>
  </si>
  <si>
    <t>As unit of measure</t>
  </si>
  <si>
    <t>Barometric</t>
  </si>
  <si>
    <t>Baro</t>
  </si>
  <si>
    <t>Base</t>
  </si>
  <si>
    <t>Bas</t>
  </si>
  <si>
    <t>Pre-processed sensor data, model free, abstraction of the sensor hardware.</t>
  </si>
  <si>
    <t>Basic</t>
  </si>
  <si>
    <t>Basc</t>
  </si>
  <si>
    <t>Battery</t>
  </si>
  <si>
    <t>Batt</t>
  </si>
  <si>
    <t>Beam</t>
  </si>
  <si>
    <t>Belgium</t>
  </si>
  <si>
    <t>Belt</t>
  </si>
  <si>
    <t>Blt</t>
  </si>
  <si>
    <t>seat belt. this keyword is used to express the seat belt, which is a kind of security rope to keep the passenger in the seat in case of an accident.</t>
  </si>
  <si>
    <t>Bench</t>
  </si>
  <si>
    <t>bench mode. During OBD I / OBD II diagnoses and error management validation and tuning, the bench mode has to be used so as to force some failures.</t>
  </si>
  <si>
    <t>Bicycle</t>
  </si>
  <si>
    <t>Blind</t>
  </si>
  <si>
    <t>Bli</t>
  </si>
  <si>
    <t>Blink</t>
  </si>
  <si>
    <t>Block</t>
  </si>
  <si>
    <t>Blk</t>
  </si>
  <si>
    <t>Blocked</t>
  </si>
  <si>
    <t>Blkd</t>
  </si>
  <si>
    <t>Board</t>
  </si>
  <si>
    <t>Bd</t>
  </si>
  <si>
    <t>Body</t>
  </si>
  <si>
    <t>Bolster</t>
  </si>
  <si>
    <t>Blstr</t>
  </si>
  <si>
    <t>Boost</t>
  </si>
  <si>
    <t>A general expression to increase performance for a short period of time or to give a higher output. e.g. to give high voltage output or to support the combustion engine with additional torque (e.g. with a Integrated Starter Generator) for acceleration</t>
  </si>
  <si>
    <t>Boot</t>
  </si>
  <si>
    <t>Bottom</t>
  </si>
  <si>
    <t>Botm</t>
  </si>
  <si>
    <t>Bounce</t>
  </si>
  <si>
    <t>Bnce</t>
  </si>
  <si>
    <t>Boundless</t>
  </si>
  <si>
    <t>Bndls</t>
  </si>
  <si>
    <t>Box</t>
  </si>
  <si>
    <t>Bpillar</t>
  </si>
  <si>
    <t>Bpil</t>
  </si>
  <si>
    <t>B-Pillar of a car</t>
  </si>
  <si>
    <t>Bracket</t>
  </si>
  <si>
    <t>Brkt</t>
  </si>
  <si>
    <t>Brake</t>
  </si>
  <si>
    <t>Brk</t>
  </si>
  <si>
    <t>Braking</t>
  </si>
  <si>
    <t>Brkg</t>
  </si>
  <si>
    <t>Brazil</t>
  </si>
  <si>
    <t>Break</t>
  </si>
  <si>
    <t>Bridge</t>
  </si>
  <si>
    <t>Brdg</t>
  </si>
  <si>
    <t>bridge contact</t>
  </si>
  <si>
    <t>Brightness</t>
  </si>
  <si>
    <t>Bri</t>
  </si>
  <si>
    <t>Buckle</t>
  </si>
  <si>
    <t>Buc</t>
  </si>
  <si>
    <t>Part of supplement restraint system to protect occupant in case of crash</t>
  </si>
  <si>
    <t>Buckled</t>
  </si>
  <si>
    <t>Bucd</t>
  </si>
  <si>
    <t>Buckling of occupant</t>
  </si>
  <si>
    <t>Buffer</t>
  </si>
  <si>
    <t>Buf</t>
  </si>
  <si>
    <t>Bumper</t>
  </si>
  <si>
    <t>Bmp</t>
  </si>
  <si>
    <t>Burner</t>
  </si>
  <si>
    <t>Brnr</t>
  </si>
  <si>
    <t>Burning</t>
  </si>
  <si>
    <t>Brng</t>
  </si>
  <si>
    <t>used for the vehicle and not as a data bus</t>
  </si>
  <si>
    <t>Button</t>
  </si>
  <si>
    <t>Btn</t>
  </si>
  <si>
    <t>Buzzer</t>
  </si>
  <si>
    <t>Buz</t>
  </si>
  <si>
    <t>By</t>
  </si>
  <si>
    <t>Bypass</t>
  </si>
  <si>
    <t>Byp</t>
  </si>
  <si>
    <t>Cabin</t>
  </si>
  <si>
    <t>Cbn</t>
  </si>
  <si>
    <t>Calculated</t>
  </si>
  <si>
    <t>Calcd</t>
  </si>
  <si>
    <t>Calculation</t>
  </si>
  <si>
    <t>Calcn</t>
  </si>
  <si>
    <t>Calibration</t>
  </si>
  <si>
    <t>Cal</t>
  </si>
  <si>
    <t>Call</t>
  </si>
  <si>
    <t>Camshaft</t>
  </si>
  <si>
    <t>Camsft</t>
  </si>
  <si>
    <t>Canada</t>
  </si>
  <si>
    <t>Cancel</t>
  </si>
  <si>
    <t>Cncl</t>
  </si>
  <si>
    <t>Cancelled</t>
  </si>
  <si>
    <t>Cncld</t>
  </si>
  <si>
    <t>Candela</t>
  </si>
  <si>
    <t>Cd</t>
  </si>
  <si>
    <t>Unit of measure of luminous intensity</t>
  </si>
  <si>
    <t>Canister</t>
  </si>
  <si>
    <t>Cstr</t>
  </si>
  <si>
    <t>Capability</t>
  </si>
  <si>
    <t>Cpby</t>
  </si>
  <si>
    <t>Capacity</t>
  </si>
  <si>
    <t>Cp</t>
  </si>
  <si>
    <t>this keyword is used to express the Physical Meaning of a capacity (e.g. thermal capacity of oil)</t>
  </si>
  <si>
    <t>Car</t>
  </si>
  <si>
    <t>Case</t>
  </si>
  <si>
    <t>Catalyst</t>
  </si>
  <si>
    <t>Cat</t>
  </si>
  <si>
    <t>Centigrade</t>
  </si>
  <si>
    <t>Cgrd</t>
  </si>
  <si>
    <t>Central</t>
  </si>
  <si>
    <t>Cen</t>
  </si>
  <si>
    <t>Chamber</t>
  </si>
  <si>
    <t>Chmb</t>
  </si>
  <si>
    <t>Change</t>
  </si>
  <si>
    <t>Chg</t>
  </si>
  <si>
    <t>Channel</t>
  </si>
  <si>
    <t>Ch</t>
  </si>
  <si>
    <t>This keyword is used to express a channel. A channel is a defined port (of a bundle of ports) of a data line.</t>
  </si>
  <si>
    <t>Characteristic</t>
  </si>
  <si>
    <t>Chartc</t>
  </si>
  <si>
    <t>Charge</t>
  </si>
  <si>
    <t>Chrg</t>
  </si>
  <si>
    <t>Charger</t>
  </si>
  <si>
    <t>Chrgr</t>
  </si>
  <si>
    <t>Charging</t>
  </si>
  <si>
    <t>Chrgn</t>
  </si>
  <si>
    <t>Chassis</t>
  </si>
  <si>
    <t>Check</t>
  </si>
  <si>
    <t>Chk</t>
  </si>
  <si>
    <t>Checksum</t>
  </si>
  <si>
    <t>Chks</t>
  </si>
  <si>
    <t>Child</t>
  </si>
  <si>
    <t>Chd</t>
  </si>
  <si>
    <t>Chimer</t>
  </si>
  <si>
    <t>China</t>
  </si>
  <si>
    <t>Chirp</t>
  </si>
  <si>
    <t>Choke</t>
  </si>
  <si>
    <t>Choking, choke line. this keyword is used to describe the appearance of choking effects in an (air-)stream, e.g. at the choke line of a turbocharger (which is a characteristic parameter)</t>
  </si>
  <si>
    <t>Cigarette</t>
  </si>
  <si>
    <t>Circuit</t>
  </si>
  <si>
    <t>Circ</t>
  </si>
  <si>
    <t>Circumference</t>
  </si>
  <si>
    <t>Circum</t>
  </si>
  <si>
    <t>Used in the meaning of the wheel circumference</t>
  </si>
  <si>
    <t>Circumferential</t>
  </si>
  <si>
    <t>Circuml</t>
  </si>
  <si>
    <t>Clamp</t>
  </si>
  <si>
    <t>Clmp</t>
  </si>
  <si>
    <t>Clamped</t>
  </si>
  <si>
    <t>Clmpd</t>
  </si>
  <si>
    <t>Class</t>
  </si>
  <si>
    <t>Classification</t>
  </si>
  <si>
    <t>Classn</t>
  </si>
  <si>
    <t>Cleaner</t>
  </si>
  <si>
    <t>Clnr</t>
  </si>
  <si>
    <t>Cleaning</t>
  </si>
  <si>
    <t>Clng</t>
  </si>
  <si>
    <t>Cleaning. This keyword describes the action of cleaning e.g. a component.</t>
  </si>
  <si>
    <t>Clear</t>
  </si>
  <si>
    <t>Clr</t>
  </si>
  <si>
    <t>Cleared</t>
  </si>
  <si>
    <t>Clrd</t>
  </si>
  <si>
    <t>Climatisation</t>
  </si>
  <si>
    <t>Clima</t>
  </si>
  <si>
    <t>Clock</t>
  </si>
  <si>
    <t>Clk</t>
  </si>
  <si>
    <t>Close</t>
  </si>
  <si>
    <t>Cls</t>
  </si>
  <si>
    <t>Closed</t>
  </si>
  <si>
    <t>Clsd</t>
  </si>
  <si>
    <t>Clutch</t>
  </si>
  <si>
    <t>Clu</t>
  </si>
  <si>
    <t>Coasting</t>
  </si>
  <si>
    <t>Coast</t>
  </si>
  <si>
    <t>situation of vehicle, where the clutch is kept open and the vehicle is moving by its own inertia, e.g. rolling downhill (coast driving state of a vehicle is a typical transmission / clutch function).</t>
  </si>
  <si>
    <t>Coated</t>
  </si>
  <si>
    <t>Cot</t>
  </si>
  <si>
    <t>Code</t>
  </si>
  <si>
    <t>Cod</t>
  </si>
  <si>
    <t>Coefficient</t>
  </si>
  <si>
    <t>Coeff</t>
  </si>
  <si>
    <t>Cog</t>
  </si>
  <si>
    <t>Center of Gravity</t>
  </si>
  <si>
    <t>Coil</t>
  </si>
  <si>
    <t>Cold</t>
  </si>
  <si>
    <t>Collector</t>
  </si>
  <si>
    <t>Coll</t>
  </si>
  <si>
    <t>Collision</t>
  </si>
  <si>
    <t>Cllsn</t>
  </si>
  <si>
    <t>Column</t>
  </si>
  <si>
    <t>Col</t>
  </si>
  <si>
    <t>Combustion</t>
  </si>
  <si>
    <t>Cmb</t>
  </si>
  <si>
    <t>Comfort</t>
  </si>
  <si>
    <t>Cmft</t>
  </si>
  <si>
    <t>comfort. this keyword is used to express something as comfortable or convenient</t>
  </si>
  <si>
    <t>Coming</t>
  </si>
  <si>
    <t>Cmng</t>
  </si>
  <si>
    <t>Command</t>
  </si>
  <si>
    <t>Cmd</t>
  </si>
  <si>
    <t>Common</t>
  </si>
  <si>
    <t>Cmn</t>
  </si>
  <si>
    <t>common. for common environmental data (stored with all failures of one project).</t>
  </si>
  <si>
    <t>Communication</t>
  </si>
  <si>
    <t>Com</t>
  </si>
  <si>
    <t>Commutation</t>
  </si>
  <si>
    <t>Cmu</t>
  </si>
  <si>
    <t>Comparison</t>
  </si>
  <si>
    <t>Comp</t>
  </si>
  <si>
    <t>Compartment</t>
  </si>
  <si>
    <t>Cmptmt</t>
  </si>
  <si>
    <t>Compensation</t>
  </si>
  <si>
    <t>Cmp</t>
  </si>
  <si>
    <t>Complement</t>
  </si>
  <si>
    <t>Cpl</t>
  </si>
  <si>
    <t>Complete</t>
  </si>
  <si>
    <t>Cmpl</t>
  </si>
  <si>
    <t>Complex</t>
  </si>
  <si>
    <t>Cmplx</t>
  </si>
  <si>
    <t>Component</t>
  </si>
  <si>
    <t>Cpt</t>
  </si>
  <si>
    <t>Compression</t>
  </si>
  <si>
    <t>Cmpn</t>
  </si>
  <si>
    <t>Compressor</t>
  </si>
  <si>
    <t>Cmpr</t>
  </si>
  <si>
    <t>This keyword is used to express a component producing a compressed (= with raised pressure) working medium, e.g. air, refrigerant.</t>
  </si>
  <si>
    <t>Concentration</t>
  </si>
  <si>
    <t>Conc</t>
  </si>
  <si>
    <t>Condition</t>
  </si>
  <si>
    <t>Cdn</t>
  </si>
  <si>
    <t>Conditioner</t>
  </si>
  <si>
    <t>Cdnr</t>
  </si>
  <si>
    <t>Conditioning</t>
  </si>
  <si>
    <t>Cdng</t>
  </si>
  <si>
    <t>Configuration</t>
  </si>
  <si>
    <t>Cfg</t>
  </si>
  <si>
    <t>Configured</t>
  </si>
  <si>
    <t>Cfgd</t>
  </si>
  <si>
    <t>Confirmation</t>
  </si>
  <si>
    <t>Cfm</t>
  </si>
  <si>
    <t>Confirmed</t>
  </si>
  <si>
    <t>Cfmd</t>
  </si>
  <si>
    <t>Constant</t>
  </si>
  <si>
    <t>Con</t>
  </si>
  <si>
    <t>Consume</t>
  </si>
  <si>
    <t>Cnse</t>
  </si>
  <si>
    <t>Consumption</t>
  </si>
  <si>
    <t>Cns</t>
  </si>
  <si>
    <t>Continuous</t>
  </si>
  <si>
    <t>Contns</t>
  </si>
  <si>
    <t>Control</t>
  </si>
  <si>
    <t>Ctrl</t>
  </si>
  <si>
    <t>Controlled</t>
  </si>
  <si>
    <t>Ctrld</t>
  </si>
  <si>
    <t>Controller</t>
  </si>
  <si>
    <t>Ctrlr</t>
  </si>
  <si>
    <t>Convection</t>
  </si>
  <si>
    <t>Cnvc</t>
  </si>
  <si>
    <t>Conversion</t>
  </si>
  <si>
    <t>Cnvn</t>
  </si>
  <si>
    <t>Converter</t>
  </si>
  <si>
    <t>Cnvr</t>
  </si>
  <si>
    <t>Convertible</t>
  </si>
  <si>
    <t>Cnvtb</t>
  </si>
  <si>
    <t>Cool</t>
  </si>
  <si>
    <t>Coolant</t>
  </si>
  <si>
    <t>Coolt</t>
  </si>
  <si>
    <t>Cooling</t>
  </si>
  <si>
    <t>Coolg</t>
  </si>
  <si>
    <t>This keyword is used to describe the cooling system e.g. of the engine. A cooling request can be fulfilled by air, coolant, ECF, CWP, etc.</t>
  </si>
  <si>
    <t>Coordinated</t>
  </si>
  <si>
    <t>Coord</t>
  </si>
  <si>
    <t>Coordination</t>
  </si>
  <si>
    <t>Coorn</t>
  </si>
  <si>
    <t>Coordinator</t>
  </si>
  <si>
    <t>Coorr</t>
  </si>
  <si>
    <t>Copy</t>
  </si>
  <si>
    <t>Corner</t>
  </si>
  <si>
    <t>Cornr</t>
  </si>
  <si>
    <t>Cornering</t>
  </si>
  <si>
    <t>Cornrg</t>
  </si>
  <si>
    <t>Corrected</t>
  </si>
  <si>
    <t>Corrd</t>
  </si>
  <si>
    <t>Correction</t>
  </si>
  <si>
    <t>Corrn</t>
  </si>
  <si>
    <t>Correlation</t>
  </si>
  <si>
    <t>Corrln</t>
  </si>
  <si>
    <t>Coulomb</t>
  </si>
  <si>
    <t>Unit of measure for Electric charge</t>
  </si>
  <si>
    <t>Count</t>
  </si>
  <si>
    <t>Cnt</t>
  </si>
  <si>
    <t>Cntr</t>
  </si>
  <si>
    <t>Also applicable to running indexes.</t>
  </si>
  <si>
    <t>Countershaft</t>
  </si>
  <si>
    <t>Ctrsft</t>
  </si>
  <si>
    <t>Country</t>
  </si>
  <si>
    <t>Ctry</t>
  </si>
  <si>
    <t>Coupled</t>
  </si>
  <si>
    <t>Coupld</t>
  </si>
  <si>
    <t>Coupling</t>
  </si>
  <si>
    <t>Coupl</t>
  </si>
  <si>
    <t>It is the keyword for any linkage of software modules or functionalities or to express a kind of strict connection between two otherwise not linked parts.</t>
  </si>
  <si>
    <t>Course</t>
  </si>
  <si>
    <t>Cpillar</t>
  </si>
  <si>
    <t>Cpil</t>
  </si>
  <si>
    <t>C-Pillar of a car</t>
  </si>
  <si>
    <t>Crank</t>
  </si>
  <si>
    <t>Crk</t>
  </si>
  <si>
    <t>Crankcase</t>
  </si>
  <si>
    <t>Crkcs</t>
  </si>
  <si>
    <t>Crankshaft</t>
  </si>
  <si>
    <t>Crksft</t>
  </si>
  <si>
    <t>Crash</t>
  </si>
  <si>
    <t>Crawl</t>
  </si>
  <si>
    <t>Creep</t>
  </si>
  <si>
    <t>Crp</t>
  </si>
  <si>
    <t>example: creep mode of automatic transmission</t>
  </si>
  <si>
    <t>Criteria</t>
  </si>
  <si>
    <t>Cta</t>
  </si>
  <si>
    <t>Critical</t>
  </si>
  <si>
    <t>Crit</t>
  </si>
  <si>
    <t>Cruise</t>
  </si>
  <si>
    <t>Crs</t>
  </si>
  <si>
    <t>Cryptography</t>
  </si>
  <si>
    <t>Crypto</t>
  </si>
  <si>
    <t>Cubed</t>
  </si>
  <si>
    <t>Cubd</t>
  </si>
  <si>
    <t>Cubic</t>
  </si>
  <si>
    <t>Cub</t>
  </si>
  <si>
    <t>Curb</t>
  </si>
  <si>
    <t>American English for Kerb</t>
  </si>
  <si>
    <t>Curtain</t>
  </si>
  <si>
    <t>Curt</t>
  </si>
  <si>
    <t>Curvature</t>
  </si>
  <si>
    <t>Crvt</t>
  </si>
  <si>
    <t>Cushion</t>
  </si>
  <si>
    <t>Cush</t>
  </si>
  <si>
    <t>Customer</t>
  </si>
  <si>
    <t>Cust</t>
  </si>
  <si>
    <t>Cut</t>
  </si>
  <si>
    <t>Cvt</t>
  </si>
  <si>
    <t>continuous variable transmission</t>
  </si>
  <si>
    <t>Cycle</t>
  </si>
  <si>
    <t>Cyc</t>
  </si>
  <si>
    <t>Cylinder</t>
  </si>
  <si>
    <t>Cyl</t>
  </si>
  <si>
    <t>D</t>
  </si>
  <si>
    <t>Differential part of a control structure</t>
  </si>
  <si>
    <t>Damper</t>
  </si>
  <si>
    <t>Dampr</t>
  </si>
  <si>
    <t>Damping</t>
  </si>
  <si>
    <t>Dampg</t>
  </si>
  <si>
    <t>Das</t>
  </si>
  <si>
    <t>Driver Assistance System</t>
  </si>
  <si>
    <t>Dashboard</t>
  </si>
  <si>
    <t>Dshb</t>
  </si>
  <si>
    <t>Dashpot</t>
  </si>
  <si>
    <t>Dash</t>
  </si>
  <si>
    <t>Data</t>
  </si>
  <si>
    <t>Date</t>
  </si>
  <si>
    <t>date, point of time. This keyword is used to refer to a precise moment or a specific date. This can be a "time stamp" or a calendar date as well.</t>
  </si>
  <si>
    <t>Day</t>
  </si>
  <si>
    <t>Daytime</t>
  </si>
  <si>
    <t>Dayti</t>
  </si>
  <si>
    <t>Dc</t>
  </si>
  <si>
    <t>direct current/voltage</t>
  </si>
  <si>
    <t>Dcc</t>
  </si>
  <si>
    <t>distance cruise control. In case of cruise control on, the distance to the vehicle ahead is measured. If the distance falls below a defined limit, the vehicle speed is reduced automatically.</t>
  </si>
  <si>
    <t>Dct</t>
  </si>
  <si>
    <t>Dual Clutch Transmission</t>
  </si>
  <si>
    <t>Deactivate</t>
  </si>
  <si>
    <t>Deactvt</t>
  </si>
  <si>
    <t>Deactivated</t>
  </si>
  <si>
    <t>Deactvd</t>
  </si>
  <si>
    <t>Deactivation</t>
  </si>
  <si>
    <t>Deactvn</t>
  </si>
  <si>
    <t>Deadband</t>
  </si>
  <si>
    <t>Dbnd</t>
  </si>
  <si>
    <t>Debounce</t>
  </si>
  <si>
    <t>Deb</t>
  </si>
  <si>
    <t>Deceleration</t>
  </si>
  <si>
    <t>Decel</t>
  </si>
  <si>
    <t>Decrease</t>
  </si>
  <si>
    <t>Dec</t>
  </si>
  <si>
    <t>decrease, decrementation. this keyword is used to express the stepwise descent of a value or counter.</t>
  </si>
  <si>
    <t>Default</t>
  </si>
  <si>
    <t>Dft</t>
  </si>
  <si>
    <t>default</t>
  </si>
  <si>
    <t>Defect</t>
  </si>
  <si>
    <t>Dfct</t>
  </si>
  <si>
    <t>Defined</t>
  </si>
  <si>
    <t>Defd</t>
  </si>
  <si>
    <t>Defrost</t>
  </si>
  <si>
    <t>Defrst</t>
  </si>
  <si>
    <t>Defueling</t>
  </si>
  <si>
    <t>Defu</t>
  </si>
  <si>
    <t>defueling. It shall be used to describe the action of taking fuel out of the tank.</t>
  </si>
  <si>
    <t>Degraded</t>
  </si>
  <si>
    <t>Degree</t>
  </si>
  <si>
    <t>Deg</t>
  </si>
  <si>
    <t>Delay</t>
  </si>
  <si>
    <t>Dly</t>
  </si>
  <si>
    <t>Delta</t>
  </si>
  <si>
    <t>Dem</t>
  </si>
  <si>
    <t>Diagnostic Event Manager</t>
  </si>
  <si>
    <t>Demand</t>
  </si>
  <si>
    <t>Dmd</t>
  </si>
  <si>
    <t>Dens</t>
  </si>
  <si>
    <t>Depression</t>
  </si>
  <si>
    <t>Dep</t>
  </si>
  <si>
    <t>Desired</t>
  </si>
  <si>
    <t>Des</t>
  </si>
  <si>
    <t>Detected</t>
  </si>
  <si>
    <t>Detd</t>
  </si>
  <si>
    <t>Detection</t>
  </si>
  <si>
    <t>Detn</t>
  </si>
  <si>
    <t>Deviation</t>
  </si>
  <si>
    <t>De</t>
  </si>
  <si>
    <t>Device</t>
  </si>
  <si>
    <t>Dev</t>
  </si>
  <si>
    <t>Dew</t>
  </si>
  <si>
    <t>Dew Point</t>
  </si>
  <si>
    <t>Diagnosis</t>
  </si>
  <si>
    <t>Diag</t>
  </si>
  <si>
    <t>Diagnostic</t>
  </si>
  <si>
    <t>Diagc</t>
  </si>
  <si>
    <t>Diameter</t>
  </si>
  <si>
    <t>Diam</t>
  </si>
  <si>
    <t>This name describes the component size, e.g. of driving wheels</t>
  </si>
  <si>
    <t>Diesel</t>
  </si>
  <si>
    <t>Dsl</t>
  </si>
  <si>
    <t>Difference</t>
  </si>
  <si>
    <t>Dif</t>
  </si>
  <si>
    <t>Differential</t>
  </si>
  <si>
    <t>Dftl</t>
  </si>
  <si>
    <t>drive train context</t>
  </si>
  <si>
    <t>Digital</t>
  </si>
  <si>
    <t>Dig</t>
  </si>
  <si>
    <t>Dilution</t>
  </si>
  <si>
    <t>Dil</t>
  </si>
  <si>
    <t>Dim</t>
  </si>
  <si>
    <t>used as compound with Light</t>
  </si>
  <si>
    <t>Dimension</t>
  </si>
  <si>
    <t>Direction</t>
  </si>
  <si>
    <t>Dir</t>
  </si>
  <si>
    <t>Directory</t>
  </si>
  <si>
    <t>Dire</t>
  </si>
  <si>
    <t>Disable</t>
  </si>
  <si>
    <t>Di</t>
  </si>
  <si>
    <t>Disappear</t>
  </si>
  <si>
    <t>Disa</t>
  </si>
  <si>
    <t>disappear. used, in order to define a state of failure: "disappeared failure"</t>
  </si>
  <si>
    <t>Disarm</t>
  </si>
  <si>
    <t>Disarmed</t>
  </si>
  <si>
    <t>Discharge</t>
  </si>
  <si>
    <t>Dcha</t>
  </si>
  <si>
    <t>Discrete</t>
  </si>
  <si>
    <t>Dis</t>
  </si>
  <si>
    <t>Disk</t>
  </si>
  <si>
    <t>Dsk</t>
  </si>
  <si>
    <t>Displacement</t>
  </si>
  <si>
    <t>Dpl</t>
  </si>
  <si>
    <t>Display</t>
  </si>
  <si>
    <t>Disp</t>
  </si>
  <si>
    <t>In both meanings, the display (Component) and to display (Characteristic)</t>
  </si>
  <si>
    <t>Displayed</t>
  </si>
  <si>
    <t>Dispd</t>
  </si>
  <si>
    <t>Distance</t>
  </si>
  <si>
    <t>Dst</t>
  </si>
  <si>
    <t>Distribution</t>
  </si>
  <si>
    <t>Distbn</t>
  </si>
  <si>
    <t>Division</t>
  </si>
  <si>
    <t>Div</t>
  </si>
  <si>
    <t>Door</t>
  </si>
  <si>
    <t>Down</t>
  </si>
  <si>
    <t>Dwn</t>
  </si>
  <si>
    <t>Drag</t>
  </si>
  <si>
    <t>Drg</t>
  </si>
  <si>
    <t>resistance, caused by mechanical, aerodynamical of topographical influences, being effective against a movement</t>
  </si>
  <si>
    <t>Drift</t>
  </si>
  <si>
    <t>Drive</t>
  </si>
  <si>
    <t>Drv</t>
  </si>
  <si>
    <t>drive (gear engaged)</t>
  </si>
  <si>
    <t>Driver</t>
  </si>
  <si>
    <t>Drvr</t>
  </si>
  <si>
    <t>Driver of the vehicle.</t>
  </si>
  <si>
    <t>Drivetrain</t>
  </si>
  <si>
    <t>Dt</t>
  </si>
  <si>
    <t>Driving</t>
  </si>
  <si>
    <t>Drvg</t>
  </si>
  <si>
    <t>Action of driving the vehicle.</t>
  </si>
  <si>
    <t>Drop</t>
  </si>
  <si>
    <t>Drp</t>
  </si>
  <si>
    <t>Dry</t>
  </si>
  <si>
    <t>dry. dry is the opposite of lubricated in case of friction</t>
  </si>
  <si>
    <t>Dtd</t>
  </si>
  <si>
    <t>Drivetrain Torque Distribution</t>
  </si>
  <si>
    <t>Dummy</t>
  </si>
  <si>
    <t>Duration</t>
  </si>
  <si>
    <t>Durn</t>
  </si>
  <si>
    <t>During</t>
  </si>
  <si>
    <t>Durg</t>
  </si>
  <si>
    <t>Duty</t>
  </si>
  <si>
    <t>Dynamic</t>
  </si>
  <si>
    <t>Dyn</t>
  </si>
  <si>
    <t>Dynamometer</t>
  </si>
  <si>
    <t>Dyno</t>
  </si>
  <si>
    <t>Easy</t>
  </si>
  <si>
    <t>Ec</t>
  </si>
  <si>
    <t>European Community</t>
  </si>
  <si>
    <t>Economy</t>
  </si>
  <si>
    <t>Eco</t>
  </si>
  <si>
    <t>economy. related to the detection of driver type either an economy/comfort oriented or a sportive/power requesting driver can be distinguished.</t>
  </si>
  <si>
    <t>Ecu</t>
  </si>
  <si>
    <t>electronic control unit</t>
  </si>
  <si>
    <t>Edge</t>
  </si>
  <si>
    <t>Edit</t>
  </si>
  <si>
    <t>Effective</t>
  </si>
  <si>
    <t>Efc</t>
  </si>
  <si>
    <t>Eff</t>
  </si>
  <si>
    <t>Egr</t>
  </si>
  <si>
    <t>exhaust gas recirculation</t>
  </si>
  <si>
    <t>Egypt</t>
  </si>
  <si>
    <t>Ehb</t>
  </si>
  <si>
    <t>electro hydraulic brake</t>
  </si>
  <si>
    <t>Elapsed</t>
  </si>
  <si>
    <t>Elpd</t>
  </si>
  <si>
    <t>Electric</t>
  </si>
  <si>
    <t>Elec</t>
  </si>
  <si>
    <t>Electronic</t>
  </si>
  <si>
    <t>Electc</t>
  </si>
  <si>
    <t>Electropneumatic</t>
  </si>
  <si>
    <t>Eltpnm</t>
  </si>
  <si>
    <t>Element</t>
  </si>
  <si>
    <t>Elm</t>
  </si>
  <si>
    <t>Emergency</t>
  </si>
  <si>
    <t>Emgy</t>
  </si>
  <si>
    <t>Emission</t>
  </si>
  <si>
    <t>Emi</t>
  </si>
  <si>
    <t>Empty</t>
  </si>
  <si>
    <t>Emulated</t>
  </si>
  <si>
    <t>Emuld</t>
  </si>
  <si>
    <t>Emulation</t>
  </si>
  <si>
    <t>Emuln</t>
  </si>
  <si>
    <t>Enable</t>
  </si>
  <si>
    <t>Ena</t>
  </si>
  <si>
    <t>Enabled</t>
  </si>
  <si>
    <t>Enad</t>
  </si>
  <si>
    <t>Enabling</t>
  </si>
  <si>
    <t>Enag</t>
  </si>
  <si>
    <t>End</t>
  </si>
  <si>
    <t>Energy</t>
  </si>
  <si>
    <t>Egy</t>
  </si>
  <si>
    <t>Engaged</t>
  </si>
  <si>
    <t>Engd</t>
  </si>
  <si>
    <t>Engagement</t>
  </si>
  <si>
    <t>Engmt</t>
  </si>
  <si>
    <t>engagement. to express the situation of engaging e.g. a gear from neutral position / transmission gutter until synchronisation performed.</t>
  </si>
  <si>
    <t>Eng</t>
  </si>
  <si>
    <t>England</t>
  </si>
  <si>
    <t>Enhanced</t>
  </si>
  <si>
    <t>Enhd</t>
  </si>
  <si>
    <t>Enhancement</t>
  </si>
  <si>
    <t>Enhmt</t>
  </si>
  <si>
    <t>Enough</t>
  </si>
  <si>
    <t>Engh</t>
  </si>
  <si>
    <t>Enrichment</t>
  </si>
  <si>
    <t>Enchmt</t>
  </si>
  <si>
    <t>Entry</t>
  </si>
  <si>
    <t>Environmental</t>
  </si>
  <si>
    <t>Envtl</t>
  </si>
  <si>
    <t>Epb</t>
  </si>
  <si>
    <t>Electric Parking Brake</t>
  </si>
  <si>
    <t>Equal</t>
  </si>
  <si>
    <t>Equ</t>
  </si>
  <si>
    <t>Equipment</t>
  </si>
  <si>
    <t>Equip</t>
  </si>
  <si>
    <t>Equipped</t>
  </si>
  <si>
    <t>Equid</t>
  </si>
  <si>
    <t>Equivalent</t>
  </si>
  <si>
    <t>Equiv</t>
  </si>
  <si>
    <t>Erase</t>
  </si>
  <si>
    <t>Error</t>
  </si>
  <si>
    <t>Err</t>
  </si>
  <si>
    <t>information of a defect</t>
  </si>
  <si>
    <t>Esc</t>
  </si>
  <si>
    <t>electronic stability control</t>
  </si>
  <si>
    <t>Estimated</t>
  </si>
  <si>
    <t>Estimd</t>
  </si>
  <si>
    <t>Estimation</t>
  </si>
  <si>
    <t>Estimn</t>
  </si>
  <si>
    <t>Estimator</t>
  </si>
  <si>
    <t>Estimr</t>
  </si>
  <si>
    <t>Evaluation</t>
  </si>
  <si>
    <t>Evln</t>
  </si>
  <si>
    <t>Evaluator</t>
  </si>
  <si>
    <t>Evlr</t>
  </si>
  <si>
    <t>Evaporative</t>
  </si>
  <si>
    <t>Evap</t>
  </si>
  <si>
    <t>Event</t>
  </si>
  <si>
    <t>Eve</t>
  </si>
  <si>
    <t>Exceed</t>
  </si>
  <si>
    <t>Excd</t>
  </si>
  <si>
    <t>Exceeded</t>
  </si>
  <si>
    <t>Excdd</t>
  </si>
  <si>
    <t>Excenter</t>
  </si>
  <si>
    <t>Excr</t>
  </si>
  <si>
    <t>Exception</t>
  </si>
  <si>
    <t>Excpn</t>
  </si>
  <si>
    <t>Excitation</t>
  </si>
  <si>
    <t>Exct</t>
  </si>
  <si>
    <t>the keyword is used to express the technical effect of excitation, e.g. in connection with a current or a voltage in a generator</t>
  </si>
  <si>
    <t>Exclusion</t>
  </si>
  <si>
    <t>Exclsn</t>
  </si>
  <si>
    <t>Exist</t>
  </si>
  <si>
    <t>Expansion</t>
  </si>
  <si>
    <t>Exp</t>
  </si>
  <si>
    <t>This keyword can be used for the expansion phase of the engine cycle.</t>
  </si>
  <si>
    <t>Experiment</t>
  </si>
  <si>
    <t>Expt</t>
  </si>
  <si>
    <t>experiment. In contrast to the keyword Test, it is not used to check an existing functionality, but to try something new.</t>
  </si>
  <si>
    <t>Export</t>
  </si>
  <si>
    <t>Exprt</t>
  </si>
  <si>
    <t>Extend</t>
  </si>
  <si>
    <t>Extn</t>
  </si>
  <si>
    <t>Extended</t>
  </si>
  <si>
    <t>Extd</t>
  </si>
  <si>
    <t>Exterior</t>
  </si>
  <si>
    <t>Extr</t>
  </si>
  <si>
    <t>External</t>
  </si>
  <si>
    <t>Ext</t>
  </si>
  <si>
    <t>Extrapolation</t>
  </si>
  <si>
    <t>Extrpn</t>
  </si>
  <si>
    <t>Faced</t>
  </si>
  <si>
    <t>Facd</t>
  </si>
  <si>
    <t>Fac</t>
  </si>
  <si>
    <t>factor, coefficient</t>
  </si>
  <si>
    <t>Fade</t>
  </si>
  <si>
    <t>Failed</t>
  </si>
  <si>
    <t>Faild</t>
  </si>
  <si>
    <t>Failure</t>
  </si>
  <si>
    <t>Failr</t>
  </si>
  <si>
    <t>Falling</t>
  </si>
  <si>
    <t>Fall</t>
  </si>
  <si>
    <t>Fan</t>
  </si>
  <si>
    <t>Farad</t>
  </si>
  <si>
    <t>Frd</t>
  </si>
  <si>
    <t>Unit of measure for Electric capacitance</t>
  </si>
  <si>
    <t>Fast</t>
  </si>
  <si>
    <t>Fault</t>
  </si>
  <si>
    <t>Flt</t>
  </si>
  <si>
    <t>Favourable</t>
  </si>
  <si>
    <t>Fav</t>
  </si>
  <si>
    <t>Feedback</t>
  </si>
  <si>
    <t>Fb</t>
  </si>
  <si>
    <t>Female</t>
  </si>
  <si>
    <t>Fmale</t>
  </si>
  <si>
    <t>Field</t>
  </si>
  <si>
    <t>Fie</t>
  </si>
  <si>
    <t>File</t>
  </si>
  <si>
    <t>Filling</t>
  </si>
  <si>
    <t>Fillg</t>
  </si>
  <si>
    <t>Filter</t>
  </si>
  <si>
    <t>Fil</t>
  </si>
  <si>
    <t>Filtered</t>
  </si>
  <si>
    <t>Fild</t>
  </si>
  <si>
    <t>Final</t>
  </si>
  <si>
    <t>Finder</t>
  </si>
  <si>
    <t>Findr</t>
  </si>
  <si>
    <t>Fine</t>
  </si>
  <si>
    <t>Finished</t>
  </si>
  <si>
    <t>Finshd</t>
  </si>
  <si>
    <t>First</t>
  </si>
  <si>
    <t>Fixation</t>
  </si>
  <si>
    <t>Fixa</t>
  </si>
  <si>
    <t>Fixed</t>
  </si>
  <si>
    <t>Fixd</t>
  </si>
  <si>
    <t>Flag</t>
  </si>
  <si>
    <t>Flg</t>
  </si>
  <si>
    <t>Flag is a binary value.</t>
  </si>
  <si>
    <t>Flank</t>
  </si>
  <si>
    <t>Flap</t>
  </si>
  <si>
    <t>Flash</t>
  </si>
  <si>
    <t>Flashing</t>
  </si>
  <si>
    <t>Flsg</t>
  </si>
  <si>
    <t>Flipper</t>
  </si>
  <si>
    <t>Flpr</t>
  </si>
  <si>
    <t>Flood</t>
  </si>
  <si>
    <t>Flow</t>
  </si>
  <si>
    <t>Fluctuation</t>
  </si>
  <si>
    <t>Fluc</t>
  </si>
  <si>
    <t>Fluid</t>
  </si>
  <si>
    <t>Fld</t>
  </si>
  <si>
    <t>Flywheel</t>
  </si>
  <si>
    <t>Flywh</t>
  </si>
  <si>
    <t>Fm</t>
  </si>
  <si>
    <t>frequency modulation</t>
  </si>
  <si>
    <t>Fob</t>
  </si>
  <si>
    <t>Transponder device in the Key</t>
  </si>
  <si>
    <t>Fog</t>
  </si>
  <si>
    <t>Fold</t>
  </si>
  <si>
    <t>Follow</t>
  </si>
  <si>
    <t>Folw</t>
  </si>
  <si>
    <t>Follower</t>
  </si>
  <si>
    <t>Fol</t>
  </si>
  <si>
    <t>Footwell</t>
  </si>
  <si>
    <t>Space for vehicle occupants legs</t>
  </si>
  <si>
    <t>For</t>
  </si>
  <si>
    <t>F</t>
  </si>
  <si>
    <t>describes the physical parameter 'force'</t>
  </si>
  <si>
    <t>Format</t>
  </si>
  <si>
    <t>Fmt</t>
  </si>
  <si>
    <t>Forward</t>
  </si>
  <si>
    <t>Fwd</t>
  </si>
  <si>
    <t>Free</t>
  </si>
  <si>
    <t>Freewheeling</t>
  </si>
  <si>
    <t>Fw</t>
  </si>
  <si>
    <t>Frq</t>
  </si>
  <si>
    <t>Friction</t>
  </si>
  <si>
    <t>Fric</t>
  </si>
  <si>
    <t>Friction torque from turbo charger</t>
  </si>
  <si>
    <t>From</t>
  </si>
  <si>
    <t>Front</t>
  </si>
  <si>
    <t>Frnt</t>
  </si>
  <si>
    <t>Frozen</t>
  </si>
  <si>
    <t>Frzn</t>
  </si>
  <si>
    <t>Fuel</t>
  </si>
  <si>
    <t>Fu</t>
  </si>
  <si>
    <t>Full</t>
  </si>
  <si>
    <t>Function</t>
  </si>
  <si>
    <t>Fct</t>
  </si>
  <si>
    <t>Purpose</t>
  </si>
  <si>
    <t>Fusion</t>
  </si>
  <si>
    <t>Fusn</t>
  </si>
  <si>
    <t>Gain</t>
  </si>
  <si>
    <t>Gap</t>
  </si>
  <si>
    <t>Gas</t>
  </si>
  <si>
    <t>Gasoline</t>
  </si>
  <si>
    <t>Gsl</t>
  </si>
  <si>
    <t>This keyword is used to express the fuel type "gasoline".</t>
  </si>
  <si>
    <t>Gear</t>
  </si>
  <si>
    <t>Gearbox</t>
  </si>
  <si>
    <t>Gbx</t>
  </si>
  <si>
    <t>Generated</t>
  </si>
  <si>
    <t>Gend</t>
  </si>
  <si>
    <t>Generator</t>
  </si>
  <si>
    <t>Genr</t>
  </si>
  <si>
    <t>Generic</t>
  </si>
  <si>
    <t>Gen</t>
  </si>
  <si>
    <t>Germany</t>
  </si>
  <si>
    <t>Get</t>
  </si>
  <si>
    <t>Giga</t>
  </si>
  <si>
    <t>Glass</t>
  </si>
  <si>
    <t>Global</t>
  </si>
  <si>
    <t>Glb</t>
  </si>
  <si>
    <t>Glove</t>
  </si>
  <si>
    <t>Glv</t>
  </si>
  <si>
    <t>Glow</t>
  </si>
  <si>
    <t>Glw</t>
  </si>
  <si>
    <t>Governor</t>
  </si>
  <si>
    <t>Govr</t>
  </si>
  <si>
    <t>Grade</t>
  </si>
  <si>
    <t>Grd</t>
  </si>
  <si>
    <t>Gradient</t>
  </si>
  <si>
    <t>Grdt</t>
  </si>
  <si>
    <t>gradient/slope</t>
  </si>
  <si>
    <t>Gram</t>
  </si>
  <si>
    <t>Gr</t>
  </si>
  <si>
    <t>Unit of measure for mass</t>
  </si>
  <si>
    <t>Gravity</t>
  </si>
  <si>
    <t>Grvy</t>
  </si>
  <si>
    <t>This keyword describes the force of attraction between to masses, well known as gravity.</t>
  </si>
  <si>
    <t>Grip</t>
  </si>
  <si>
    <t>example: Maximum desired engine torque for grip adaptation</t>
  </si>
  <si>
    <t>Ground</t>
  </si>
  <si>
    <t>Gnd</t>
  </si>
  <si>
    <t>Group</t>
  </si>
  <si>
    <t>Gulf</t>
  </si>
  <si>
    <t>Half</t>
  </si>
  <si>
    <t>half, semi-. This keyword is used to characterize something for being only one part of two that make a whole item. Example: the time for a half engine segment.</t>
  </si>
  <si>
    <t>Handbrake</t>
  </si>
  <si>
    <t>Hndbrk</t>
  </si>
  <si>
    <t>Handle</t>
  </si>
  <si>
    <t>Hndl</t>
  </si>
  <si>
    <t>The physical device for opening a door</t>
  </si>
  <si>
    <t>Handling</t>
  </si>
  <si>
    <t>Hndlg</t>
  </si>
  <si>
    <t>Hard</t>
  </si>
  <si>
    <t>Hardware</t>
  </si>
  <si>
    <t>Hw</t>
  </si>
  <si>
    <t>This keyword is used to express a relationship to Hardware within a functionality or an environmental tools, e.g. Labcar.</t>
  </si>
  <si>
    <t>Hazard</t>
  </si>
  <si>
    <t>Hzrd</t>
  </si>
  <si>
    <t>Head</t>
  </si>
  <si>
    <t>Hd</t>
  </si>
  <si>
    <t>Header</t>
  </si>
  <si>
    <t>Hdr</t>
  </si>
  <si>
    <t>Headlamp</t>
  </si>
  <si>
    <t>Hdlamp</t>
  </si>
  <si>
    <t>Headrest</t>
  </si>
  <si>
    <t>Hdrest</t>
  </si>
  <si>
    <t>Headrest of seats</t>
  </si>
  <si>
    <t>Heal</t>
  </si>
  <si>
    <t>This keyword is needed for functions that try to heal a failure. E.g. an actuator or a control valve is blocked due to a dirt particle. A free-shaking control signal can lead to releasing the particle from the actuator.</t>
  </si>
  <si>
    <t>Heat</t>
  </si>
  <si>
    <t>Heated</t>
  </si>
  <si>
    <t>Heatd</t>
  </si>
  <si>
    <t>Heater</t>
  </si>
  <si>
    <t>Heatr</t>
  </si>
  <si>
    <t>Heating</t>
  </si>
  <si>
    <t>Heatg</t>
  </si>
  <si>
    <t>Heavy</t>
  </si>
  <si>
    <t>Hvy</t>
  </si>
  <si>
    <t>Hecto</t>
  </si>
  <si>
    <t>Unit of measure for pressure</t>
  </si>
  <si>
    <t>Height</t>
  </si>
  <si>
    <t>Hei</t>
  </si>
  <si>
    <t>Hertz</t>
  </si>
  <si>
    <t>Unit of measure for frequency</t>
  </si>
  <si>
    <t>Hibernate</t>
  </si>
  <si>
    <t>Hbrnt</t>
  </si>
  <si>
    <t>High</t>
  </si>
  <si>
    <t>Hi</t>
  </si>
  <si>
    <t>Hill</t>
  </si>
  <si>
    <t>History</t>
  </si>
  <si>
    <t>Hist</t>
  </si>
  <si>
    <t>for data stored in history memory</t>
  </si>
  <si>
    <t>Hitch</t>
  </si>
  <si>
    <t>Hmi</t>
  </si>
  <si>
    <t>Human-Machine Interface</t>
  </si>
  <si>
    <t>Hold</t>
  </si>
  <si>
    <t>Hld</t>
  </si>
  <si>
    <t>Home</t>
  </si>
  <si>
    <t>Homogeneous</t>
  </si>
  <si>
    <t>Hom</t>
  </si>
  <si>
    <t>Hood</t>
  </si>
  <si>
    <t>e. g. engine hood</t>
  </si>
  <si>
    <t>Hoop</t>
  </si>
  <si>
    <t>Horizontal</t>
  </si>
  <si>
    <t>Hozl</t>
  </si>
  <si>
    <t>Horn</t>
  </si>
  <si>
    <t>Hot</t>
  </si>
  <si>
    <t>Hotel</t>
  </si>
  <si>
    <t>Htl</t>
  </si>
  <si>
    <t>Hour</t>
  </si>
  <si>
    <t>Hr</t>
  </si>
  <si>
    <t>Unit of measure for time</t>
  </si>
  <si>
    <t>Hud</t>
  </si>
  <si>
    <t>head up display. This keyword is used to express the feature of show information right in the field of view of the driver, e.g. by mirroring it onto the wind screen.</t>
  </si>
  <si>
    <t>Humidity</t>
  </si>
  <si>
    <t>Hum</t>
  </si>
  <si>
    <t>the keyword is used to assign the amount of water in a gas or a gaseous mixture. Example: the humidity in the exhaust gas.</t>
  </si>
  <si>
    <t>Hvac</t>
  </si>
  <si>
    <t>Heating Ventilation and Air Conditioning</t>
  </si>
  <si>
    <t>Hybrid</t>
  </si>
  <si>
    <t>Hyb</t>
  </si>
  <si>
    <t>Any vehicle that combines two or more sources of power that can directly or indirectly provide propulsion power is a hybrid</t>
  </si>
  <si>
    <t>Hydraulic</t>
  </si>
  <si>
    <t>Hyd</t>
  </si>
  <si>
    <t>used to characterize hydraulic components</t>
  </si>
  <si>
    <t>Hysteresis</t>
  </si>
  <si>
    <t>Hys</t>
  </si>
  <si>
    <t>I</t>
  </si>
  <si>
    <t>Electric current</t>
  </si>
  <si>
    <t>Ice</t>
  </si>
  <si>
    <t>This keyword expresses an interrelation with ice or with an icy environment, e.g. a functionality to improve the drivability on frosted streets.</t>
  </si>
  <si>
    <t>Identification</t>
  </si>
  <si>
    <t>Idn</t>
  </si>
  <si>
    <t>Identifier</t>
  </si>
  <si>
    <t>Id</t>
  </si>
  <si>
    <t>Idle</t>
  </si>
  <si>
    <t>Ignition</t>
  </si>
  <si>
    <t>Ign</t>
  </si>
  <si>
    <t>Illumination</t>
  </si>
  <si>
    <t>Illmn</t>
  </si>
  <si>
    <t>Immediate</t>
  </si>
  <si>
    <t>Imdt</t>
  </si>
  <si>
    <t>this keyword is used to assign a requirement of minimum delay time or the need to take action as soon as possible.</t>
  </si>
  <si>
    <t>Immobilisation</t>
  </si>
  <si>
    <t>Imobn</t>
  </si>
  <si>
    <t>Immobilizer</t>
  </si>
  <si>
    <t>Imob</t>
  </si>
  <si>
    <t>Impact</t>
  </si>
  <si>
    <t>Impct</t>
  </si>
  <si>
    <t>Implausibility</t>
  </si>
  <si>
    <t>Impy</t>
  </si>
  <si>
    <t>Implausible</t>
  </si>
  <si>
    <t>Imps</t>
  </si>
  <si>
    <t>Import</t>
  </si>
  <si>
    <t>Imprt</t>
  </si>
  <si>
    <t>Impossible</t>
  </si>
  <si>
    <t>Impo</t>
  </si>
  <si>
    <t>Impulse</t>
  </si>
  <si>
    <t>Imp</t>
  </si>
  <si>
    <t>In</t>
  </si>
  <si>
    <t>Preposition for location or condition</t>
  </si>
  <si>
    <t>Inclination</t>
  </si>
  <si>
    <t>Incln</t>
  </si>
  <si>
    <t>Incline</t>
  </si>
  <si>
    <t>Incl</t>
  </si>
  <si>
    <t>Increase</t>
  </si>
  <si>
    <t>Inc</t>
  </si>
  <si>
    <t>This keyword is used to express a stepwise accretion of a value or counter</t>
  </si>
  <si>
    <t>Increment</t>
  </si>
  <si>
    <t>Inct</t>
  </si>
  <si>
    <t>Idx</t>
  </si>
  <si>
    <t>India</t>
  </si>
  <si>
    <t>Indicated</t>
  </si>
  <si>
    <t>Indcd</t>
  </si>
  <si>
    <t>Indication</t>
  </si>
  <si>
    <t>Indcn</t>
  </si>
  <si>
    <t>Indicator</t>
  </si>
  <si>
    <t>Indcr</t>
  </si>
  <si>
    <t>Individual</t>
  </si>
  <si>
    <t>Ind</t>
  </si>
  <si>
    <t>Indonesia</t>
  </si>
  <si>
    <t>Inductive</t>
  </si>
  <si>
    <t>Indu</t>
  </si>
  <si>
    <t>Inertia</t>
  </si>
  <si>
    <t>this keyword is used to express the physical effect that the mass of a body is interacting against its acceleration</t>
  </si>
  <si>
    <t>Information</t>
  </si>
  <si>
    <t>Info</t>
  </si>
  <si>
    <t>Inhibit</t>
  </si>
  <si>
    <t>Inhb</t>
  </si>
  <si>
    <t>Inhibition</t>
  </si>
  <si>
    <t>Inhbn</t>
  </si>
  <si>
    <t>Initial</t>
  </si>
  <si>
    <t>Ini</t>
  </si>
  <si>
    <t>Initialization</t>
  </si>
  <si>
    <t>Inin</t>
  </si>
  <si>
    <t>Injection</t>
  </si>
  <si>
    <t>Inj</t>
  </si>
  <si>
    <t>Injector</t>
  </si>
  <si>
    <t>Injr</t>
  </si>
  <si>
    <t>Input</t>
  </si>
  <si>
    <t>Inp</t>
  </si>
  <si>
    <t>Insert</t>
  </si>
  <si>
    <t>Inside</t>
  </si>
  <si>
    <t>Insd</t>
  </si>
  <si>
    <t>Instance</t>
  </si>
  <si>
    <t>Inst</t>
  </si>
  <si>
    <t>This keyword is used for the characterisation e.g. of a diagnosis, instance of the intake air temperature diagnosis</t>
  </si>
  <si>
    <t>Intake</t>
  </si>
  <si>
    <t>Intk</t>
  </si>
  <si>
    <t>Integer</t>
  </si>
  <si>
    <t>Intgr</t>
  </si>
  <si>
    <t>Integral</t>
  </si>
  <si>
    <t>Intgl</t>
  </si>
  <si>
    <t>Intended</t>
  </si>
  <si>
    <t>Intd</t>
  </si>
  <si>
    <t>Intensity</t>
  </si>
  <si>
    <t>Inten</t>
  </si>
  <si>
    <t>Intercooler</t>
  </si>
  <si>
    <t>Ico</t>
  </si>
  <si>
    <t>Interdomain</t>
  </si>
  <si>
    <t>Interdom</t>
  </si>
  <si>
    <t>Interface</t>
  </si>
  <si>
    <t>If</t>
  </si>
  <si>
    <t>Interior</t>
  </si>
  <si>
    <t>Intr</t>
  </si>
  <si>
    <t>Intermediary</t>
  </si>
  <si>
    <t>Intery</t>
  </si>
  <si>
    <t>Intermediate</t>
  </si>
  <si>
    <t>Inter</t>
  </si>
  <si>
    <t>Intermittent</t>
  </si>
  <si>
    <t>Intm</t>
  </si>
  <si>
    <t>Internal</t>
  </si>
  <si>
    <t>Int</t>
  </si>
  <si>
    <t>Interpolation</t>
  </si>
  <si>
    <t>Intrpn</t>
  </si>
  <si>
    <t>Interpreter</t>
  </si>
  <si>
    <t>Itp</t>
  </si>
  <si>
    <t>For the network layer of KWP2000</t>
  </si>
  <si>
    <t>Interrupt</t>
  </si>
  <si>
    <t>Intrpt</t>
  </si>
  <si>
    <t>Interval</t>
  </si>
  <si>
    <t>Intl</t>
  </si>
  <si>
    <t>Intervention</t>
  </si>
  <si>
    <t>Intv</t>
  </si>
  <si>
    <t>Intervening</t>
  </si>
  <si>
    <t>Intvg</t>
  </si>
  <si>
    <t>Invalid</t>
  </si>
  <si>
    <t>Invld</t>
  </si>
  <si>
    <t>Inverse</t>
  </si>
  <si>
    <t>Ivs</t>
  </si>
  <si>
    <t>Invert</t>
  </si>
  <si>
    <t>Ivt</t>
  </si>
  <si>
    <t>Irreversible</t>
  </si>
  <si>
    <t>Irrv</t>
  </si>
  <si>
    <t>this keyword is used to express that something can not return to a previous status, e.g. in Cruise Control deactivation it means in this case that cruise can not be activated again in the same driving cycle once a deactivation occurred</t>
  </si>
  <si>
    <t>Italy</t>
  </si>
  <si>
    <t>Jam</t>
  </si>
  <si>
    <t>Japan</t>
  </si>
  <si>
    <t>Jerk</t>
  </si>
  <si>
    <t>Joule</t>
  </si>
  <si>
    <t>Jou</t>
  </si>
  <si>
    <t>Unit of measure for energy, work</t>
  </si>
  <si>
    <t>Jump</t>
  </si>
  <si>
    <t>Jmp</t>
  </si>
  <si>
    <t>Kelvin</t>
  </si>
  <si>
    <t>Unit of measure for temperature</t>
  </si>
  <si>
    <t>Key</t>
  </si>
  <si>
    <t>Keyless</t>
  </si>
  <si>
    <t>Keyls</t>
  </si>
  <si>
    <t>Kickdown</t>
  </si>
  <si>
    <t>Kd</t>
  </si>
  <si>
    <t>Kilo</t>
  </si>
  <si>
    <t>Knee</t>
  </si>
  <si>
    <t>knee of human body</t>
  </si>
  <si>
    <t>Knob</t>
  </si>
  <si>
    <t>Knock</t>
  </si>
  <si>
    <t>Knk</t>
  </si>
  <si>
    <t>Korea</t>
  </si>
  <si>
    <t>Lambda</t>
  </si>
  <si>
    <t>Lam</t>
  </si>
  <si>
    <t>Air/Fuel Ratio</t>
  </si>
  <si>
    <t>Lamp</t>
  </si>
  <si>
    <t>this keyword is used do describe the component of a lamp, e.g. in the display of the instrument panel</t>
  </si>
  <si>
    <t>Lane</t>
  </si>
  <si>
    <t>Large</t>
  </si>
  <si>
    <t>Lrg</t>
  </si>
  <si>
    <t>Last</t>
  </si>
  <si>
    <t>Lst</t>
  </si>
  <si>
    <t>Latch</t>
  </si>
  <si>
    <t>Ltch</t>
  </si>
  <si>
    <t>Lateral</t>
  </si>
  <si>
    <t>Lat</t>
  </si>
  <si>
    <t>Leak</t>
  </si>
  <si>
    <t>The power stage for the piezo injectors has a special hardware (leakage compensation) to avoid discharging of capacities.</t>
  </si>
  <si>
    <t>Lean</t>
  </si>
  <si>
    <t>Learn</t>
  </si>
  <si>
    <t>Lrn</t>
  </si>
  <si>
    <t>Learning</t>
  </si>
  <si>
    <t>Lrng</t>
  </si>
  <si>
    <t>Leaving</t>
  </si>
  <si>
    <t>Lvng</t>
  </si>
  <si>
    <t>Led</t>
  </si>
  <si>
    <t>Light Emitting Diode</t>
  </si>
  <si>
    <t>Left</t>
  </si>
  <si>
    <t>Le</t>
  </si>
  <si>
    <t>Length</t>
  </si>
  <si>
    <t>Len</t>
  </si>
  <si>
    <t>Level</t>
  </si>
  <si>
    <t>Lvl</t>
  </si>
  <si>
    <t>Leveling</t>
  </si>
  <si>
    <t>Lvlg</t>
  </si>
  <si>
    <t>Lever</t>
  </si>
  <si>
    <t>Lvr</t>
  </si>
  <si>
    <t>Lid</t>
  </si>
  <si>
    <t>Light</t>
  </si>
  <si>
    <t>Li</t>
  </si>
  <si>
    <t>Lighter</t>
  </si>
  <si>
    <t>Lighting</t>
  </si>
  <si>
    <t>Ltg</t>
  </si>
  <si>
    <t>Limit</t>
  </si>
  <si>
    <t>Lim</t>
  </si>
  <si>
    <t>Limitation</t>
  </si>
  <si>
    <t>Limn</t>
  </si>
  <si>
    <t>Limited</t>
  </si>
  <si>
    <t>Limd</t>
  </si>
  <si>
    <t>Limiter</t>
  </si>
  <si>
    <t>Limr</t>
  </si>
  <si>
    <t>Limp</t>
  </si>
  <si>
    <t>example: Timeout camshaft sensor limp home</t>
  </si>
  <si>
    <t>Line</t>
  </si>
  <si>
    <t>Linear</t>
  </si>
  <si>
    <t>Lnr</t>
  </si>
  <si>
    <t>used for description of linear qualities</t>
  </si>
  <si>
    <t>List</t>
  </si>
  <si>
    <t>Liter</t>
  </si>
  <si>
    <t>unit of measure for volume</t>
  </si>
  <si>
    <t>Load</t>
  </si>
  <si>
    <t>Unit must be percent</t>
  </si>
  <si>
    <t>Location</t>
  </si>
  <si>
    <t>Locn</t>
  </si>
  <si>
    <t>Position</t>
  </si>
  <si>
    <t>Lock</t>
  </si>
  <si>
    <t>Locked</t>
  </si>
  <si>
    <t>Lockd</t>
  </si>
  <si>
    <t>Locking</t>
  </si>
  <si>
    <t>Lockg</t>
  </si>
  <si>
    <t>Logical</t>
  </si>
  <si>
    <t>Logl</t>
  </si>
  <si>
    <t>Long</t>
  </si>
  <si>
    <t>Longitudinal</t>
  </si>
  <si>
    <t>Lgt</t>
  </si>
  <si>
    <t>longitudinal</t>
  </si>
  <si>
    <t>Loop</t>
  </si>
  <si>
    <t>Loss</t>
  </si>
  <si>
    <t>Lost</t>
  </si>
  <si>
    <t>Loudness</t>
  </si>
  <si>
    <t>Ldn</t>
  </si>
  <si>
    <t>Low</t>
  </si>
  <si>
    <t>Lo</t>
  </si>
  <si>
    <t>Lower</t>
  </si>
  <si>
    <t>Lowr</t>
  </si>
  <si>
    <t>Lumbar</t>
  </si>
  <si>
    <t>Lum</t>
  </si>
  <si>
    <t>Machine</t>
  </si>
  <si>
    <t>Mac</t>
  </si>
  <si>
    <t>Magnetic</t>
  </si>
  <si>
    <t>Mag</t>
  </si>
  <si>
    <t>Magnitude</t>
  </si>
  <si>
    <t>Mgn</t>
  </si>
  <si>
    <t>Main</t>
  </si>
  <si>
    <t>Mai</t>
  </si>
  <si>
    <t>Maintenance</t>
  </si>
  <si>
    <t>Mntn</t>
  </si>
  <si>
    <t>Malaysia</t>
  </si>
  <si>
    <t>Male</t>
  </si>
  <si>
    <t>Manage</t>
  </si>
  <si>
    <t>Mng</t>
  </si>
  <si>
    <t>Management</t>
  </si>
  <si>
    <t>Mngt</t>
  </si>
  <si>
    <t>Manager</t>
  </si>
  <si>
    <t>Mgr</t>
  </si>
  <si>
    <t>Manifold</t>
  </si>
  <si>
    <t>Mnfld</t>
  </si>
  <si>
    <t>Manual</t>
  </si>
  <si>
    <t>Man</t>
  </si>
  <si>
    <t>Map</t>
  </si>
  <si>
    <t>Mapping</t>
  </si>
  <si>
    <t>Mpg</t>
  </si>
  <si>
    <t>Marker</t>
  </si>
  <si>
    <t>Mkr</t>
  </si>
  <si>
    <t>Market</t>
  </si>
  <si>
    <t>Mkt</t>
  </si>
  <si>
    <t>This keyword is used to express market in the meaning of delivery areas, e.g. to characterize deviances in a component or function due to different customer market requirements.</t>
  </si>
  <si>
    <t>Mask</t>
  </si>
  <si>
    <t>this keyword is used to characterize a masking of a certain value to separate it from the non-masked one.</t>
  </si>
  <si>
    <t>M</t>
  </si>
  <si>
    <t>Massage</t>
  </si>
  <si>
    <t>Massg</t>
  </si>
  <si>
    <t>Master</t>
  </si>
  <si>
    <t>Mst</t>
  </si>
  <si>
    <t>Mathematical</t>
  </si>
  <si>
    <t>Mat</t>
  </si>
  <si>
    <t>Maximum</t>
  </si>
  <si>
    <t>Measure</t>
  </si>
  <si>
    <t>Meas</t>
  </si>
  <si>
    <t>Measured</t>
  </si>
  <si>
    <t>Measd</t>
  </si>
  <si>
    <t>Mechanic</t>
  </si>
  <si>
    <t>Mec</t>
  </si>
  <si>
    <t>Mechanical</t>
  </si>
  <si>
    <t>Mecl</t>
  </si>
  <si>
    <t>Medium</t>
  </si>
  <si>
    <t>Med</t>
  </si>
  <si>
    <t>Mega</t>
  </si>
  <si>
    <t>Memorise</t>
  </si>
  <si>
    <t>Memr</t>
  </si>
  <si>
    <t>Memorized</t>
  </si>
  <si>
    <t>Memd</t>
  </si>
  <si>
    <t>Memory</t>
  </si>
  <si>
    <t>Mem</t>
  </si>
  <si>
    <t>Meter</t>
  </si>
  <si>
    <t>Mtr</t>
  </si>
  <si>
    <t>Mexico</t>
  </si>
  <si>
    <t>Micro</t>
  </si>
  <si>
    <t>Middle</t>
  </si>
  <si>
    <t>Mid</t>
  </si>
  <si>
    <t>Mileage</t>
  </si>
  <si>
    <t>Milg</t>
  </si>
  <si>
    <t>Milli</t>
  </si>
  <si>
    <t>Minimum</t>
  </si>
  <si>
    <t>Minute</t>
  </si>
  <si>
    <t>Mins</t>
  </si>
  <si>
    <t>Mirror</t>
  </si>
  <si>
    <t>Mirr</t>
  </si>
  <si>
    <t>Miscellaneous</t>
  </si>
  <si>
    <t>Misc</t>
  </si>
  <si>
    <t>Misfire</t>
  </si>
  <si>
    <t>Misf</t>
  </si>
  <si>
    <t>Misfiring</t>
  </si>
  <si>
    <t>Misfg</t>
  </si>
  <si>
    <t>Missing</t>
  </si>
  <si>
    <t>Miss</t>
  </si>
  <si>
    <t>Mitigation</t>
  </si>
  <si>
    <t>Mtgtn</t>
  </si>
  <si>
    <t>Mode</t>
  </si>
  <si>
    <t>Mod</t>
  </si>
  <si>
    <t>Model</t>
  </si>
  <si>
    <t>Mdl</t>
  </si>
  <si>
    <t>Modulation</t>
  </si>
  <si>
    <t>Modln</t>
  </si>
  <si>
    <t>Mole</t>
  </si>
  <si>
    <t>Mol</t>
  </si>
  <si>
    <t>Moment</t>
  </si>
  <si>
    <t>Mom</t>
  </si>
  <si>
    <t>Momentum</t>
  </si>
  <si>
    <t>Momtm</t>
  </si>
  <si>
    <t>Monitor</t>
  </si>
  <si>
    <t>Monr</t>
  </si>
  <si>
    <t>Monitoring</t>
  </si>
  <si>
    <t>Mon</t>
  </si>
  <si>
    <t>Month</t>
  </si>
  <si>
    <t>Mth</t>
  </si>
  <si>
    <t>Motion</t>
  </si>
  <si>
    <t>Mtn</t>
  </si>
  <si>
    <t>Motor</t>
  </si>
  <si>
    <t>Mot</t>
  </si>
  <si>
    <t>Motorcycle</t>
  </si>
  <si>
    <t>Mounted</t>
  </si>
  <si>
    <t>Mntd</t>
  </si>
  <si>
    <t>Mounting</t>
  </si>
  <si>
    <t>Mntg</t>
  </si>
  <si>
    <t>Move</t>
  </si>
  <si>
    <t>Movement</t>
  </si>
  <si>
    <t>Movmt</t>
  </si>
  <si>
    <t>Moving</t>
  </si>
  <si>
    <t>Movg</t>
  </si>
  <si>
    <t>Msr</t>
  </si>
  <si>
    <t>engine drag torque control (also known as "Motorschleppmomentregelung")</t>
  </si>
  <si>
    <t>Mt</t>
  </si>
  <si>
    <t>manual shifted transmission</t>
  </si>
  <si>
    <t>Multimedia</t>
  </si>
  <si>
    <t>Mmed</t>
  </si>
  <si>
    <t>Multiple</t>
  </si>
  <si>
    <t>Mpl</t>
  </si>
  <si>
    <t>Multiplexer</t>
  </si>
  <si>
    <t>Mux</t>
  </si>
  <si>
    <t>rotational speed.</t>
  </si>
  <si>
    <t>Nano</t>
  </si>
  <si>
    <t>Natural</t>
  </si>
  <si>
    <t>Nat</t>
  </si>
  <si>
    <t>Near</t>
  </si>
  <si>
    <t>Negation</t>
  </si>
  <si>
    <t>Negn</t>
  </si>
  <si>
    <t>Negative</t>
  </si>
  <si>
    <t>Neg</t>
  </si>
  <si>
    <t>Network</t>
  </si>
  <si>
    <t>Net</t>
  </si>
  <si>
    <t>describes all kind of networks in general, e. g. an electric network consisting of any type of consumers and generators</t>
  </si>
  <si>
    <t>Neutral</t>
  </si>
  <si>
    <t>Neut</t>
  </si>
  <si>
    <t>New</t>
  </si>
  <si>
    <t>Newton</t>
  </si>
  <si>
    <t>Nwt</t>
  </si>
  <si>
    <t>Night</t>
  </si>
  <si>
    <t>No</t>
  </si>
  <si>
    <t xml:space="preserve"> </t>
  </si>
  <si>
    <t>Node</t>
  </si>
  <si>
    <t>Nod</t>
  </si>
  <si>
    <t>keyword for a junction or joining of lines or ways</t>
  </si>
  <si>
    <t>Noise</t>
  </si>
  <si>
    <t>Nominal</t>
  </si>
  <si>
    <t>Nom</t>
  </si>
  <si>
    <t>Nonlinear</t>
  </si>
  <si>
    <t>Nlnr</t>
  </si>
  <si>
    <t>nonlinear. used for description of non linear characteristics (e.g. for an optional additional nonlinear correction)</t>
  </si>
  <si>
    <t>Nordic</t>
  </si>
  <si>
    <t>Nrdc</t>
  </si>
  <si>
    <t>Normal</t>
  </si>
  <si>
    <t>Norm</t>
  </si>
  <si>
    <t>this keyword is used to describe something as being in the most common mode, e.g. a state machine has a state normal when running properly without disturbance. Do not mix it with Basic for description of fulfilling a basic or minimum requirement.</t>
  </si>
  <si>
    <t>Not</t>
  </si>
  <si>
    <t>Notification</t>
  </si>
  <si>
    <t>Notif</t>
  </si>
  <si>
    <t>Now</t>
  </si>
  <si>
    <t>in this moment</t>
  </si>
  <si>
    <t>Nox</t>
  </si>
  <si>
    <t>nox. This keyword is used to describe the nitrogen oxides (NOx) part of the emissions of a combustion engine.</t>
  </si>
  <si>
    <t>Nozzle</t>
  </si>
  <si>
    <t>Noz</t>
  </si>
  <si>
    <t>Nr</t>
  </si>
  <si>
    <t>this keyword is used to express a numbering in physical meaning</t>
  </si>
  <si>
    <t>Object</t>
  </si>
  <si>
    <t>Obj</t>
  </si>
  <si>
    <t>Observe</t>
  </si>
  <si>
    <t>Obs</t>
  </si>
  <si>
    <t>Observer</t>
  </si>
  <si>
    <t>Obsvr</t>
  </si>
  <si>
    <t>Obstacle</t>
  </si>
  <si>
    <t>Obstcl</t>
  </si>
  <si>
    <t>Obstruction</t>
  </si>
  <si>
    <t>Obstrcn</t>
  </si>
  <si>
    <t>Occupant</t>
  </si>
  <si>
    <t>Occpt</t>
  </si>
  <si>
    <t>Of</t>
  </si>
  <si>
    <t>Off</t>
  </si>
  <si>
    <t>Offroad</t>
  </si>
  <si>
    <t>Offset</t>
  </si>
  <si>
    <t>Offs</t>
  </si>
  <si>
    <t>Unit of measure for electric resistance</t>
  </si>
  <si>
    <t>Oil</t>
  </si>
  <si>
    <t>Ok</t>
  </si>
  <si>
    <t>Old</t>
  </si>
  <si>
    <t>in the calculation period n, the keyword OLD assigns a value from the period (n-1).</t>
  </si>
  <si>
    <t>On</t>
  </si>
  <si>
    <t>Only</t>
  </si>
  <si>
    <t>Open</t>
  </si>
  <si>
    <t>Opened</t>
  </si>
  <si>
    <t>Opend</t>
  </si>
  <si>
    <t>Opener</t>
  </si>
  <si>
    <t>Operation</t>
  </si>
  <si>
    <t>Oper</t>
  </si>
  <si>
    <t>Optical</t>
  </si>
  <si>
    <t>Optic</t>
  </si>
  <si>
    <t>Optimum</t>
  </si>
  <si>
    <t>Optm</t>
  </si>
  <si>
    <t>Optional</t>
  </si>
  <si>
    <t>Opt</t>
  </si>
  <si>
    <t>Or</t>
  </si>
  <si>
    <t>Orientation</t>
  </si>
  <si>
    <t>Orntn</t>
  </si>
  <si>
    <t>Oscillate</t>
  </si>
  <si>
    <t>Osc</t>
  </si>
  <si>
    <t>Oscillation</t>
  </si>
  <si>
    <t>Oscn</t>
  </si>
  <si>
    <t>This keyword is used to describe occurrences of pulsation or oscillation</t>
  </si>
  <si>
    <t>Out</t>
  </si>
  <si>
    <t>Outlet</t>
  </si>
  <si>
    <t>Outl</t>
  </si>
  <si>
    <t>Outlet (e.g. camshaft)</t>
  </si>
  <si>
    <t>Output</t>
  </si>
  <si>
    <t>Outp</t>
  </si>
  <si>
    <t>Outside</t>
  </si>
  <si>
    <t>Outd</t>
  </si>
  <si>
    <t>Over</t>
  </si>
  <si>
    <t>Overflow</t>
  </si>
  <si>
    <t>Ovf</t>
  </si>
  <si>
    <t>Overheated</t>
  </si>
  <si>
    <t>Ovrheatd</t>
  </si>
  <si>
    <t>Overheating</t>
  </si>
  <si>
    <t>Ovrheatg</t>
  </si>
  <si>
    <t>Overload</t>
  </si>
  <si>
    <t>Ovld</t>
  </si>
  <si>
    <t>The keyword is used for an electrical actuator, if the requested power exceeds the allowed long-time power limit. The overload must be possible for a certain time.</t>
  </si>
  <si>
    <t>Overridden</t>
  </si>
  <si>
    <t>Ovrdn</t>
  </si>
  <si>
    <t>Override</t>
  </si>
  <si>
    <t>Ovrd</t>
  </si>
  <si>
    <t>Oxidation</t>
  </si>
  <si>
    <t>Oxd</t>
  </si>
  <si>
    <t>Pad</t>
  </si>
  <si>
    <t>Panel</t>
  </si>
  <si>
    <t>Pan</t>
  </si>
  <si>
    <t>Panic</t>
  </si>
  <si>
    <t>Parameter</t>
  </si>
  <si>
    <t>Prm</t>
  </si>
  <si>
    <t>Parity</t>
  </si>
  <si>
    <t>Par</t>
  </si>
  <si>
    <t>Park</t>
  </si>
  <si>
    <t>Parking</t>
  </si>
  <si>
    <t>Prkg</t>
  </si>
  <si>
    <t>Partial</t>
  </si>
  <si>
    <t>Ptl</t>
  </si>
  <si>
    <t>this keyword expresses the characterization of "only partly, not completely"</t>
  </si>
  <si>
    <t>Pascal</t>
  </si>
  <si>
    <t>Pa</t>
  </si>
  <si>
    <t>Pase</t>
  </si>
  <si>
    <t>Passive Entry</t>
  </si>
  <si>
    <t>Passed</t>
  </si>
  <si>
    <t>Passd</t>
  </si>
  <si>
    <t>Passenger</t>
  </si>
  <si>
    <t>Pass</t>
  </si>
  <si>
    <t>Passive</t>
  </si>
  <si>
    <t>Pas</t>
  </si>
  <si>
    <t>Path</t>
  </si>
  <si>
    <t>Pattern</t>
  </si>
  <si>
    <t>Pat</t>
  </si>
  <si>
    <t>Peak</t>
  </si>
  <si>
    <t>Pedal</t>
  </si>
  <si>
    <t>Pedl</t>
  </si>
  <si>
    <t>Pedestrian</t>
  </si>
  <si>
    <t>Ped</t>
  </si>
  <si>
    <t>Pelvis</t>
  </si>
  <si>
    <t>Pelv</t>
  </si>
  <si>
    <t>pelvis of human body</t>
  </si>
  <si>
    <t>Pending</t>
  </si>
  <si>
    <t>Pnd</t>
  </si>
  <si>
    <t>This keyword is used to build the "pending" fault used in the error management aggregate defined by the ISO 15031-5.5 service $07.</t>
  </si>
  <si>
    <t>Per</t>
  </si>
  <si>
    <t>Percent</t>
  </si>
  <si>
    <t>Perc</t>
  </si>
  <si>
    <t>Period</t>
  </si>
  <si>
    <t>Perd</t>
  </si>
  <si>
    <t>Permanent</t>
  </si>
  <si>
    <t>Prmnt</t>
  </si>
  <si>
    <t>Permille</t>
  </si>
  <si>
    <t>Perml</t>
  </si>
  <si>
    <t>Personal</t>
  </si>
  <si>
    <t>Prsnl</t>
  </si>
  <si>
    <t>Personalization</t>
  </si>
  <si>
    <t>Pen</t>
  </si>
  <si>
    <t>Phase</t>
  </si>
  <si>
    <t>Pha</t>
  </si>
  <si>
    <t>Philippine</t>
  </si>
  <si>
    <t>Physical</t>
  </si>
  <si>
    <t>Phy</t>
  </si>
  <si>
    <t>Pi</t>
  </si>
  <si>
    <t>Pico</t>
  </si>
  <si>
    <t>Pid</t>
  </si>
  <si>
    <t>pid. proportional integral differential</t>
  </si>
  <si>
    <t>Pin</t>
  </si>
  <si>
    <t>Pinion</t>
  </si>
  <si>
    <t>Piston</t>
  </si>
  <si>
    <t>Pist</t>
  </si>
  <si>
    <t>central component in a combustion engine. It serves to transform the gas pressure within the cylinder into a movement. The keyword is used e.g. to express the name for piston temperature</t>
  </si>
  <si>
    <t>Pitch</t>
  </si>
  <si>
    <t>Pitchover</t>
  </si>
  <si>
    <t>Pitchovr</t>
  </si>
  <si>
    <t>Plant</t>
  </si>
  <si>
    <t>Pla</t>
  </si>
  <si>
    <t>Plate</t>
  </si>
  <si>
    <t>Plausible</t>
  </si>
  <si>
    <t>Plaus</t>
  </si>
  <si>
    <t>Pneumatic</t>
  </si>
  <si>
    <t>Pnm</t>
  </si>
  <si>
    <t>used e.g. for description of pneumatic actuators (such as recirculation valve actuator or waste gate actuator)</t>
  </si>
  <si>
    <t>Pointer</t>
  </si>
  <si>
    <t>Ptr</t>
  </si>
  <si>
    <t>Polling</t>
  </si>
  <si>
    <t>Pool</t>
  </si>
  <si>
    <t>Port</t>
  </si>
  <si>
    <t>Posn</t>
  </si>
  <si>
    <t>Positioning</t>
  </si>
  <si>
    <t>Posng</t>
  </si>
  <si>
    <t>Positive</t>
  </si>
  <si>
    <t>Pos</t>
  </si>
  <si>
    <t>Possible</t>
  </si>
  <si>
    <t>Psbl</t>
  </si>
  <si>
    <t>Post</t>
  </si>
  <si>
    <t>Potentiometer</t>
  </si>
  <si>
    <t>Poti</t>
  </si>
  <si>
    <t>Pwr</t>
  </si>
  <si>
    <t>Powertrain</t>
  </si>
  <si>
    <t>Pt</t>
  </si>
  <si>
    <t>Pre</t>
  </si>
  <si>
    <t>used to express any kind of pre-processing like e.g. for pre-injection</t>
  </si>
  <si>
    <t>Precharge</t>
  </si>
  <si>
    <t>Prec</t>
  </si>
  <si>
    <t>Predicted</t>
  </si>
  <si>
    <t>Pred</t>
  </si>
  <si>
    <t>Preliminary</t>
  </si>
  <si>
    <t>Prel</t>
  </si>
  <si>
    <t>Premature</t>
  </si>
  <si>
    <t>Prem</t>
  </si>
  <si>
    <t>Preparation</t>
  </si>
  <si>
    <t>Prepn</t>
  </si>
  <si>
    <t>this characteristic is used to express a general status of preparation, e.g. processing of certain tasks before an activation of a certain component or functionality</t>
  </si>
  <si>
    <t>Prepare</t>
  </si>
  <si>
    <t>Prep</t>
  </si>
  <si>
    <t>Presence</t>
  </si>
  <si>
    <t>Pres</t>
  </si>
  <si>
    <t>Present</t>
  </si>
  <si>
    <t>Prsnt</t>
  </si>
  <si>
    <t>Pressed</t>
  </si>
  <si>
    <t>Psd</t>
  </si>
  <si>
    <t>P</t>
  </si>
  <si>
    <t>Prevention</t>
  </si>
  <si>
    <t>Prevn</t>
  </si>
  <si>
    <t>Previous</t>
  </si>
  <si>
    <t>Prev</t>
  </si>
  <si>
    <t>Primary</t>
  </si>
  <si>
    <t>Prim</t>
  </si>
  <si>
    <t>Priority</t>
  </si>
  <si>
    <t>Prio</t>
  </si>
  <si>
    <t>Probability</t>
  </si>
  <si>
    <t>Problty</t>
  </si>
  <si>
    <t>Process</t>
  </si>
  <si>
    <t>Proc</t>
  </si>
  <si>
    <t>Profile</t>
  </si>
  <si>
    <t>Prof</t>
  </si>
  <si>
    <t>Program</t>
  </si>
  <si>
    <t>Prog</t>
  </si>
  <si>
    <t>Programmed</t>
  </si>
  <si>
    <t>Progd</t>
  </si>
  <si>
    <t>Programming</t>
  </si>
  <si>
    <t>Progm</t>
  </si>
  <si>
    <t>Progress</t>
  </si>
  <si>
    <t>Progs</t>
  </si>
  <si>
    <t>Project</t>
  </si>
  <si>
    <t>Prj</t>
  </si>
  <si>
    <t>Property</t>
  </si>
  <si>
    <t>Ppty</t>
  </si>
  <si>
    <t>Proportional</t>
  </si>
  <si>
    <t>Prop</t>
  </si>
  <si>
    <t>Propulsive</t>
  </si>
  <si>
    <t>Prp</t>
  </si>
  <si>
    <t>opposite of drag resistance. Notion of positive forces generated by a system. Example: for a car, we can list internal combustion engine + starter/generator + electrical engine</t>
  </si>
  <si>
    <t>Protected</t>
  </si>
  <si>
    <t>Protd</t>
  </si>
  <si>
    <t>Protection</t>
  </si>
  <si>
    <t>Protn</t>
  </si>
  <si>
    <t>Ptc</t>
  </si>
  <si>
    <t>Power Train Controller</t>
  </si>
  <si>
    <t>Puddle</t>
  </si>
  <si>
    <t>Pull</t>
  </si>
  <si>
    <t>Pulse</t>
  </si>
  <si>
    <t>Pls</t>
  </si>
  <si>
    <t>a pulse is a simple electrical signal with a defined shape</t>
  </si>
  <si>
    <t>Pump</t>
  </si>
  <si>
    <t>Pmp</t>
  </si>
  <si>
    <t>Purge</t>
  </si>
  <si>
    <t>Purg</t>
  </si>
  <si>
    <t>Push</t>
  </si>
  <si>
    <t>push (start), towing, power on driving, press. keyword for push or active towing (e.g. if a vehicle has to be started by towing, a button is pressed, if there is positive torque inside powertrain)</t>
  </si>
  <si>
    <t>Put</t>
  </si>
  <si>
    <t>Pwm</t>
  </si>
  <si>
    <t>pulse width modulation</t>
  </si>
  <si>
    <t>Pyrometer</t>
  </si>
  <si>
    <t>Pyro</t>
  </si>
  <si>
    <t>this keyword is used to express a relationship to a pyrometer which is a contactless instrument to measure high temperatures</t>
  </si>
  <si>
    <t>Quality</t>
  </si>
  <si>
    <t>Qly</t>
  </si>
  <si>
    <t>This keyword is used to express the word 'quality'</t>
  </si>
  <si>
    <t>Quantity</t>
  </si>
  <si>
    <t>Qnty</t>
  </si>
  <si>
    <t>Quotient</t>
  </si>
  <si>
    <t>Quo</t>
  </si>
  <si>
    <t>Radian</t>
  </si>
  <si>
    <t>Rad</t>
  </si>
  <si>
    <t>As unit of measure for angles</t>
  </si>
  <si>
    <t>Radiator</t>
  </si>
  <si>
    <t>Radr</t>
  </si>
  <si>
    <t>a radiator is a component, that senses out heat. It can be found e.g. in the cooling circuit of a car.</t>
  </si>
  <si>
    <t>Radio</t>
  </si>
  <si>
    <t>Radius</t>
  </si>
  <si>
    <t>Rd</t>
  </si>
  <si>
    <t>Rail</t>
  </si>
  <si>
    <t>common rail. This keyword shall be used to express the common rail, which is a core component in some fuel system configurations (esp. diesel). It is a high pressure fuel container mostly in form of a tube and located close to the engine.</t>
  </si>
  <si>
    <t>Rain</t>
  </si>
  <si>
    <t>Ram</t>
  </si>
  <si>
    <t>Random Access Memory</t>
  </si>
  <si>
    <t>Ramp</t>
  </si>
  <si>
    <t>Random</t>
  </si>
  <si>
    <t>Rnd</t>
  </si>
  <si>
    <t>Range</t>
  </si>
  <si>
    <t>Rng</t>
  </si>
  <si>
    <t>Rate</t>
  </si>
  <si>
    <t>this keyword is used to express a rate in physical meaning</t>
  </si>
  <si>
    <t>Ratio</t>
  </si>
  <si>
    <t>Rat</t>
  </si>
  <si>
    <t>RATIO is used to describe a value gained from a proportion of other values. The unit of RATIO must be [-] (no unit).</t>
  </si>
  <si>
    <t>Raw</t>
  </si>
  <si>
    <t>Unprocessed sensor data.</t>
  </si>
  <si>
    <t>Reaction</t>
  </si>
  <si>
    <t>Reactn</t>
  </si>
  <si>
    <t>Reactivation</t>
  </si>
  <si>
    <t>Reacvn</t>
  </si>
  <si>
    <t>Read</t>
  </si>
  <si>
    <t>Reading</t>
  </si>
  <si>
    <t>Ready</t>
  </si>
  <si>
    <t>Rdy</t>
  </si>
  <si>
    <t>readiness identification</t>
  </si>
  <si>
    <t>Real</t>
  </si>
  <si>
    <t>Real part</t>
  </si>
  <si>
    <t>Realized</t>
  </si>
  <si>
    <t>Relzd</t>
  </si>
  <si>
    <t>Rear</t>
  </si>
  <si>
    <t>Re</t>
  </si>
  <si>
    <t>Rebound</t>
  </si>
  <si>
    <t>Rbd</t>
  </si>
  <si>
    <t>Recall</t>
  </si>
  <si>
    <t>Receive</t>
  </si>
  <si>
    <t>Rx</t>
  </si>
  <si>
    <t>Receiver</t>
  </si>
  <si>
    <t>Rxr</t>
  </si>
  <si>
    <t>Reception</t>
  </si>
  <si>
    <t>Rxn</t>
  </si>
  <si>
    <t>Reciprocal</t>
  </si>
  <si>
    <t>Recpr</t>
  </si>
  <si>
    <t>Recirculation</t>
  </si>
  <si>
    <t>Recirc</t>
  </si>
  <si>
    <t>Recognized</t>
  </si>
  <si>
    <t>Rcnd</t>
  </si>
  <si>
    <t>Record</t>
  </si>
  <si>
    <t>Rec</t>
  </si>
  <si>
    <t>Reduction</t>
  </si>
  <si>
    <t>Redn</t>
  </si>
  <si>
    <t>Reference</t>
  </si>
  <si>
    <t>Ref</t>
  </si>
  <si>
    <t>Refuel</t>
  </si>
  <si>
    <t>Refu</t>
  </si>
  <si>
    <t>Regeneration</t>
  </si>
  <si>
    <t>Rgn</t>
  </si>
  <si>
    <t>Region</t>
  </si>
  <si>
    <t>Regn</t>
  </si>
  <si>
    <t>Regular</t>
  </si>
  <si>
    <t>Rgl</t>
  </si>
  <si>
    <t>this keyword is used to describe e.g. a process as being in a normal status in sense of correctness. It is behaving like wanted (it behaves like wanted to treat a disturbance), it is not out of order.</t>
  </si>
  <si>
    <t>Reinforce</t>
  </si>
  <si>
    <t>Reinf</t>
  </si>
  <si>
    <t>Rejected</t>
  </si>
  <si>
    <t>Rejctd</t>
  </si>
  <si>
    <t>Relative</t>
  </si>
  <si>
    <t>Rel</t>
  </si>
  <si>
    <t>Relay</t>
  </si>
  <si>
    <t>Rly</t>
  </si>
  <si>
    <t>Release</t>
  </si>
  <si>
    <t>Rels</t>
  </si>
  <si>
    <t>Released</t>
  </si>
  <si>
    <t>Reld</t>
  </si>
  <si>
    <t>Relevance</t>
  </si>
  <si>
    <t>Rlvc</t>
  </si>
  <si>
    <t>Relevant</t>
  </si>
  <si>
    <t>Rlv</t>
  </si>
  <si>
    <t>Reminder</t>
  </si>
  <si>
    <t>Rmn</t>
  </si>
  <si>
    <t>Remote</t>
  </si>
  <si>
    <t>Rem</t>
  </si>
  <si>
    <t>Repeat</t>
  </si>
  <si>
    <t>Rep</t>
  </si>
  <si>
    <t>Repetition</t>
  </si>
  <si>
    <t>Repn</t>
  </si>
  <si>
    <t>Request</t>
  </si>
  <si>
    <t>Req</t>
  </si>
  <si>
    <t>Requested</t>
  </si>
  <si>
    <t>Reqd</t>
  </si>
  <si>
    <t>Required</t>
  </si>
  <si>
    <t>Rqrd</t>
  </si>
  <si>
    <t>Reserve</t>
  </si>
  <si>
    <t>Resv</t>
  </si>
  <si>
    <t>Reserved</t>
  </si>
  <si>
    <t>Resd</t>
  </si>
  <si>
    <t>Reset</t>
  </si>
  <si>
    <t>Rst</t>
  </si>
  <si>
    <t>Residual</t>
  </si>
  <si>
    <t>Resi</t>
  </si>
  <si>
    <t>R</t>
  </si>
  <si>
    <t>Unit must be Ohm</t>
  </si>
  <si>
    <t>Resolution</t>
  </si>
  <si>
    <t>Resl</t>
  </si>
  <si>
    <t>Response</t>
  </si>
  <si>
    <t>Resp</t>
  </si>
  <si>
    <t>Rest</t>
  </si>
  <si>
    <t>Restart</t>
  </si>
  <si>
    <t>Rstrt</t>
  </si>
  <si>
    <t>Restore</t>
  </si>
  <si>
    <t>Restraint</t>
  </si>
  <si>
    <t>Restrnt</t>
  </si>
  <si>
    <t>Result</t>
  </si>
  <si>
    <t>Res</t>
  </si>
  <si>
    <t>Resume</t>
  </si>
  <si>
    <t>Resu</t>
  </si>
  <si>
    <t>Retard</t>
  </si>
  <si>
    <t>Rtd</t>
  </si>
  <si>
    <t>Retarder</t>
  </si>
  <si>
    <t>Rtdr</t>
  </si>
  <si>
    <t>Retractor</t>
  </si>
  <si>
    <t>Rtrctr</t>
  </si>
  <si>
    <t>Reverse</t>
  </si>
  <si>
    <t>Rvs</t>
  </si>
  <si>
    <t>Reversible</t>
  </si>
  <si>
    <t>Rvsb</t>
  </si>
  <si>
    <t>This keyword is used to express that something can return to a previous status, e.g. in Cruise Control deactivation: It means in this case that cruise can be activated again in the same driving cycle once a deactivation occurred.</t>
  </si>
  <si>
    <t>Reversing</t>
  </si>
  <si>
    <t>Rvsg</t>
  </si>
  <si>
    <t>Revolution</t>
  </si>
  <si>
    <t>Rev</t>
  </si>
  <si>
    <t>Rho</t>
  </si>
  <si>
    <t>density</t>
  </si>
  <si>
    <t>Rich</t>
  </si>
  <si>
    <t>Ricirculation</t>
  </si>
  <si>
    <t>Rcrltn</t>
  </si>
  <si>
    <t>Ride</t>
  </si>
  <si>
    <t>Right</t>
  </si>
  <si>
    <t>Ri</t>
  </si>
  <si>
    <t>right</t>
  </si>
  <si>
    <t>Rise</t>
  </si>
  <si>
    <t>Rising</t>
  </si>
  <si>
    <t>Risng</t>
  </si>
  <si>
    <t>Rke</t>
  </si>
  <si>
    <t>Remote Keyless Entry</t>
  </si>
  <si>
    <t>Road</t>
  </si>
  <si>
    <t>this keyword is used to express the conditions a street can apply to the vehicle</t>
  </si>
  <si>
    <t>Roll</t>
  </si>
  <si>
    <t>Rollbar</t>
  </si>
  <si>
    <t>(Active) safety roll bar to protect passengers</t>
  </si>
  <si>
    <t>Roller</t>
  </si>
  <si>
    <t>Rollr</t>
  </si>
  <si>
    <t>Rolling</t>
  </si>
  <si>
    <t>Rollg</t>
  </si>
  <si>
    <t>Rollover</t>
  </si>
  <si>
    <t>Rollovr</t>
  </si>
  <si>
    <t>Info from airbag control unit</t>
  </si>
  <si>
    <t>Rom</t>
  </si>
  <si>
    <t>read only memory</t>
  </si>
  <si>
    <t>Ron</t>
  </si>
  <si>
    <t>research octane number</t>
  </si>
  <si>
    <t>Roof</t>
  </si>
  <si>
    <t>Rotary</t>
  </si>
  <si>
    <t>Roty</t>
  </si>
  <si>
    <t>Rotation</t>
  </si>
  <si>
    <t>Rot</t>
  </si>
  <si>
    <t>This keyword is used to express circular motions.</t>
  </si>
  <si>
    <t>Rotational</t>
  </si>
  <si>
    <t>Rotl</t>
  </si>
  <si>
    <t>Roughness</t>
  </si>
  <si>
    <t>Roughns</t>
  </si>
  <si>
    <t>Row</t>
  </si>
  <si>
    <t>Rpm</t>
  </si>
  <si>
    <t>As unit of measure for frequency</t>
  </si>
  <si>
    <t>Rsa</t>
  </si>
  <si>
    <t>Republic of South Africa</t>
  </si>
  <si>
    <t>Rsc</t>
  </si>
  <si>
    <t>Roll Stability Control</t>
  </si>
  <si>
    <t>Run</t>
  </si>
  <si>
    <t>Running</t>
  </si>
  <si>
    <t>Runng</t>
  </si>
  <si>
    <t>Runtime</t>
  </si>
  <si>
    <t>Rt</t>
  </si>
  <si>
    <t>Safe</t>
  </si>
  <si>
    <t>Safety</t>
  </si>
  <si>
    <t>Sfty</t>
  </si>
  <si>
    <t>Sale</t>
  </si>
  <si>
    <t>Sample</t>
  </si>
  <si>
    <t>Saturation</t>
  </si>
  <si>
    <t>Satn</t>
  </si>
  <si>
    <t>Save</t>
  </si>
  <si>
    <t>Saved</t>
  </si>
  <si>
    <t>Scale</t>
  </si>
  <si>
    <t>Sca</t>
  </si>
  <si>
    <t>Scan</t>
  </si>
  <si>
    <t>Scanner</t>
  </si>
  <si>
    <t>Scanr</t>
  </si>
  <si>
    <t>Scavenging</t>
  </si>
  <si>
    <t>Scav</t>
  </si>
  <si>
    <t>The process of pushing fresh gas from the inlet into the exhaust by having big overlap of opened inlet and outlet valve, especially at charged engines is called scavenging.</t>
  </si>
  <si>
    <t>Scheduler</t>
  </si>
  <si>
    <t>Sdl</t>
  </si>
  <si>
    <t>Seat</t>
  </si>
  <si>
    <t>Seating</t>
  </si>
  <si>
    <t>Seatg</t>
  </si>
  <si>
    <t>Second</t>
  </si>
  <si>
    <t>Sec</t>
  </si>
  <si>
    <t>As time unit (mean/env/device), used as "2nd" it is a condition/qualifier</t>
  </si>
  <si>
    <t>Sector</t>
  </si>
  <si>
    <t>Security</t>
  </si>
  <si>
    <t>Secu</t>
  </si>
  <si>
    <t>Seed</t>
  </si>
  <si>
    <t>Segment</t>
  </si>
  <si>
    <t>Seg</t>
  </si>
  <si>
    <t>Segmented</t>
  </si>
  <si>
    <t>Segd</t>
  </si>
  <si>
    <t>Selected</t>
  </si>
  <si>
    <t>Seld</t>
  </si>
  <si>
    <t>Selection</t>
  </si>
  <si>
    <t>Seln</t>
  </si>
  <si>
    <t>Seln is used to assign e.g. the selection of a certain functionality (one out of several strategies) or component (one of several gears, sensors,..) as well as in simulation to select a single entry of an Array by putting Seln at the end of the name</t>
  </si>
  <si>
    <t>Self</t>
  </si>
  <si>
    <t>Send</t>
  </si>
  <si>
    <t>Snd</t>
  </si>
  <si>
    <t>Sensing</t>
  </si>
  <si>
    <t>Sen</t>
  </si>
  <si>
    <t>Sensitivity</t>
  </si>
  <si>
    <t>Snvty</t>
  </si>
  <si>
    <t>Sensor</t>
  </si>
  <si>
    <t>Snsr</t>
  </si>
  <si>
    <t>Sequence</t>
  </si>
  <si>
    <t>Seq</t>
  </si>
  <si>
    <t>Sequential</t>
  </si>
  <si>
    <t>Seql</t>
  </si>
  <si>
    <t>Serial</t>
  </si>
  <si>
    <t>Serl</t>
  </si>
  <si>
    <t>Serie</t>
  </si>
  <si>
    <t>Ser</t>
  </si>
  <si>
    <t>Service</t>
  </si>
  <si>
    <t>Srv</t>
  </si>
  <si>
    <t>a service is a processing routine within a certain functionality. This keyword is used to nominate such services.</t>
  </si>
  <si>
    <t>Servo</t>
  </si>
  <si>
    <t>Set</t>
  </si>
  <si>
    <t>Setpoint</t>
  </si>
  <si>
    <t>Sp</t>
  </si>
  <si>
    <t>Severity</t>
  </si>
  <si>
    <t>Sev</t>
  </si>
  <si>
    <t>Shaft</t>
  </si>
  <si>
    <t>a shaft is a rotating rod, carrying out a certain task or transmitting a force in a powertrain. Example: outbox gearbox shaft.</t>
  </si>
  <si>
    <t>Shield</t>
  </si>
  <si>
    <t>Shd</t>
  </si>
  <si>
    <t>Shift</t>
  </si>
  <si>
    <t>Short</t>
  </si>
  <si>
    <t>Sho</t>
  </si>
  <si>
    <t>short trip</t>
  </si>
  <si>
    <t>Shortening</t>
  </si>
  <si>
    <t>Shong</t>
  </si>
  <si>
    <t>Shutter</t>
  </si>
  <si>
    <t>Shttr</t>
  </si>
  <si>
    <t>Side</t>
  </si>
  <si>
    <t>This keyword is intended for common consideration of inlet and exhaust side.</t>
  </si>
  <si>
    <t>Siemens</t>
  </si>
  <si>
    <t>S</t>
  </si>
  <si>
    <t>Unit of measure for conductance</t>
  </si>
  <si>
    <t>Signal</t>
  </si>
  <si>
    <t>Sig</t>
  </si>
  <si>
    <t>Sill</t>
  </si>
  <si>
    <t>Simple</t>
  </si>
  <si>
    <t>Simulated</t>
  </si>
  <si>
    <t>Simd</t>
  </si>
  <si>
    <t>Simulation</t>
  </si>
  <si>
    <t>Simn</t>
  </si>
  <si>
    <t>Single</t>
  </si>
  <si>
    <t>Sng</t>
  </si>
  <si>
    <t>Sinus</t>
  </si>
  <si>
    <t>Sin</t>
  </si>
  <si>
    <t>Slave</t>
  </si>
  <si>
    <t>Slide</t>
  </si>
  <si>
    <t>Sld</t>
  </si>
  <si>
    <t>Sliding</t>
  </si>
  <si>
    <t>Sldg</t>
  </si>
  <si>
    <t>Slip</t>
  </si>
  <si>
    <t>Slope</t>
  </si>
  <si>
    <t>Slop</t>
  </si>
  <si>
    <t>Slow</t>
  </si>
  <si>
    <t>Smart</t>
  </si>
  <si>
    <t>Smt</t>
  </si>
  <si>
    <t>more and more electronic components take over tasks that had been done before by a central processing unit. Such components are seen as "intelligent" or "smart", whereas the second expression is the one used more generally.</t>
  </si>
  <si>
    <t>Smoothing</t>
  </si>
  <si>
    <t>Smotng</t>
  </si>
  <si>
    <t>Soft</t>
  </si>
  <si>
    <t>Soi</t>
  </si>
  <si>
    <t>start of injection. Unit must be angle</t>
  </si>
  <si>
    <t>Solenoid</t>
  </si>
  <si>
    <t>Soln</t>
  </si>
  <si>
    <t>Soon</t>
  </si>
  <si>
    <t>Sound</t>
  </si>
  <si>
    <t>Sounder</t>
  </si>
  <si>
    <t>Soundr</t>
  </si>
  <si>
    <t>Src</t>
  </si>
  <si>
    <t>Spare</t>
  </si>
  <si>
    <t>Special</t>
  </si>
  <si>
    <t>Spcl</t>
  </si>
  <si>
    <t>Specific</t>
  </si>
  <si>
    <t>Spc</t>
  </si>
  <si>
    <t>for specific environmental data (stored individually with particular failures of one project).</t>
  </si>
  <si>
    <t>Speed</t>
  </si>
  <si>
    <t>Spd</t>
  </si>
  <si>
    <t>Spi</t>
  </si>
  <si>
    <t>serial peripheral interface</t>
  </si>
  <si>
    <t>Spontaneous</t>
  </si>
  <si>
    <t>Spo</t>
  </si>
  <si>
    <t>this Keyword characterizes a sudden, unexpected occurrence. E.g. a not pre-arranged catalyst regeneration phase.</t>
  </si>
  <si>
    <t>Sport</t>
  </si>
  <si>
    <t>Spt</t>
  </si>
  <si>
    <t>Related to the (short- and long term) detection of driver type either an economic/comfort oriented or a sportive/ power requesting driver can be distinguished.</t>
  </si>
  <si>
    <t>Spring</t>
  </si>
  <si>
    <t>Sprg</t>
  </si>
  <si>
    <t>Square</t>
  </si>
  <si>
    <t>Sq</t>
  </si>
  <si>
    <t>the Keyword is used to describe the relationship of a Functional Data to the arithmetic procedure of multiplication of a value with itself.</t>
  </si>
  <si>
    <t>Squared</t>
  </si>
  <si>
    <t>Sqd</t>
  </si>
  <si>
    <t>Ssm</t>
  </si>
  <si>
    <t>Stand Still Manager</t>
  </si>
  <si>
    <t>Stability</t>
  </si>
  <si>
    <t>Staby</t>
  </si>
  <si>
    <t>Stabilization</t>
  </si>
  <si>
    <t>Stabn</t>
  </si>
  <si>
    <t>Stabilizer</t>
  </si>
  <si>
    <t>Stabr</t>
  </si>
  <si>
    <t>Stable</t>
  </si>
  <si>
    <t>Stab</t>
  </si>
  <si>
    <t>Stage</t>
  </si>
  <si>
    <t>Stg</t>
  </si>
  <si>
    <t>Stall</t>
  </si>
  <si>
    <t>Stalling</t>
  </si>
  <si>
    <t>Stallg</t>
  </si>
  <si>
    <t>Stamp</t>
  </si>
  <si>
    <t>Stand</t>
  </si>
  <si>
    <t>Standard</t>
  </si>
  <si>
    <t>Std</t>
  </si>
  <si>
    <t>Signals that are computed by a model, offset compensated and/or filtered, which can be combination of more than one base signals.</t>
  </si>
  <si>
    <t>Standardization</t>
  </si>
  <si>
    <t>Stdn</t>
  </si>
  <si>
    <t>Standby</t>
  </si>
  <si>
    <t>Stb</t>
  </si>
  <si>
    <t>Standing</t>
  </si>
  <si>
    <t>Standg</t>
  </si>
  <si>
    <t>Start</t>
  </si>
  <si>
    <t>Strt</t>
  </si>
  <si>
    <t>Started</t>
  </si>
  <si>
    <t>Strtd</t>
  </si>
  <si>
    <t>Starter</t>
  </si>
  <si>
    <t>Strtr</t>
  </si>
  <si>
    <t>Starting</t>
  </si>
  <si>
    <t>Strtg</t>
  </si>
  <si>
    <t>State</t>
  </si>
  <si>
    <t>St</t>
  </si>
  <si>
    <t>Static</t>
  </si>
  <si>
    <t>Stat</t>
  </si>
  <si>
    <t>Stationary</t>
  </si>
  <si>
    <t>Staty</t>
  </si>
  <si>
    <t>This keyword is used to describe a situation, where a movable part is at rest or a certain condition does not change</t>
  </si>
  <si>
    <t>Statistic</t>
  </si>
  <si>
    <t>Stc</t>
  </si>
  <si>
    <t>Status</t>
  </si>
  <si>
    <t>Sts</t>
  </si>
  <si>
    <t>Steering</t>
  </si>
  <si>
    <t>Steer</t>
  </si>
  <si>
    <t>This keyword is used to express the steering of a car.</t>
  </si>
  <si>
    <t>Step</t>
  </si>
  <si>
    <t>Steradian</t>
  </si>
  <si>
    <t>Srad</t>
  </si>
  <si>
    <t>As a unit of measure for solid angle</t>
  </si>
  <si>
    <t>Stiffness</t>
  </si>
  <si>
    <t>Stfn</t>
  </si>
  <si>
    <t>stiffness is the grade of hardness of a material, e.g. in a damper: it is composed of a spring (stiffness part: force proportional to displacement) and a fluid friction (viscous part: force proportional to speed)</t>
  </si>
  <si>
    <t>Still</t>
  </si>
  <si>
    <t>Stimulation</t>
  </si>
  <si>
    <t>Sti</t>
  </si>
  <si>
    <t>The stimulation describes the inputs for testing of functions.</t>
  </si>
  <si>
    <t>Stoichiometric</t>
  </si>
  <si>
    <t>Stoi</t>
  </si>
  <si>
    <t>Stop</t>
  </si>
  <si>
    <t>Storage</t>
  </si>
  <si>
    <t>Storg</t>
  </si>
  <si>
    <t>Store</t>
  </si>
  <si>
    <t>Strategy</t>
  </si>
  <si>
    <t>Stgy</t>
  </si>
  <si>
    <t>Stratified</t>
  </si>
  <si>
    <t>Strat</t>
  </si>
  <si>
    <t>e. g. used in stratified injection</t>
  </si>
  <si>
    <t>Strike</t>
  </si>
  <si>
    <t>Stroke</t>
  </si>
  <si>
    <t>Stk</t>
  </si>
  <si>
    <t>Structure</t>
  </si>
  <si>
    <t>Struct</t>
  </si>
  <si>
    <t>Stuck</t>
  </si>
  <si>
    <t>the keyword STUCK is used to express e.g. a "stuck reading" coolant temperature sensor. This is an official expression of the CARB (Californian Air Resources Board) and is used in term of OBD II requirements.</t>
  </si>
  <si>
    <t>Substitute</t>
  </si>
  <si>
    <t>Sub</t>
  </si>
  <si>
    <t>Subtractive</t>
  </si>
  <si>
    <t>Subt</t>
  </si>
  <si>
    <t>Subtype</t>
  </si>
  <si>
    <t>Subtyp</t>
  </si>
  <si>
    <t>Suction</t>
  </si>
  <si>
    <t>Suctn</t>
  </si>
  <si>
    <t>Sulphur</t>
  </si>
  <si>
    <t>Su</t>
  </si>
  <si>
    <t>Sum</t>
  </si>
  <si>
    <t>Super</t>
  </si>
  <si>
    <t>Sup</t>
  </si>
  <si>
    <t>example: super charger</t>
  </si>
  <si>
    <t>Superior</t>
  </si>
  <si>
    <t>Supr</t>
  </si>
  <si>
    <t>Superposition</t>
  </si>
  <si>
    <t>Suppsn</t>
  </si>
  <si>
    <t>Supplementary</t>
  </si>
  <si>
    <t>Sppl</t>
  </si>
  <si>
    <t>Supply</t>
  </si>
  <si>
    <t>Sply</t>
  </si>
  <si>
    <t>Suppress</t>
  </si>
  <si>
    <t>Supp</t>
  </si>
  <si>
    <t>Surge</t>
  </si>
  <si>
    <t>surging, surge line. this keyword is used to describe the appearance of surging effects in an (air-)stream, e.g. at the surge line of a turbocharger (which is a characteristic parameter)</t>
  </si>
  <si>
    <t>Surroundings</t>
  </si>
  <si>
    <t>Surrndgs</t>
  </si>
  <si>
    <t>Suspension</t>
  </si>
  <si>
    <t>Susp</t>
  </si>
  <si>
    <t>Suspicion</t>
  </si>
  <si>
    <t>Suspc</t>
  </si>
  <si>
    <t>Swirl</t>
  </si>
  <si>
    <t>Swt</t>
  </si>
  <si>
    <t>Switchable</t>
  </si>
  <si>
    <t>Swil</t>
  </si>
  <si>
    <t>Switzerland</t>
  </si>
  <si>
    <t>Symptom</t>
  </si>
  <si>
    <t>Sym</t>
  </si>
  <si>
    <t>Synchronization</t>
  </si>
  <si>
    <t>Syncn</t>
  </si>
  <si>
    <t>Synchronize</t>
  </si>
  <si>
    <t>Sync</t>
  </si>
  <si>
    <t>Synchronized</t>
  </si>
  <si>
    <t>Syncd</t>
  </si>
  <si>
    <t>System</t>
  </si>
  <si>
    <t>Sys</t>
  </si>
  <si>
    <t>Table</t>
  </si>
  <si>
    <t>Tbl</t>
  </si>
  <si>
    <t>Taiwan</t>
  </si>
  <si>
    <t>Tank</t>
  </si>
  <si>
    <t>Target</t>
  </si>
  <si>
    <t>Tar</t>
  </si>
  <si>
    <t>Tau</t>
  </si>
  <si>
    <t>Time constant of a control sys. (-&gt; P, I, D!)</t>
  </si>
  <si>
    <t>Telegram</t>
  </si>
  <si>
    <t>Telgrm</t>
  </si>
  <si>
    <t>Telematics</t>
  </si>
  <si>
    <t>Telm</t>
  </si>
  <si>
    <t>Telltale</t>
  </si>
  <si>
    <t>Telltl</t>
  </si>
  <si>
    <t>T</t>
  </si>
  <si>
    <t>Temporary</t>
  </si>
  <si>
    <t>Tmp</t>
  </si>
  <si>
    <t>Tensioner</t>
  </si>
  <si>
    <t>Tensnr</t>
  </si>
  <si>
    <t>Term</t>
  </si>
  <si>
    <t>Terminal</t>
  </si>
  <si>
    <t>Test</t>
  </si>
  <si>
    <t>Thailand</t>
  </si>
  <si>
    <t>Theoretical</t>
  </si>
  <si>
    <t>Theo</t>
  </si>
  <si>
    <t>Thermal</t>
  </si>
  <si>
    <t>Therm</t>
  </si>
  <si>
    <t>Thermo</t>
  </si>
  <si>
    <t>Thermostat</t>
  </si>
  <si>
    <t>Th</t>
  </si>
  <si>
    <t>Third</t>
  </si>
  <si>
    <t>Thrd</t>
  </si>
  <si>
    <t>Thorax</t>
  </si>
  <si>
    <t>thorax of human body</t>
  </si>
  <si>
    <t>Threshold</t>
  </si>
  <si>
    <t>Thd</t>
  </si>
  <si>
    <t>Throttle</t>
  </si>
  <si>
    <t>Thr</t>
  </si>
  <si>
    <t>Tightness</t>
  </si>
  <si>
    <t>Tgtnss</t>
  </si>
  <si>
    <t>Tilt</t>
  </si>
  <si>
    <t>Time</t>
  </si>
  <si>
    <t>Ti</t>
  </si>
  <si>
    <t>Time, duration</t>
  </si>
  <si>
    <t>Timer</t>
  </si>
  <si>
    <t>Tmr</t>
  </si>
  <si>
    <t>this keyword is used to express a timer. A timer is counter for a defined time span.</t>
  </si>
  <si>
    <t>Tinting</t>
  </si>
  <si>
    <t>Tintg</t>
  </si>
  <si>
    <t>Action of changing the color of an object</t>
  </si>
  <si>
    <t>Tip</t>
  </si>
  <si>
    <t>Tire</t>
  </si>
  <si>
    <t>Titanium</t>
  </si>
  <si>
    <t>Tit</t>
  </si>
  <si>
    <t>Tn</t>
  </si>
  <si>
    <t>time constant for discrete control structures. This keyword is used in control engineering context as time constant for discrete control structures</t>
  </si>
  <si>
    <t>To</t>
  </si>
  <si>
    <t>toward something,…..</t>
  </si>
  <si>
    <t>Toggle</t>
  </si>
  <si>
    <t>Tog</t>
  </si>
  <si>
    <t>Tolerance</t>
  </si>
  <si>
    <t>Tolr</t>
  </si>
  <si>
    <t>Tooth</t>
  </si>
  <si>
    <t>Top</t>
  </si>
  <si>
    <t>Tq</t>
  </si>
  <si>
    <t>Torsion</t>
  </si>
  <si>
    <t>Tors</t>
  </si>
  <si>
    <t>Total</t>
  </si>
  <si>
    <t>Tot</t>
  </si>
  <si>
    <t>Touched</t>
  </si>
  <si>
    <t>Touchd</t>
  </si>
  <si>
    <t>Tout</t>
  </si>
  <si>
    <t>time out</t>
  </si>
  <si>
    <t>Traction</t>
  </si>
  <si>
    <t>Trac</t>
  </si>
  <si>
    <t>Trailer</t>
  </si>
  <si>
    <t>Trlr</t>
  </si>
  <si>
    <t>a wheeled but not motorized vehicle which can be pulled by a motorized vehicle</t>
  </si>
  <si>
    <t>Transfer</t>
  </si>
  <si>
    <t>Trf</t>
  </si>
  <si>
    <t>Transient</t>
  </si>
  <si>
    <t>Tra</t>
  </si>
  <si>
    <t>Transition</t>
  </si>
  <si>
    <t>Tran</t>
  </si>
  <si>
    <t>Transmission</t>
  </si>
  <si>
    <t>Trsm</t>
  </si>
  <si>
    <t>In a mechanical context</t>
  </si>
  <si>
    <t>Transmit</t>
  </si>
  <si>
    <t>Tx</t>
  </si>
  <si>
    <t>In a communication protocol context</t>
  </si>
  <si>
    <t>Transversal</t>
  </si>
  <si>
    <t>Trv</t>
  </si>
  <si>
    <t>transversal in opposite to longitudinal. e.g. used for acceleration</t>
  </si>
  <si>
    <t>Trap</t>
  </si>
  <si>
    <t>Trapping</t>
  </si>
  <si>
    <t>Trapg</t>
  </si>
  <si>
    <t>In case of scavenging the total fresh gas flowing into the cylinder is bigger than the mass air flow staying in the cylinder. The ratio of the mass air flow in the cylinder to the total mass air flow is called trapping efficiency</t>
  </si>
  <si>
    <t>Travel</t>
  </si>
  <si>
    <t>Trvl</t>
  </si>
  <si>
    <t>Travelled</t>
  </si>
  <si>
    <t>Trvld</t>
  </si>
  <si>
    <t>Treatment</t>
  </si>
  <si>
    <t>Treat</t>
  </si>
  <si>
    <t>Trigger</t>
  </si>
  <si>
    <t>Trig</t>
  </si>
  <si>
    <t>Trip</t>
  </si>
  <si>
    <t>Trouble</t>
  </si>
  <si>
    <t>Tro</t>
  </si>
  <si>
    <t>Truck</t>
  </si>
  <si>
    <t>Trunk</t>
  </si>
  <si>
    <t>Tr</t>
  </si>
  <si>
    <t>Tube</t>
  </si>
  <si>
    <t>the keyword TUBE expresses any kind of a pipe, for instance the exhaust .</t>
  </si>
  <si>
    <t>Tumble</t>
  </si>
  <si>
    <t>Tumb</t>
  </si>
  <si>
    <t>Tuning</t>
  </si>
  <si>
    <t>Tun</t>
  </si>
  <si>
    <t>Turbine</t>
  </si>
  <si>
    <t>Trb</t>
  </si>
  <si>
    <t>To describe a turbine (turbine wheel) in general, e.g. in a hydraulic torque converter or in a turbocharger</t>
  </si>
  <si>
    <t>Turbulence</t>
  </si>
  <si>
    <t>Trbl</t>
  </si>
  <si>
    <t>Flow regime characterized by chaotic stochastic property changes</t>
  </si>
  <si>
    <t>Turn</t>
  </si>
  <si>
    <t>Twilight</t>
  </si>
  <si>
    <t>Twli</t>
  </si>
  <si>
    <t>Type</t>
  </si>
  <si>
    <t>Typ</t>
  </si>
  <si>
    <t>Uds</t>
  </si>
  <si>
    <t>Unified Diagnostic Services. UDS (Unified Diagnostic Services) is a new world-wide standard for Diagnostics according to ISO14229-1</t>
  </si>
  <si>
    <t>Undefined</t>
  </si>
  <si>
    <t>Undefd</t>
  </si>
  <si>
    <t>Unfavourable</t>
  </si>
  <si>
    <t>Unfav</t>
  </si>
  <si>
    <t>Unknown</t>
  </si>
  <si>
    <t>Ukwn</t>
  </si>
  <si>
    <t>Unlock</t>
  </si>
  <si>
    <t>Unlck</t>
  </si>
  <si>
    <t>Unlocked</t>
  </si>
  <si>
    <t>Unlckd</t>
  </si>
  <si>
    <t>Up</t>
  </si>
  <si>
    <t>Update</t>
  </si>
  <si>
    <t>Upd</t>
  </si>
  <si>
    <t>Upper</t>
  </si>
  <si>
    <t>Uppr</t>
  </si>
  <si>
    <t>Upstream</t>
  </si>
  <si>
    <t>Us</t>
  </si>
  <si>
    <t>Upward</t>
  </si>
  <si>
    <t>Upw</t>
  </si>
  <si>
    <t>Usa</t>
  </si>
  <si>
    <t>United States of America</t>
  </si>
  <si>
    <t>Use</t>
  </si>
  <si>
    <t>User</t>
  </si>
  <si>
    <t>Usr</t>
  </si>
  <si>
    <t>Vacuum</t>
  </si>
  <si>
    <t>Vac</t>
  </si>
  <si>
    <t>Valid</t>
  </si>
  <si>
    <t>Vld</t>
  </si>
  <si>
    <t>Validate</t>
  </si>
  <si>
    <t>Vldt</t>
  </si>
  <si>
    <t>Value</t>
  </si>
  <si>
    <t>Val</t>
  </si>
  <si>
    <t>Valve</t>
  </si>
  <si>
    <t>Vlv</t>
  </si>
  <si>
    <t>Van</t>
  </si>
  <si>
    <t>Vanity</t>
  </si>
  <si>
    <t>Vapor</t>
  </si>
  <si>
    <t>Vap</t>
  </si>
  <si>
    <t>Variance</t>
  </si>
  <si>
    <t>Vari</t>
  </si>
  <si>
    <t>Variant</t>
  </si>
  <si>
    <t>Vrnt</t>
  </si>
  <si>
    <t>Vcc</t>
  </si>
  <si>
    <t>supply voltage</t>
  </si>
  <si>
    <t>Vcv</t>
  </si>
  <si>
    <t>high pressure pump volume control valve</t>
  </si>
  <si>
    <t>Vector</t>
  </si>
  <si>
    <t>Vect</t>
  </si>
  <si>
    <t>Vehicle</t>
  </si>
  <si>
    <t>Veh</t>
  </si>
  <si>
    <t>Velocity</t>
  </si>
  <si>
    <t>Vent</t>
  </si>
  <si>
    <t>Ventilation</t>
  </si>
  <si>
    <t>Ventn</t>
  </si>
  <si>
    <t>Version</t>
  </si>
  <si>
    <t>Vers</t>
  </si>
  <si>
    <t>Vertical</t>
  </si>
  <si>
    <t>Vert</t>
  </si>
  <si>
    <t>Vietnam</t>
  </si>
  <si>
    <t>Vin</t>
  </si>
  <si>
    <t>vehicle identification number. this keyword is used to describe the vehicle identification number. This is certain code which is unique for every vehicle and is used for its identification.</t>
  </si>
  <si>
    <t>Virtual</t>
  </si>
  <si>
    <t>Virt</t>
  </si>
  <si>
    <t>Viscosity</t>
  </si>
  <si>
    <t>Vcos</t>
  </si>
  <si>
    <t>Viscosity describes the thickness of a fluid, e.g. in a damper: it is composed of a spring (stiffness part: force proportional to displacement) and a fluid friction (viscous part: force proportional to speed)</t>
  </si>
  <si>
    <t>Visibility</t>
  </si>
  <si>
    <t>Visy</t>
  </si>
  <si>
    <t>Visual</t>
  </si>
  <si>
    <t>Vis</t>
  </si>
  <si>
    <t>Vlc</t>
  </si>
  <si>
    <t>Vehicle Longitudinal Control</t>
  </si>
  <si>
    <t>Volt</t>
  </si>
  <si>
    <t>As unit of measure for voltage</t>
  </si>
  <si>
    <t>U</t>
  </si>
  <si>
    <t>Vol</t>
  </si>
  <si>
    <t>Volumetric</t>
  </si>
  <si>
    <t>Volmc</t>
  </si>
  <si>
    <t>Wait</t>
  </si>
  <si>
    <t>Warm</t>
  </si>
  <si>
    <t>Wrm</t>
  </si>
  <si>
    <t>Warning</t>
  </si>
  <si>
    <t>Warn</t>
  </si>
  <si>
    <t>Washer</t>
  </si>
  <si>
    <t>Wshr</t>
  </si>
  <si>
    <t>Washing</t>
  </si>
  <si>
    <t>Wshng</t>
  </si>
  <si>
    <t>Water</t>
  </si>
  <si>
    <t>Wtr</t>
  </si>
  <si>
    <t>Watt</t>
  </si>
  <si>
    <t>As unit of measure for power</t>
  </si>
  <si>
    <t>Way</t>
  </si>
  <si>
    <t>Weather</t>
  </si>
  <si>
    <t>Wthr</t>
  </si>
  <si>
    <t>Weight</t>
  </si>
  <si>
    <t>Wght</t>
  </si>
  <si>
    <t>Wheel</t>
  </si>
  <si>
    <t>Whl</t>
  </si>
  <si>
    <t>Wheels</t>
  </si>
  <si>
    <t>Whls</t>
  </si>
  <si>
    <t>Wide</t>
  </si>
  <si>
    <t>keyword is used to specify gear box type, which is distinguished via variant coding (wide ratio: long transmission ratio for lower rpm. closed ratio: sports transmission ratio)</t>
  </si>
  <si>
    <t>Width</t>
  </si>
  <si>
    <t>Window</t>
  </si>
  <si>
    <t>Win</t>
  </si>
  <si>
    <t>Windscreen</t>
  </si>
  <si>
    <t>Wind</t>
  </si>
  <si>
    <t>Winter</t>
  </si>
  <si>
    <t>Wntr</t>
  </si>
  <si>
    <t>Wiper</t>
  </si>
  <si>
    <t>Wipr</t>
  </si>
  <si>
    <t>Wiping</t>
  </si>
  <si>
    <t>Wipg</t>
  </si>
  <si>
    <t>Wireless</t>
  </si>
  <si>
    <t>Wirels</t>
  </si>
  <si>
    <t>Used for Wireless connection</t>
  </si>
  <si>
    <t>Wish</t>
  </si>
  <si>
    <t>Wished</t>
  </si>
  <si>
    <t>Wishd</t>
  </si>
  <si>
    <t>With</t>
  </si>
  <si>
    <t>preposition</t>
  </si>
  <si>
    <t>Within</t>
  </si>
  <si>
    <t>Without</t>
  </si>
  <si>
    <t>Wo</t>
  </si>
  <si>
    <t>Word</t>
  </si>
  <si>
    <t>Work</t>
  </si>
  <si>
    <t>World</t>
  </si>
  <si>
    <t>Write</t>
  </si>
  <si>
    <t>Wr</t>
  </si>
  <si>
    <t>Wrong</t>
  </si>
  <si>
    <t>Wrg</t>
  </si>
  <si>
    <t>is used to express a mismatch which does not have to be treated by error management diagnosis</t>
  </si>
  <si>
    <t>Xposition</t>
  </si>
  <si>
    <t>Xpos</t>
  </si>
  <si>
    <t>X position</t>
  </si>
  <si>
    <t>Yaw</t>
  </si>
  <si>
    <t>Year</t>
  </si>
  <si>
    <t>Yr</t>
  </si>
  <si>
    <t>Yposition</t>
  </si>
  <si>
    <t>Ypos</t>
  </si>
  <si>
    <t>Y position</t>
  </si>
  <si>
    <t>C</t>
  </si>
  <si>
    <t>CA</t>
  </si>
  <si>
    <t>MAP</t>
  </si>
  <si>
    <t>SY</t>
  </si>
  <si>
    <t>Point</t>
  </si>
  <si>
    <t>Pnt</t>
  </si>
  <si>
    <t>Sample time</t>
  </si>
  <si>
    <t>Angle velocity</t>
  </si>
  <si>
    <t>omega</t>
  </si>
  <si>
    <t>Prediction</t>
  </si>
  <si>
    <t>Predictive</t>
  </si>
  <si>
    <t>Predv</t>
  </si>
  <si>
    <t>Predtn</t>
  </si>
  <si>
    <t>Module</t>
  </si>
  <si>
    <t>Modl</t>
  </si>
  <si>
    <t>Optimizer</t>
  </si>
  <si>
    <t>Optmr</t>
  </si>
  <si>
    <t>Operating</t>
  </si>
  <si>
    <t>Opertg</t>
  </si>
  <si>
    <t>Pto</t>
  </si>
  <si>
    <t>Power Take-off</t>
  </si>
  <si>
    <t>Supervisor</t>
  </si>
  <si>
    <t>Supvr</t>
  </si>
  <si>
    <t>Induced</t>
  </si>
  <si>
    <t>Idc</t>
  </si>
  <si>
    <t>Onboard</t>
  </si>
  <si>
    <t>Onbd</t>
  </si>
  <si>
    <t>Prioritization</t>
  </si>
  <si>
    <t>Priozn</t>
  </si>
  <si>
    <t>ETK</t>
  </si>
  <si>
    <t>optiTruck_Base_Sim_Environment</t>
  </si>
  <si>
    <t>Functionality</t>
  </si>
  <si>
    <t>m/s</t>
  </si>
  <si>
    <t>kg/s</t>
  </si>
  <si>
    <t>deg/s</t>
  </si>
  <si>
    <t>s</t>
  </si>
  <si>
    <t>m/s²</t>
  </si>
  <si>
    <t>m²</t>
  </si>
  <si>
    <t>kg/m³</t>
  </si>
  <si>
    <t>kgm²</t>
  </si>
  <si>
    <t>m³</t>
  </si>
  <si>
    <t>ht</t>
  </si>
  <si>
    <t>Parameter Name</t>
  </si>
  <si>
    <t>Physical Quantity</t>
  </si>
  <si>
    <t>Functionality (Source)</t>
  </si>
  <si>
    <t>Parameter Specification</t>
  </si>
  <si>
    <t>Parameter Naming</t>
  </si>
  <si>
    <t>MyLord</t>
  </si>
  <si>
    <t>myL</t>
  </si>
  <si>
    <t>Environment</t>
  </si>
  <si>
    <t>Env</t>
  </si>
  <si>
    <t>Driveline</t>
  </si>
  <si>
    <t>Drvln</t>
  </si>
  <si>
    <t>Rapid</t>
  </si>
  <si>
    <t>Rpd</t>
  </si>
  <si>
    <t>Prototype</t>
  </si>
  <si>
    <t>Ptype</t>
  </si>
  <si>
    <t>Prototyping</t>
  </si>
  <si>
    <t>Ptyping</t>
  </si>
  <si>
    <t>Auxiliaries</t>
  </si>
  <si>
    <t>Mat - Files</t>
  </si>
  <si>
    <t>Logging Sample Time</t>
  </si>
  <si>
    <t>Results</t>
  </si>
  <si>
    <t>Logging</t>
  </si>
  <si>
    <t>Surrounding</t>
  </si>
  <si>
    <t>Vehicles</t>
  </si>
  <si>
    <t>Surrndg</t>
  </si>
  <si>
    <t>Vehs</t>
  </si>
  <si>
    <t>Volume Flow</t>
  </si>
  <si>
    <t>volfl</t>
  </si>
  <si>
    <t>m³/s</t>
  </si>
  <si>
    <t>CURX</t>
  </si>
  <si>
    <t>CURY</t>
  </si>
  <si>
    <t>CURZ</t>
  </si>
  <si>
    <t>x axis</t>
  </si>
  <si>
    <t>y axis</t>
  </si>
  <si>
    <t>z axis</t>
  </si>
  <si>
    <t>map (1D,2D,3D)</t>
  </si>
  <si>
    <t>Boolean</t>
  </si>
  <si>
    <t>Log DataSet Name</t>
  </si>
  <si>
    <t>Simunlink model name</t>
  </si>
  <si>
    <t>INT</t>
  </si>
  <si>
    <t>CLD</t>
  </si>
  <si>
    <t>PHY</t>
  </si>
  <si>
    <t>Signal description</t>
  </si>
  <si>
    <t>Signal long Name</t>
  </si>
  <si>
    <t>Signal short Name</t>
  </si>
  <si>
    <t>The optimal speed calculated in cloud and provided to truck for tracking.</t>
  </si>
  <si>
    <t>Reference Speed</t>
  </si>
  <si>
    <t>RefSpd</t>
  </si>
  <si>
    <t>Reference Speed Generator</t>
  </si>
  <si>
    <t>Linear Speed [v]</t>
  </si>
  <si>
    <t>RefSpdGenr_vRefSpd_CLD</t>
  </si>
  <si>
    <t>[1 1]</t>
  </si>
  <si>
    <t>yes</t>
  </si>
  <si>
    <t>output</t>
  </si>
  <si>
    <t>RefSpdGenr</t>
  </si>
  <si>
    <t>optiTruck_ControlSystem</t>
  </si>
  <si>
    <t>Driver Model</t>
  </si>
  <si>
    <t>DrvrMdl</t>
  </si>
  <si>
    <t xml:space="preserve">This acceleration pedal position is given as output from the driver model. </t>
  </si>
  <si>
    <t>Acceleration Pedal Position</t>
  </si>
  <si>
    <t>APedlPosn</t>
  </si>
  <si>
    <t>Ratio, Duty Cycle [r]</t>
  </si>
  <si>
    <t>DrvrMdl_rAPedlPosn_CAN</t>
  </si>
  <si>
    <t>no</t>
  </si>
  <si>
    <t xml:space="preserve">The brake pedal position is given as output from the driver model. </t>
  </si>
  <si>
    <t>Brake Pedal Position</t>
  </si>
  <si>
    <t>BrkPedlPosn</t>
  </si>
  <si>
    <t>DrvrMdl_rBrkPedlPosn_CAN</t>
  </si>
  <si>
    <t xml:space="preserve">Cruise control switch indicates whether the truck is driver by the driver of cruise control system. </t>
  </si>
  <si>
    <t>Cruise Control Switch</t>
  </si>
  <si>
    <t>CrsCtrlSwt</t>
  </si>
  <si>
    <t>Switch [swt]</t>
  </si>
  <si>
    <t>DrvrMdl_swtCrsCtrlSwt_CAN</t>
  </si>
  <si>
    <t>input</t>
  </si>
  <si>
    <t>The longitudinal wind speed blowing towards the vehicle.</t>
  </si>
  <si>
    <t>Wind Speed</t>
  </si>
  <si>
    <t>WndSpd</t>
  </si>
  <si>
    <t>Environment Model</t>
  </si>
  <si>
    <t>EnvMdl_vWndSpd_PHY</t>
  </si>
  <si>
    <t>Road Slope</t>
  </si>
  <si>
    <t>RoadSlop</t>
  </si>
  <si>
    <t>Angle [phi]</t>
  </si>
  <si>
    <t>EnvMdl_phiRoadSlop_PHY</t>
  </si>
  <si>
    <t>Rotational speed of the wheels.</t>
  </si>
  <si>
    <t>Wheel Speed</t>
  </si>
  <si>
    <t>WhlSpd</t>
  </si>
  <si>
    <t>Vehicle Model</t>
  </si>
  <si>
    <t>Longitudinal Vehicle Model</t>
  </si>
  <si>
    <t>Angle velocity [omega]</t>
  </si>
  <si>
    <t>LgtVehMdl_omegaWhlSpd_PHY</t>
  </si>
  <si>
    <t>Total brake resistance at wheel</t>
  </si>
  <si>
    <t>Total Brake Resistance at Wheel</t>
  </si>
  <si>
    <t>TotBrkRAtWhl</t>
  </si>
  <si>
    <t>Torque [trq]</t>
  </si>
  <si>
    <t>LgtVehMdl_trqTotBrkRAtWhl_PHY</t>
  </si>
  <si>
    <t>The longitudinal speed of the vehicle</t>
  </si>
  <si>
    <t>Vehicle Speed</t>
  </si>
  <si>
    <t>VehSpd</t>
  </si>
  <si>
    <t>LgtVehMdl_vVehSpd_PHY</t>
  </si>
  <si>
    <t>Distance travelled</t>
  </si>
  <si>
    <t>Distance Travelled</t>
  </si>
  <si>
    <t>DstTrvld</t>
  </si>
  <si>
    <t>Length, Distance [l]</t>
  </si>
  <si>
    <t>LgtVehMdl_lDstTrvld_PHY</t>
  </si>
  <si>
    <t>Transmission Control Unit</t>
  </si>
  <si>
    <t>TCU</t>
  </si>
  <si>
    <t>Number [num]</t>
  </si>
  <si>
    <t>1</t>
  </si>
  <si>
    <t>Percentage [prc]</t>
  </si>
  <si>
    <t>State, Status [st]</t>
  </si>
  <si>
    <t>Rotational Speed [n]</t>
  </si>
  <si>
    <t>TCU_stClu_PHY</t>
  </si>
  <si>
    <t>Clutch Lock</t>
  </si>
  <si>
    <t>CluLock</t>
  </si>
  <si>
    <t>Transmission Model</t>
  </si>
  <si>
    <t>Clutch Reaction</t>
  </si>
  <si>
    <t>CluReactn</t>
  </si>
  <si>
    <t>TrsmMdl_trqCluReactn_PHY</t>
  </si>
  <si>
    <t>TrsmMdl_nCrksft_PHY</t>
  </si>
  <si>
    <t>Moment of Inertia [j]</t>
  </si>
  <si>
    <t>Input Shaft</t>
  </si>
  <si>
    <t>InpShaft</t>
  </si>
  <si>
    <t>TrsmMdl_nInpShaft_PHY</t>
  </si>
  <si>
    <t>Inner torque setpoint</t>
  </si>
  <si>
    <t>Engine Control Unit</t>
  </si>
  <si>
    <t>ECU</t>
  </si>
  <si>
    <t>Actual engine operating mode of engine</t>
  </si>
  <si>
    <t>Operation Mode Actual</t>
  </si>
  <si>
    <t>OperModAct</t>
  </si>
  <si>
    <t>ECU_numOperModAct_CAN</t>
  </si>
  <si>
    <t>Total Injection Quantity</t>
  </si>
  <si>
    <t>Injection Total</t>
  </si>
  <si>
    <t>InjTot</t>
  </si>
  <si>
    <t>Fuel Quantity [q]</t>
  </si>
  <si>
    <t>ECU_qInjTot_PHY</t>
  </si>
  <si>
    <t>Main injection quantity 1</t>
  </si>
  <si>
    <t>Injection Main One</t>
  </si>
  <si>
    <t>Pilot injection quantity 1</t>
  </si>
  <si>
    <t>Injection Pilot One</t>
  </si>
  <si>
    <t>InjPil1</t>
  </si>
  <si>
    <t>ECU_qInjPil1_PHY</t>
  </si>
  <si>
    <t>Pilot injection quantity 2</t>
  </si>
  <si>
    <t>Injection Pilot Two</t>
  </si>
  <si>
    <t>InjPil2</t>
  </si>
  <si>
    <t>ECU_qInjPil2_PHY</t>
  </si>
  <si>
    <t>Post injection quantity 1</t>
  </si>
  <si>
    <t>Injection Post One</t>
  </si>
  <si>
    <t>InjPost1</t>
  </si>
  <si>
    <t>ECU_qInjPost1_PHY</t>
  </si>
  <si>
    <t>Post injection quantity 2</t>
  </si>
  <si>
    <t>Injection Post Two</t>
  </si>
  <si>
    <t>InjPost2</t>
  </si>
  <si>
    <t>ECU_qInjPost2_PHY</t>
  </si>
  <si>
    <t>Main injection angle 1</t>
  </si>
  <si>
    <t>Pilot injection angle 1</t>
  </si>
  <si>
    <t>ECU_phiInjPil1_PHY</t>
  </si>
  <si>
    <t>Pilot injection angle 2</t>
  </si>
  <si>
    <t>ECU_phiInjPil2_PHY</t>
  </si>
  <si>
    <t>Post injection angle 1</t>
  </si>
  <si>
    <t>ECU_phiInjPost1_PHY</t>
  </si>
  <si>
    <t>Post injection angle 2</t>
  </si>
  <si>
    <t>ECU_phiInjPost2_PHY</t>
  </si>
  <si>
    <t>Desired fuel rail pressure</t>
  </si>
  <si>
    <t>Fuel Rail Desired</t>
  </si>
  <si>
    <t>FuRailDes</t>
  </si>
  <si>
    <t>Pressure [p]</t>
  </si>
  <si>
    <t>ECU_pFuRailDes_PHY</t>
  </si>
  <si>
    <t>Turbine Valve Desired</t>
  </si>
  <si>
    <t>TrbVlvDes</t>
  </si>
  <si>
    <t>EGR Valve Desired</t>
  </si>
  <si>
    <t>EgrVlvDes</t>
  </si>
  <si>
    <t>Throttle Valve Desired</t>
  </si>
  <si>
    <t>ThrVlvDes</t>
  </si>
  <si>
    <t>EnvMdl</t>
  </si>
  <si>
    <t>LgtVehMdl</t>
  </si>
  <si>
    <t>VehMdl</t>
  </si>
  <si>
    <t>TrsmCtrlUnit</t>
  </si>
  <si>
    <t>TrsmMdl</t>
  </si>
  <si>
    <t>EngCtrlUnit</t>
  </si>
  <si>
    <t>Ecu2</t>
  </si>
  <si>
    <t>e. g. used in homogeneous injection</t>
  </si>
  <si>
    <t>Inner</t>
  </si>
  <si>
    <t>Inr</t>
  </si>
  <si>
    <t>One</t>
  </si>
  <si>
    <t>Pilot</t>
  </si>
  <si>
    <t>Pil</t>
  </si>
  <si>
    <t>Three</t>
  </si>
  <si>
    <t>3</t>
  </si>
  <si>
    <t>Two</t>
  </si>
  <si>
    <t>2</t>
  </si>
  <si>
    <t>Wnd</t>
  </si>
  <si>
    <t>Engine Operation Mode</t>
  </si>
  <si>
    <t>EngOperMod</t>
  </si>
  <si>
    <t>Rapid Prototyping Unit</t>
  </si>
  <si>
    <t>Emission Estimator And Consumption Optimizer</t>
  </si>
  <si>
    <t>EmiEstimrAndCnsOptmr_numEngOperMod_ETK</t>
  </si>
  <si>
    <t>Engine Operating Point Calculation</t>
  </si>
  <si>
    <t>Soft Engine Control Unit</t>
  </si>
  <si>
    <t>Mass Flow [mfl]</t>
  </si>
  <si>
    <t>Temperature [t]</t>
  </si>
  <si>
    <t>Exhaust Temperature</t>
  </si>
  <si>
    <t>ExhT</t>
  </si>
  <si>
    <t>Engine Model</t>
  </si>
  <si>
    <t>EngMdl_tExhT_PHY</t>
  </si>
  <si>
    <t>Exhaust Aftertreatment System</t>
  </si>
  <si>
    <t>Exhaust Aftertreatment System Model</t>
  </si>
  <si>
    <t>maximum Cylinder Pressure</t>
  </si>
  <si>
    <t>MaxCylP</t>
  </si>
  <si>
    <t>EngMdl_pMaxCylP_PHY</t>
  </si>
  <si>
    <t>Nitrogen Oxides</t>
  </si>
  <si>
    <t>NOx</t>
  </si>
  <si>
    <t>EngMdl_prcNOx_PHY</t>
  </si>
  <si>
    <t>nitrogendioxide</t>
  </si>
  <si>
    <t>NO2</t>
  </si>
  <si>
    <t>EngMdl_prcNO2_PHY</t>
  </si>
  <si>
    <t>carbonmonoxide</t>
  </si>
  <si>
    <t>CO</t>
  </si>
  <si>
    <t>EngMdl_prcCO_PHY</t>
  </si>
  <si>
    <t>hydrocarbons</t>
  </si>
  <si>
    <t>HC</t>
  </si>
  <si>
    <t>EngMdl_prcHC_PHY</t>
  </si>
  <si>
    <t>particulatematter</t>
  </si>
  <si>
    <t>PM</t>
  </si>
  <si>
    <t>Mass [m]</t>
  </si>
  <si>
    <t>EngMdl_mPM_PHY</t>
  </si>
  <si>
    <t>ParticulateNumber</t>
  </si>
  <si>
    <t>PN</t>
  </si>
  <si>
    <t>EngMdl_numPN_PHY</t>
  </si>
  <si>
    <t>carbondioxide</t>
  </si>
  <si>
    <t>CO2</t>
  </si>
  <si>
    <t>EngMdl_prcCO2_PHY</t>
  </si>
  <si>
    <t>Exhaust Gas Recirculation Rate</t>
  </si>
  <si>
    <t>ExhGasRecircRate</t>
  </si>
  <si>
    <t>EngMdl_prcExhGasRecircRate_PHY</t>
  </si>
  <si>
    <t>Charged Air</t>
  </si>
  <si>
    <t>ChrgdAir</t>
  </si>
  <si>
    <t>EngMdl_mflChrgdAir_PHY</t>
  </si>
  <si>
    <t>Temperature Charged Air</t>
  </si>
  <si>
    <t>TChrgdAir</t>
  </si>
  <si>
    <t>EngMdl_tTChrgdAir_PHY</t>
  </si>
  <si>
    <t>EngMdl_pBoost_PHY</t>
  </si>
  <si>
    <t>EngMdl_numLam_PHY</t>
  </si>
  <si>
    <t>Exhaust Gas Recirculation Temperature</t>
  </si>
  <si>
    <t>ExhGasRecircT</t>
  </si>
  <si>
    <t>EngMdl_tExhGasRecircT_PHY</t>
  </si>
  <si>
    <t>EmiEstimrAndCnsOptmr</t>
  </si>
  <si>
    <t>RpdPtypingUnit</t>
  </si>
  <si>
    <t>EngMdl</t>
  </si>
  <si>
    <t>EngOpertgPntCalcn</t>
  </si>
  <si>
    <t>SoftEngCtrlUnit</t>
  </si>
  <si>
    <t>Engine Operating Mode Coordinator</t>
  </si>
  <si>
    <t>EngOpertgModCoorr</t>
  </si>
  <si>
    <t>ExhATSys</t>
  </si>
  <si>
    <t>ExhATSysMdl</t>
  </si>
  <si>
    <t>Aftertreatment</t>
  </si>
  <si>
    <t>AT</t>
  </si>
  <si>
    <t>Charged</t>
  </si>
  <si>
    <t>Chrgd</t>
  </si>
  <si>
    <t>DieselParticulateFilter</t>
  </si>
  <si>
    <t>DPF</t>
  </si>
  <si>
    <t>Exhaust</t>
  </si>
  <si>
    <t>Exh</t>
  </si>
  <si>
    <t>Exhaust Gas Recirculation</t>
  </si>
  <si>
    <t>EGR</t>
  </si>
  <si>
    <t>Liquid</t>
  </si>
  <si>
    <t>liqd</t>
  </si>
  <si>
    <t>Nitrogen</t>
  </si>
  <si>
    <t>nitrogen dioxide</t>
  </si>
  <si>
    <t>Nitrogen Oxide</t>
  </si>
  <si>
    <t>Oxides</t>
  </si>
  <si>
    <t>Ox</t>
  </si>
  <si>
    <t>particulate matter</t>
  </si>
  <si>
    <t>Rack</t>
  </si>
  <si>
    <t>Selective Catalytic Reduction</t>
  </si>
  <si>
    <t>SCR</t>
  </si>
  <si>
    <t>SelectiveCatalyticReduction</t>
  </si>
  <si>
    <t>Start of Injection</t>
  </si>
  <si>
    <t>SOI</t>
  </si>
  <si>
    <t>Vehicle Control Unit</t>
  </si>
  <si>
    <t>VehCtrlUnit</t>
  </si>
  <si>
    <t>VCU</t>
  </si>
  <si>
    <t>Estimated Longitudinal Vehicle Speed</t>
  </si>
  <si>
    <t>EstimdLgtVehSpd</t>
  </si>
  <si>
    <t>VCU_vEstimdLgtVehSpd_CAN</t>
  </si>
  <si>
    <t>Estimated Rolling Coefficient of the road</t>
  </si>
  <si>
    <t>Estimated Rolling Coefficient</t>
  </si>
  <si>
    <t>EstimdRollgCoeff</t>
  </si>
  <si>
    <t>Counter [ct]</t>
  </si>
  <si>
    <t>VCU_ctEstimdRollgCoeff_CAN</t>
  </si>
  <si>
    <t>Estimated Drag Coefficient</t>
  </si>
  <si>
    <t>EstimdDrgCoeff</t>
  </si>
  <si>
    <t>VCU_ctEstimdDrgCoeff_CAN</t>
  </si>
  <si>
    <t>Estimated Vehicle Mass</t>
  </si>
  <si>
    <t>EstimdVehM</t>
  </si>
  <si>
    <t>VCU_mEstimdVehM_CAN</t>
  </si>
  <si>
    <t>Input mapping added (bus signal/functionality)</t>
  </si>
  <si>
    <t>Input mapping deleted (bus signal/functionality)</t>
  </si>
  <si>
    <t>Signal/parameter added</t>
  </si>
  <si>
    <t xml:space="preserve"> Signal/parameter modified</t>
  </si>
  <si>
    <t>Signal/parameter deleted</t>
  </si>
  <si>
    <t>chosen EOM from Emission Estimator and Consuption Optimizer</t>
  </si>
  <si>
    <t>In Engine Model calculated exhaust temperature</t>
  </si>
  <si>
    <t>in Engine Model calculated maximum cylinder pressure</t>
  </si>
  <si>
    <t>in Engine Model calculated mass of soot emissions</t>
  </si>
  <si>
    <t>in Engine Model calculated particulate number</t>
  </si>
  <si>
    <t>EGR rate for actual operation point of engine model</t>
  </si>
  <si>
    <t>Massflow charged air for actual operation point of engine model</t>
  </si>
  <si>
    <t>Temperature charged air for actual operation point of engine model</t>
  </si>
  <si>
    <t>Boost pressure for actual operation point of engine model</t>
  </si>
  <si>
    <t>air fuel ratio for actual operation point of engine model</t>
  </si>
  <si>
    <t>Temperature of EGR for actual operation point of engine model</t>
  </si>
  <si>
    <t>upstream NOx sensor state</t>
  </si>
  <si>
    <t>NOx Sensor upstream</t>
  </si>
  <si>
    <t>NoxSnsrUs</t>
  </si>
  <si>
    <t>ExhATSysMdl_stNoxSnsrUs_CAN</t>
  </si>
  <si>
    <t>boolean</t>
  </si>
  <si>
    <t>downstream NOx sensor state</t>
  </si>
  <si>
    <t>NOx Sensor downstream</t>
  </si>
  <si>
    <t>NoxSnsrDs</t>
  </si>
  <si>
    <t>ExhATSysMdl_stNoxSnsrDs_CAN</t>
  </si>
  <si>
    <t>upstream NOx sensor value</t>
  </si>
  <si>
    <t>Ratio [rat]</t>
  </si>
  <si>
    <t>ppm</t>
  </si>
  <si>
    <t>ExhATSysMdl_ratNoxSnsrUs_CAN</t>
  </si>
  <si>
    <t>downstream NOx sensor value</t>
  </si>
  <si>
    <t>ExhATSysMdl_ratNoxSnsrDs_CAN</t>
  </si>
  <si>
    <t>Temperature oxidation catalyst upstream</t>
  </si>
  <si>
    <t>Oxidation Catalyst upstream</t>
  </si>
  <si>
    <t>OxdCatUs</t>
  </si>
  <si>
    <t>ExhATSysMdl_tOxdCatUs_PHY</t>
  </si>
  <si>
    <t>Temperature particulate matter filter upstream</t>
  </si>
  <si>
    <t>particulatematter filter upstream</t>
  </si>
  <si>
    <t>PMFilUs</t>
  </si>
  <si>
    <t>ExhATSysMdl_tPMFilUs_PHY</t>
  </si>
  <si>
    <t>Temperature particulate matter filter downstream</t>
  </si>
  <si>
    <t>particulatematter filter downstream</t>
  </si>
  <si>
    <t>PMFilDs</t>
  </si>
  <si>
    <t>ExhATSysMdl_tPMFilDs_PHY</t>
  </si>
  <si>
    <t>Differential pressure over particulate matter filter</t>
  </si>
  <si>
    <t>Difference particulatematter filter</t>
  </si>
  <si>
    <t>DifPMFil</t>
  </si>
  <si>
    <t>ExhATSysMdl_pDifPMFil_CAN</t>
  </si>
  <si>
    <t>Temperature amonia slip catalyst downstream</t>
  </si>
  <si>
    <t>ASC downstream</t>
  </si>
  <si>
    <t>ASCDs</t>
  </si>
  <si>
    <t>ExhATSysMdl_tASCDs_PHY</t>
  </si>
  <si>
    <t>Simulation time step</t>
  </si>
  <si>
    <t>Simulation Time Step</t>
  </si>
  <si>
    <t>SimnTiStep</t>
  </si>
  <si>
    <t>Time [ti]</t>
  </si>
  <si>
    <t>EmiEstimrAndCnsOptmr.tiSimnTiStep_C</t>
  </si>
  <si>
    <t>DrvrMdl.tiSimnTiStep_C</t>
  </si>
  <si>
    <t>EngMdl.tiSimnTiStep_C</t>
  </si>
  <si>
    <t>EnvMdl.tiSimnTiStep_C</t>
  </si>
  <si>
    <t>LgtVehMdl.tiSimnTiStep_C</t>
  </si>
  <si>
    <t>RefSpdGenr.tiSimnTiStep_C</t>
  </si>
  <si>
    <t>TCU.tiSimnTiStep_C</t>
  </si>
  <si>
    <t>ECU.tiSimnTiStep_C</t>
  </si>
  <si>
    <t>TrsmMdl.tiSimnTiStep_C</t>
  </si>
  <si>
    <t>ExhATSysMdl.tiSimnTiStep_C</t>
  </si>
  <si>
    <t>VCU.tiSimnTiStep_C</t>
  </si>
  <si>
    <t>rat</t>
  </si>
  <si>
    <t>ASC</t>
  </si>
  <si>
    <t>Asctl</t>
  </si>
  <si>
    <t>DOC</t>
  </si>
  <si>
    <t>Downstream</t>
  </si>
  <si>
    <t>Ds</t>
  </si>
  <si>
    <t>Status of vehicle (Stationary, Launch, Automode)</t>
  </si>
  <si>
    <t>TCU_stVeh_PHY</t>
  </si>
  <si>
    <t>Launch</t>
  </si>
  <si>
    <t>Launch Gear</t>
  </si>
  <si>
    <t>LaunchGear</t>
  </si>
  <si>
    <t>TCU_numLaunchGear_PHY</t>
  </si>
  <si>
    <t>Gear Demand</t>
  </si>
  <si>
    <t>GearDmd</t>
  </si>
  <si>
    <t>TCU_numGearDmd_PHY</t>
  </si>
  <si>
    <t>TCU_numGear_PHY</t>
  </si>
  <si>
    <t>Torque Request</t>
  </si>
  <si>
    <t>TqReq</t>
  </si>
  <si>
    <t>TCU_prcTqReq_CAN</t>
  </si>
  <si>
    <t>Engine Speed Request</t>
  </si>
  <si>
    <t>EngSpdReq</t>
  </si>
  <si>
    <t>TCU_nEngSpdReq_CAN</t>
  </si>
  <si>
    <t>Over Control</t>
  </si>
  <si>
    <t>OverCtrl</t>
  </si>
  <si>
    <t>TCU_numOverCtrl_CAN</t>
  </si>
  <si>
    <t>Clutch Position</t>
  </si>
  <si>
    <t>CluPosn</t>
  </si>
  <si>
    <t>TCU_prcCluPosn_PHY</t>
  </si>
  <si>
    <t>Shift In Progress</t>
  </si>
  <si>
    <t>ShiftInProgs</t>
  </si>
  <si>
    <t>TCU_stShiftInProgs_PHY</t>
  </si>
  <si>
    <t>Gear Shift Mode</t>
  </si>
  <si>
    <t>GearShiftMod</t>
  </si>
  <si>
    <t>TCU_stGearShiftMod_PHY</t>
  </si>
  <si>
    <t>Transmission Intervention Request</t>
  </si>
  <si>
    <t>TrsmIntvReq</t>
  </si>
  <si>
    <t>TCU_trqTrsmIntvReq_PHY</t>
  </si>
  <si>
    <t>TrsmMdl_trqClu_PHY</t>
  </si>
  <si>
    <t>TrsmMdl_trqInpShaft_PHY</t>
  </si>
  <si>
    <t>Clutch Friction</t>
  </si>
  <si>
    <t>CluFric</t>
  </si>
  <si>
    <t>TrsmMdl_trqCluFric_PHY</t>
  </si>
  <si>
    <t>TrsmMdl_stCluLock_PHY</t>
  </si>
  <si>
    <t>Output Shaft</t>
  </si>
  <si>
    <t>OutpShaft</t>
  </si>
  <si>
    <t>TrsmMdl_nOutpShaft_PHY</t>
  </si>
  <si>
    <t>TrsmMdl_trqOutpShaft_PHY</t>
  </si>
  <si>
    <t>Curr</t>
  </si>
  <si>
    <t>Current Gear</t>
  </si>
  <si>
    <t>CurrGear</t>
  </si>
  <si>
    <t>TrsmMdl_ratCurrGear_PHY</t>
  </si>
  <si>
    <t>TrsmMdl_jCurrGear_PHY</t>
  </si>
  <si>
    <t>Transmission Loss</t>
  </si>
  <si>
    <t>TrsmLoss</t>
  </si>
  <si>
    <t>TrsmMdl_trqTrsmLoss_PHY</t>
  </si>
  <si>
    <t>Drive Shaft</t>
  </si>
  <si>
    <t>DrvShaft</t>
  </si>
  <si>
    <t>TrsmMdl_trqDrvShaft_PHY</t>
  </si>
  <si>
    <t>TrsmMdl_ratDftl_PHY</t>
  </si>
  <si>
    <t>TrsmMdl_jDftl_PHY</t>
  </si>
  <si>
    <t>Intarder</t>
  </si>
  <si>
    <t>Itdr</t>
  </si>
  <si>
    <t>Intarder Loss</t>
  </si>
  <si>
    <t>ItdrLoss</t>
  </si>
  <si>
    <t>TrsmMdl_trqItdrLoss_PHY</t>
  </si>
  <si>
    <t>Differential Loss</t>
  </si>
  <si>
    <t>DftlLoss</t>
  </si>
  <si>
    <t>TrsmMdl_trqDftlLoss_PHY</t>
  </si>
  <si>
    <t>Desired launch gear</t>
  </si>
  <si>
    <t>Transmission demand gear</t>
  </si>
  <si>
    <t>Transmission actual gear</t>
  </si>
  <si>
    <t>Transmission torque request</t>
  </si>
  <si>
    <t>Transmission engine speed request</t>
  </si>
  <si>
    <t>Transmission control mode (speed and/or torque control)</t>
  </si>
  <si>
    <t>Clutch pedal position</t>
  </si>
  <si>
    <t xml:space="preserve">Status of gear shift </t>
  </si>
  <si>
    <t>Status of clutch (open,close,stick,slip)</t>
  </si>
  <si>
    <t>Status of clutch engagement and disengagement</t>
  </si>
  <si>
    <t xml:space="preserve">Transmission torque request </t>
  </si>
  <si>
    <t>Clutch input torque</t>
  </si>
  <si>
    <t>Engine crankshaft speed</t>
  </si>
  <si>
    <t>Clutch reaction torque</t>
  </si>
  <si>
    <t>Transmission input torque</t>
  </si>
  <si>
    <t>Clutch friction torque</t>
  </si>
  <si>
    <t>Clutch lock status</t>
  </si>
  <si>
    <t>Transmission output shaft speed</t>
  </si>
  <si>
    <t>Transmission output torque</t>
  </si>
  <si>
    <t>Current gear ratio</t>
  </si>
  <si>
    <t>Current gear inertia</t>
  </si>
  <si>
    <t>Transmission loss torque</t>
  </si>
  <si>
    <t>Drive shaft torque</t>
  </si>
  <si>
    <t>Differential ratio</t>
  </si>
  <si>
    <t>Differential inertia</t>
  </si>
  <si>
    <t>Intarder loss torque</t>
  </si>
  <si>
    <t>Differential loss torque</t>
  </si>
  <si>
    <t>Transmission input shaft speed</t>
  </si>
  <si>
    <t>Low idle speed control set point (reference)</t>
  </si>
  <si>
    <t>Engine Set Low</t>
  </si>
  <si>
    <t>EngSetLo</t>
  </si>
  <si>
    <t>ECU_nEngSetLo_CAN</t>
  </si>
  <si>
    <t>Maximum engine torque</t>
  </si>
  <si>
    <t>Engine Maximum</t>
  </si>
  <si>
    <t>EngMax</t>
  </si>
  <si>
    <t>ECU_trqEngMax_CAN</t>
  </si>
  <si>
    <t>Actual engine torque percentage</t>
  </si>
  <si>
    <t>Engine Actual Torque</t>
  </si>
  <si>
    <t>EngActTq</t>
  </si>
  <si>
    <t>ECU_prcEngActTq_CAN</t>
  </si>
  <si>
    <t>Fraction</t>
  </si>
  <si>
    <t>Frac</t>
  </si>
  <si>
    <t>Actual engine torque percentage (fraction)</t>
  </si>
  <si>
    <t>Engine Actual Torque Fraction</t>
  </si>
  <si>
    <t>EngActTqFrac</t>
  </si>
  <si>
    <t>ECU_prcEngActTqFrac_CAN</t>
  </si>
  <si>
    <t>Engine friction torque percentage</t>
  </si>
  <si>
    <t>Engine Friction Torque</t>
  </si>
  <si>
    <t>EngFricTq</t>
  </si>
  <si>
    <t>ECU_prcEngFricTq_CAN</t>
  </si>
  <si>
    <t>Engine driver demand percentage torque</t>
  </si>
  <si>
    <t>Urea</t>
  </si>
  <si>
    <t>Desired urea mass flow</t>
  </si>
  <si>
    <t>Urea Desired</t>
  </si>
  <si>
    <t>UreaDes</t>
  </si>
  <si>
    <t>ECU_mflUreaDes_PHY</t>
  </si>
  <si>
    <t>Desired fan speed</t>
  </si>
  <si>
    <t>Fan Desired</t>
  </si>
  <si>
    <t>FanDes</t>
  </si>
  <si>
    <t>ECU_nFanDes_PHY</t>
  </si>
  <si>
    <t>ECU_qInjMai1_PHY</t>
  </si>
  <si>
    <t>ECU_phiInjMai1_PHY</t>
  </si>
  <si>
    <t>InjMai1</t>
  </si>
  <si>
    <t>Rotational Acceleration</t>
  </si>
  <si>
    <t>km/h</t>
  </si>
  <si>
    <t>Crankshaft acceleration</t>
  </si>
  <si>
    <t>Engine Driver Demand Torque</t>
  </si>
  <si>
    <t>EngDrvrDmdTq</t>
  </si>
  <si>
    <t>ECU_prcEngDrvrDmdTq_CAN</t>
  </si>
  <si>
    <t>Engine Set Inner</t>
  </si>
  <si>
    <t>EngSetInr</t>
  </si>
  <si>
    <t>ECU_trqEngSetInr_CAN</t>
  </si>
  <si>
    <t>rpm/s</t>
  </si>
  <si>
    <t>dn</t>
  </si>
  <si>
    <t>Rotational Acceleration [dn]</t>
  </si>
  <si>
    <t>TrsmMdl_dnCrksft_PHY</t>
  </si>
  <si>
    <t>ECU_prcTrbVlvDes_PHY</t>
  </si>
  <si>
    <t>Desired EGR valve position [0-100]</t>
  </si>
  <si>
    <t>ECU_prcEgrVlvDes_PHY</t>
  </si>
  <si>
    <t>Desired Throttle valve position [0-100]</t>
  </si>
  <si>
    <t>ECU_prcThrVlvDes_PHY</t>
  </si>
  <si>
    <t>Desired VGT valve position [0-100]</t>
  </si>
  <si>
    <t>ECU_numOperModAct_CAN/Engine Model</t>
  </si>
  <si>
    <t>ECU_trqEngSetInr_CAN/Engine Model</t>
  </si>
  <si>
    <t>ECU_prcTrbVlvDes_PHY/Engine Model</t>
  </si>
  <si>
    <t>ECU_prcEgrVlvDes_PHY/Engine Model</t>
  </si>
  <si>
    <t>ECU_prcThrVlvDes_PHY/Engine Model</t>
  </si>
  <si>
    <t>Cooler</t>
  </si>
  <si>
    <t>EGR Cooler Heat Transfer</t>
  </si>
  <si>
    <t>EgrClrHeatTrf</t>
  </si>
  <si>
    <t>intercooler Heat Transfer</t>
  </si>
  <si>
    <t>IcoHeatTrf</t>
  </si>
  <si>
    <t>Heat Transfer to Fluid in EGR Cooler [W]</t>
  </si>
  <si>
    <t>Power [pwr]</t>
  </si>
  <si>
    <t>EngMdl_pwrEgrClrHeatTrf_PHY</t>
  </si>
  <si>
    <t>Heat Transfer to Fluid in Intercooler [W]</t>
  </si>
  <si>
    <t>EngMdl_pwrIcoHeatTrf_PHY</t>
  </si>
  <si>
    <t>total Heat transfer from Gas to Cylinder</t>
  </si>
  <si>
    <t>Cylinder Heat Transfer Rate</t>
  </si>
  <si>
    <t>CylHeatTrfRate</t>
  </si>
  <si>
    <t>EngMdl_pwrCylHeatTrfRate_PHY</t>
  </si>
  <si>
    <t>brake specific fuel consumption</t>
  </si>
  <si>
    <t>BrkSpcFuCns</t>
  </si>
  <si>
    <t>Specific Fuel Consumption [sfc]</t>
  </si>
  <si>
    <t>EngMdl_sfcBrkSpcFuCns_CAN</t>
  </si>
  <si>
    <t>Engine Torque output</t>
  </si>
  <si>
    <t>Engine Torque Out</t>
  </si>
  <si>
    <t>EngTqOut</t>
  </si>
  <si>
    <t>EngMdl_trqEngTqOut_PHY</t>
  </si>
  <si>
    <t>Engine Speed output</t>
  </si>
  <si>
    <t>Engine Speed Out</t>
  </si>
  <si>
    <t>EngSpdOut</t>
  </si>
  <si>
    <t>EngMdl_nEngSpdOut_PHY</t>
  </si>
  <si>
    <t>oxygen</t>
  </si>
  <si>
    <t>O2</t>
  </si>
  <si>
    <t>oxygen Concentration In Exhaust</t>
  </si>
  <si>
    <t>O2ConcInExh</t>
  </si>
  <si>
    <t>in Engine Model calculated NOx Emissions in ppm</t>
  </si>
  <si>
    <t>EngMdl_ratNOx_PHY</t>
  </si>
  <si>
    <t>in Engine Model calculated NO2 Emissions in ppm</t>
  </si>
  <si>
    <t>EngMdl_ratNO2_PHY</t>
  </si>
  <si>
    <t>in Engine Model calculated CO Emissions in ppm</t>
  </si>
  <si>
    <t>EngMdl_ratCO_PHY</t>
  </si>
  <si>
    <t>in Engine Model calculated HC Emissions in ppm</t>
  </si>
  <si>
    <t>EngMdl_ratHC_PHY</t>
  </si>
  <si>
    <t>in Engine Model calculated CO2 Emissions in ppm</t>
  </si>
  <si>
    <t>EngMdl_ratCO2_PHY</t>
  </si>
  <si>
    <t>EngMdl_ratO2ConcInExh_PHY</t>
  </si>
  <si>
    <t>Torque air compressor</t>
  </si>
  <si>
    <t>Air Compressor</t>
  </si>
  <si>
    <t>AirCmpr</t>
  </si>
  <si>
    <t>Pneumatic System</t>
  </si>
  <si>
    <t>PnmSys_trqAirCmpr_PHY</t>
  </si>
  <si>
    <t>Inertia air compressor</t>
  </si>
  <si>
    <t>PnmSys_jAirCmpr_PHY</t>
  </si>
  <si>
    <t>coolant temperature radiator outlet (engine inlet)</t>
  </si>
  <si>
    <t>Coolant Radiator Out</t>
  </si>
  <si>
    <t>CooltRadrOut</t>
  </si>
  <si>
    <t>Cooling System</t>
  </si>
  <si>
    <t>CoolgSys_tCooltRadrOut_PHY</t>
  </si>
  <si>
    <t>coolant temperature radiator inlet (engine outlet)</t>
  </si>
  <si>
    <t>Coolant Radiator In</t>
  </si>
  <si>
    <t>CooltRadrIn</t>
  </si>
  <si>
    <t>CoolgSys_tCooltRadrIn_PHY</t>
  </si>
  <si>
    <t>coolant temperature setpoint</t>
  </si>
  <si>
    <t>Coolant Setpoint</t>
  </si>
  <si>
    <t>CooltSp</t>
  </si>
  <si>
    <t>CoolgSys_tCooltSp_INT</t>
  </si>
  <si>
    <t>state thermostat fully opened</t>
  </si>
  <si>
    <t>Thermostat Opened</t>
  </si>
  <si>
    <t>ThOpend</t>
  </si>
  <si>
    <t>CoolgSys_stThOpend_INT</t>
  </si>
  <si>
    <t>water pump speed</t>
  </si>
  <si>
    <t>Water Pump</t>
  </si>
  <si>
    <t>WtrPmp</t>
  </si>
  <si>
    <t>WtrPmp_nWtrPmp_PHY</t>
  </si>
  <si>
    <t>water pump inertia</t>
  </si>
  <si>
    <t>WtrPmp_jWtrPmp_PHY</t>
  </si>
  <si>
    <t>requested mechanical water pump torque</t>
  </si>
  <si>
    <t>Water Pump Requested</t>
  </si>
  <si>
    <t>WtrPmpReqd</t>
  </si>
  <si>
    <t>WtrPmp_trqWtrPmpReqd_PHY</t>
  </si>
  <si>
    <t>water pump power</t>
  </si>
  <si>
    <t>WtrPmp_pwrWtrPmp_INT</t>
  </si>
  <si>
    <t>state thermostat enabling</t>
  </si>
  <si>
    <t>Thermostat Enabling</t>
  </si>
  <si>
    <t>ThEnag</t>
  </si>
  <si>
    <t>WtrPmp_stThEnag_INT</t>
  </si>
  <si>
    <t>water pump coolant mass flow</t>
  </si>
  <si>
    <t>Water Pump Coolant</t>
  </si>
  <si>
    <t>WtrPmpCoolt</t>
  </si>
  <si>
    <t>WtrPmp_mflWtrPmpCoolt_INT</t>
  </si>
  <si>
    <t>cooling fan air mass flow</t>
  </si>
  <si>
    <t>Cooling Fan Air</t>
  </si>
  <si>
    <t>CoolgFanAir</t>
  </si>
  <si>
    <t>Cooling Fan</t>
  </si>
  <si>
    <t>CoolgFan_mflCoolgFanAir_INT</t>
  </si>
  <si>
    <t>cooling fan torque</t>
  </si>
  <si>
    <t>CoolgFan</t>
  </si>
  <si>
    <t>CoolgFan_trqCoolgFan_INT</t>
  </si>
  <si>
    <t>requested mechanical cooling fan torque</t>
  </si>
  <si>
    <t>Cooling Fan Request</t>
  </si>
  <si>
    <t>CoolgFanReq</t>
  </si>
  <si>
    <t>CoolgFan_trqCoolgFanReq_PHY</t>
  </si>
  <si>
    <t>cooling fan speed</t>
  </si>
  <si>
    <t>CoolgFan_nCoolgFan_PHY</t>
  </si>
  <si>
    <t>cooling fan inertia</t>
  </si>
  <si>
    <t>CoolgFan_jCoolgFan_PHY</t>
  </si>
  <si>
    <t>AC comperessor inertia</t>
  </si>
  <si>
    <t>Air Condition Compressor</t>
  </si>
  <si>
    <t>AirCdnCmpr</t>
  </si>
  <si>
    <t>Air Condition</t>
  </si>
  <si>
    <t>AirCdn_jAirCdnCmpr_PHY</t>
  </si>
  <si>
    <t>requested mechanical AC compressor torque</t>
  </si>
  <si>
    <t>Air Condition Requested</t>
  </si>
  <si>
    <t>AirCdnReqd</t>
  </si>
  <si>
    <t>AirCdn_trqAirCdnReqd_PHY</t>
  </si>
  <si>
    <t>AC compressor speed</t>
  </si>
  <si>
    <t>AirCdn</t>
  </si>
  <si>
    <t>AirCdn_nAirCdn_PHY</t>
  </si>
  <si>
    <t>Alternator belt drive input torque (engine side)</t>
  </si>
  <si>
    <t>Alternator Belt Drive</t>
  </si>
  <si>
    <t>AltBltDrv</t>
  </si>
  <si>
    <t>Electric System</t>
  </si>
  <si>
    <t>ElecSys_trqAltBltDrv_PHY</t>
  </si>
  <si>
    <t>Air compressor transmission input torque</t>
  </si>
  <si>
    <t>Air Compressor Transmission Input</t>
  </si>
  <si>
    <t>AirCmprTrsmInp</t>
  </si>
  <si>
    <t>PnmSys_trqAirCmprTrsmInp_PHY</t>
  </si>
  <si>
    <t>Required mechanical power of pneumatic system</t>
  </si>
  <si>
    <t>Mechanical Required</t>
  </si>
  <si>
    <t>MeclRqrd</t>
  </si>
  <si>
    <t>PnmSys_pwrMeclRqrd_PHY</t>
  </si>
  <si>
    <t>Mechnaical power of air compressor</t>
  </si>
  <si>
    <t>Air Compressor Mechanical</t>
  </si>
  <si>
    <t>AirCmprMecl</t>
  </si>
  <si>
    <t>PnmSys_pwrAirCmprMecl_PHY</t>
  </si>
  <si>
    <t>Required air volume in standard liters</t>
  </si>
  <si>
    <t>Air Required Standard Liters</t>
  </si>
  <si>
    <t>AirRqrdStdLiters</t>
  </si>
  <si>
    <t>Volume [vol]</t>
  </si>
  <si>
    <t>PnmSys_volAirRqrdStdLiters_PHY</t>
  </si>
  <si>
    <t>Compressed air mass flow</t>
  </si>
  <si>
    <t>Air Compressed</t>
  </si>
  <si>
    <t>AirCompressed</t>
  </si>
  <si>
    <t>Volume Flow [volfl]</t>
  </si>
  <si>
    <t>PnmSys_volflAirCompressed_PHY</t>
  </si>
  <si>
    <t>Required system air mass flow in standard litres</t>
  </si>
  <si>
    <t>Air Required System Standard Liters</t>
  </si>
  <si>
    <t>AirRqrdSysStdLiters</t>
  </si>
  <si>
    <t>PnmSys_volflAirRqrdSysStdLiters_PHY</t>
  </si>
  <si>
    <t>Required mean system air mass flow in standard litres</t>
  </si>
  <si>
    <t>Air Required Mean System Standard Liters</t>
  </si>
  <si>
    <t>AirRqrdMeanSysStdLiters</t>
  </si>
  <si>
    <t>PnmSys_volflAirRqrdMeanSysStdLiters_PHY</t>
  </si>
  <si>
    <t>Compressed air mass flow in standard liters</t>
  </si>
  <si>
    <t>Air Compressed Standard Liters</t>
  </si>
  <si>
    <t>AirCompressedStdLiters</t>
  </si>
  <si>
    <t>PnmSys_volflAirCompressedStdLiters_PHY</t>
  </si>
  <si>
    <t>Air mass flow output of compressor map in standard liters</t>
  </si>
  <si>
    <t>Air Compressor Map Standard Liters</t>
  </si>
  <si>
    <t>AirCmprMapStdLiters</t>
  </si>
  <si>
    <t>PnmSys_volflAirCmprMapStdLiters_PHY</t>
  </si>
  <si>
    <t>Pressure compressed air tank</t>
  </si>
  <si>
    <t>Air Tank</t>
  </si>
  <si>
    <t>AirTank</t>
  </si>
  <si>
    <t>PnmSys_pAirTank_PHY</t>
  </si>
  <si>
    <t>Air Compressor Switch</t>
  </si>
  <si>
    <t>Auxiliaries Control</t>
  </si>
  <si>
    <t>AuxCtrl_swtAirCmpr_ETK</t>
  </si>
  <si>
    <t>ECU_swtAirCmpr_CAN</t>
  </si>
  <si>
    <t>ECU_pAirTank_CAN</t>
  </si>
  <si>
    <t>Air Compressor Operating Mode Switch Signal</t>
  </si>
  <si>
    <t>Air Compressor Operating Mode</t>
  </si>
  <si>
    <t>AirCmprOpertgMod</t>
  </si>
  <si>
    <t>ECU_swtAirCmprOpertgMod_CAN</t>
  </si>
  <si>
    <t>AuxCtrl_swtAirCmprOpertgMod_ETK</t>
  </si>
  <si>
    <t>Air Compressor Speed</t>
  </si>
  <si>
    <t>PnmSys_nAirCmpr_PHY</t>
  </si>
  <si>
    <t>Liters</t>
  </si>
  <si>
    <t>Mean</t>
  </si>
  <si>
    <t>Compressed</t>
  </si>
  <si>
    <t>CoolgSys_stThOpend_INT/Cooling Fan</t>
  </si>
  <si>
    <t>CoolgSys_tCooltSp_INT/Water Pump</t>
  </si>
  <si>
    <t>WtrPmp_mflWtrPmpCoolt_INT/Cooling System</t>
  </si>
  <si>
    <t>WtrPmp_stThEnag_INT/Cooling System</t>
  </si>
  <si>
    <t>CoolgFan_mflCoolgFanAir_INT/Cooling System</t>
  </si>
  <si>
    <t>WtrPmp_pwrWtrPmp_INT/Water Pump</t>
  </si>
  <si>
    <t>CoolgFan_trqCoolgFan_INT/Cooling Fan</t>
  </si>
  <si>
    <t>TrsmMdl_nCrksft_PHY/Electric System</t>
  </si>
  <si>
    <t>PnmSys_trqAirCmprTrsmInp_PHY/ECU</t>
  </si>
  <si>
    <t>PnmSys_pAirTank_PHY/ECU</t>
  </si>
  <si>
    <t>TrsmMdl_nCrksft_PHY/Pneumatic System</t>
  </si>
  <si>
    <t>TrsmMdl_rGearAct_PHY/Pneumatic System</t>
  </si>
  <si>
    <t>AuxCtrl_swtAirCmprOpertgMod_ETK/ECU</t>
  </si>
  <si>
    <t>AuxCtrl_swtAirCmpr_ETK/ECU</t>
  </si>
  <si>
    <t>ECU_swtAirCmpr_CAN/Pneumatic System</t>
  </si>
  <si>
    <t>ECU_swtAirCmprOpertgMod_CAN/Pneumatic System</t>
  </si>
  <si>
    <t>ECU_pAirTank_CAN/Auxiliaries Control</t>
  </si>
  <si>
    <t>DrvrMdl_rBrkPedlPosn_CAN/Pneumatic System</t>
  </si>
  <si>
    <t>AuxCtrl</t>
  </si>
  <si>
    <t>PnmSys</t>
  </si>
  <si>
    <t>CoolgSys</t>
  </si>
  <si>
    <t>ElecSys</t>
  </si>
  <si>
    <t>CoolgSys_tCooltRadrIn_INT</t>
  </si>
  <si>
    <t>CoolgSys_tCooltRadrIn_INT/Cooling Fan</t>
  </si>
  <si>
    <t>CoolgSys_tCooltRadrIn_INT/Water Pump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</si>
</sst>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9" x14ac:knownFonts="1">
    <font>
      <sz val="11"/>
      <color theme="1"/>
      <name val="Calibri"/>
      <family val="2"/>
      <scheme val="minor"/>
    </font>
    <font>
      <b/>
      <sz val="11"/>
      <color theme="1"/>
      <name val="Calibri"/>
      <family val="2"/>
      <scheme val="minor"/>
    </font>
    <font>
      <b/>
      <sz val="12"/>
      <color theme="1"/>
      <name val="Calibri"/>
      <family val="2"/>
      <scheme val="minor"/>
    </font>
    <font>
      <sz val="11"/>
      <name val="Calibri"/>
      <family val="2"/>
      <scheme val="minor"/>
    </font>
    <font>
      <b/>
      <sz val="14"/>
      <color theme="1"/>
      <name val="Calibri"/>
      <family val="2"/>
      <scheme val="minor"/>
    </font>
    <font>
      <sz val="11"/>
      <color theme="1"/>
      <name val="Calibri"/>
      <family val="2"/>
      <charset val="162"/>
      <scheme val="minor"/>
    </font>
    <font>
      <sz val="10"/>
      <name val="Arial"/>
      <family val="2"/>
    </font>
    <font>
      <sz val="11"/>
      <name val="Arial"/>
      <family val="2"/>
    </font>
    <font>
      <sz val="11"/>
      <color theme="1"/>
      <name val="Calibri"/>
      <family val="2"/>
      <scheme val="minor"/>
    </font>
    <font>
      <sz val="14"/>
      <color theme="1"/>
      <name val="Calibri"/>
      <family val="2"/>
      <scheme val="minor"/>
    </font>
    <font>
      <sz val="10"/>
      <name val="Calibri"/>
      <family val="2"/>
      <scheme val="minor"/>
    </font>
    <font>
      <b/>
      <sz val="12"/>
      <color theme="1"/>
      <name val="Calibri"/>
      <family val="2"/>
      <charset val="162"/>
      <scheme val="minor"/>
    </font>
    <font>
      <b/>
      <sz val="12"/>
      <color rgb="FFC00000"/>
      <name val="Calibri"/>
      <family val="2"/>
      <scheme val="minor"/>
    </font>
    <font>
      <b/>
      <sz val="14"/>
      <color rgb="FFC00000"/>
      <name val="Calibri"/>
      <family val="2"/>
      <scheme val="minor"/>
    </font>
    <font>
      <b/>
      <sz val="12"/>
      <color rgb="FFC00000"/>
      <name val="Calibri"/>
      <family val="2"/>
      <charset val="162"/>
      <scheme val="minor"/>
    </font>
    <font>
      <sz val="12"/>
      <color theme="1"/>
      <name val="Calibri"/>
      <family val="2"/>
      <scheme val="minor"/>
    </font>
    <font>
      <b/>
      <sz val="12"/>
      <name val="Arial"/>
      <family val="2"/>
    </font>
    <font>
      <b/>
      <u/>
      <sz val="11"/>
      <color theme="1"/>
      <name val="Calibri"/>
      <family val="2"/>
      <scheme val="minor"/>
    </font>
    <font>
      <sz val="11"/>
      <color rgb="FF000000"/>
      <name val="Calibri"/>
      <family val="2"/>
    </font>
  </fonts>
  <fills count="15">
    <fill>
      <patternFill patternType="none"/>
    </fill>
    <fill>
      <patternFill patternType="gray125"/>
    </fill>
    <fill>
      <patternFill patternType="solid">
        <fgColor theme="4" tint="0.39997558519241921"/>
        <bgColor indexed="64"/>
      </patternFill>
    </fill>
    <fill>
      <patternFill patternType="solid">
        <fgColor rgb="FF00B0F0"/>
        <bgColor indexed="64"/>
      </patternFill>
    </fill>
    <fill>
      <patternFill patternType="solid">
        <fgColor rgb="FF0070C0"/>
        <bgColor indexed="64"/>
      </patternFill>
    </fill>
    <fill>
      <patternFill patternType="solid">
        <fgColor rgb="FFFFC000"/>
        <bgColor indexed="64"/>
      </patternFill>
    </fill>
    <fill>
      <patternFill patternType="solid">
        <fgColor theme="0"/>
        <bgColor indexed="64"/>
      </patternFill>
    </fill>
    <fill>
      <patternFill patternType="solid">
        <fgColor theme="7" tint="0.39997558519241921"/>
        <bgColor indexed="64"/>
      </patternFill>
    </fill>
    <fill>
      <patternFill patternType="solid">
        <fgColor indexed="42"/>
        <bgColor indexed="64"/>
      </patternFill>
    </fill>
    <fill>
      <patternFill patternType="solid">
        <fgColor theme="0" tint="-0.34998626667073579"/>
        <bgColor indexed="64"/>
      </patternFill>
    </fill>
    <fill>
      <patternFill patternType="solid">
        <fgColor rgb="FFCCFFCC"/>
        <bgColor indexed="64"/>
      </patternFill>
    </fill>
    <fill>
      <patternFill patternType="solid">
        <fgColor theme="9" tint="0.39997558519241921"/>
        <bgColor indexed="64"/>
      </patternFill>
    </fill>
    <fill>
      <patternFill patternType="solid">
        <fgColor theme="9" tint="-0.249977111117893"/>
        <bgColor indexed="64"/>
      </patternFill>
    </fill>
    <fill>
      <patternFill patternType="solid">
        <fgColor rgb="FF92D050"/>
        <bgColor indexed="64"/>
      </patternFill>
    </fill>
    <fill>
      <patternFill patternType="solid">
        <fgColor theme="5" tint="0.39997558519241921"/>
        <bgColor indexed="64"/>
      </patternFill>
    </fill>
  </fills>
  <borders count="22">
    <border>
      <left/>
      <right/>
      <top/>
      <bottom/>
      <diagonal/>
    </border>
    <border>
      <left style="thin">
        <color auto="1"/>
      </left>
      <right style="thin">
        <color auto="1"/>
      </right>
      <top style="thin">
        <color auto="1"/>
      </top>
      <bottom style="thin">
        <color auto="1"/>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style="thin">
        <color auto="1"/>
      </left>
      <right style="thin">
        <color auto="1"/>
      </right>
      <top/>
      <bottom style="thin">
        <color auto="1"/>
      </bottom>
      <diagonal/>
    </border>
    <border>
      <left style="thin">
        <color auto="1"/>
      </left>
      <right style="thin">
        <color auto="1"/>
      </right>
      <top style="thin">
        <color auto="1"/>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style="thin">
        <color theme="0" tint="-0.249977111117893"/>
      </right>
      <top/>
      <bottom style="thin">
        <color theme="0" tint="-0.249977111117893"/>
      </bottom>
      <diagonal/>
    </border>
    <border>
      <left style="thin">
        <color theme="0" tint="-0.249977111117893"/>
      </left>
      <right style="thin">
        <color auto="1"/>
      </right>
      <top style="thin">
        <color theme="0" tint="-0.249977111117893"/>
      </top>
      <bottom/>
      <diagonal/>
    </border>
    <border>
      <left style="thin">
        <color theme="0" tint="-0.249977111117893"/>
      </left>
      <right style="thin">
        <color auto="1"/>
      </right>
      <top/>
      <bottom/>
      <diagonal/>
    </border>
    <border>
      <left style="thin">
        <color theme="0" tint="-0.249977111117893"/>
      </left>
      <right/>
      <top/>
      <bottom/>
      <diagonal/>
    </border>
    <border>
      <left/>
      <right style="thin">
        <color theme="0" tint="-0.249977111117893"/>
      </right>
      <top/>
      <bottom/>
      <diagonal/>
    </border>
    <border>
      <left style="thin">
        <color theme="1" tint="0.499984740745262"/>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style="thin">
        <color theme="1" tint="0.499984740745262"/>
      </left>
      <right style="double">
        <color theme="1"/>
      </right>
      <top style="thin">
        <color theme="1" tint="0.499984740745262"/>
      </top>
      <bottom style="thin">
        <color theme="1" tint="0.499984740745262"/>
      </bottom>
      <diagonal/>
    </border>
    <border>
      <left/>
      <right style="thin">
        <color auto="1"/>
      </right>
      <top/>
      <bottom/>
      <diagonal/>
    </border>
    <border>
      <left style="thin">
        <color auto="1"/>
      </left>
      <right style="thin">
        <color auto="1"/>
      </right>
      <top/>
      <bottom/>
      <diagonal/>
    </border>
    <border>
      <left style="thin">
        <color auto="1"/>
      </left>
      <right style="medium">
        <color auto="1"/>
      </right>
      <top/>
      <bottom/>
      <diagonal/>
    </border>
    <border>
      <left/>
      <right style="thin">
        <color auto="1"/>
      </right>
      <top style="thin">
        <color auto="1"/>
      </top>
      <bottom style="thin">
        <color auto="1"/>
      </bottom>
      <diagonal/>
    </border>
    <border>
      <left style="thin">
        <color auto="1"/>
      </left>
      <right style="double">
        <color auto="1"/>
      </right>
      <top style="thin">
        <color auto="1"/>
      </top>
      <bottom style="thin">
        <color auto="1"/>
      </bottom>
      <diagonal/>
    </border>
    <border>
      <left style="thin">
        <color theme="1" tint="0.499984740745262"/>
      </left>
      <right style="double">
        <color auto="1"/>
      </right>
      <top style="thin">
        <color theme="1" tint="0.499984740745262"/>
      </top>
      <bottom style="thin">
        <color theme="1" tint="0.499984740745262"/>
      </bottom>
      <diagonal/>
    </border>
  </borders>
  <cellStyleXfs count="3">
    <xf numFmtId="0" fontId="0" fillId="0" borderId="0" applyNumberFormat="0" applyFont="0" applyFill="0" applyBorder="0" applyAlignment="0" applyProtection="0"/>
    <xf numFmtId="0" fontId="6" fillId="0" borderId="0" applyNumberFormat="0" applyFont="0" applyFill="0" applyBorder="0" applyAlignment="0" applyProtection="0"/>
    <xf numFmtId="0" fontId="7" fillId="0" borderId="0" applyNumberFormat="0" applyFont="0" applyFill="0" applyBorder="0" applyAlignment="0" applyProtection="0"/>
  </cellStyleXfs>
  <cellXfs count="91">
    <xf numFmtId="0" fontId="0" fillId="0" borderId="0" xfId="0"/>
    <xf numFmtId="0" fontId="0" fillId="0" borderId="1" xfId="0" applyBorder="1"/>
    <xf numFmtId="0" fontId="0" fillId="0" borderId="5" xfId="0" applyBorder="1"/>
    <xf numFmtId="0" fontId="0" fillId="0" borderId="6" xfId="0" applyBorder="1"/>
    <xf numFmtId="0" fontId="1" fillId="5" borderId="2" xfId="0" applyFont="1" applyFill="1" applyBorder="1" applyAlignment="1">
      <alignment horizontal="center"/>
    </xf>
    <xf numFmtId="0" fontId="1" fillId="5" borderId="3" xfId="0" applyFont="1" applyFill="1" applyBorder="1" applyAlignment="1">
      <alignment horizontal="center"/>
    </xf>
    <xf numFmtId="0" fontId="1" fillId="5" borderId="4" xfId="0" applyFont="1" applyFill="1" applyBorder="1" applyAlignment="1">
      <alignment horizontal="center" wrapText="1"/>
    </xf>
    <xf numFmtId="0" fontId="1" fillId="5" borderId="4" xfId="0" applyFont="1" applyFill="1" applyBorder="1" applyAlignment="1">
      <alignment horizontal="center"/>
    </xf>
    <xf numFmtId="0" fontId="0" fillId="6" borderId="0" xfId="0" applyFill="1"/>
    <xf numFmtId="0" fontId="0" fillId="0" borderId="0" xfId="0" applyFill="1" applyBorder="1"/>
    <xf numFmtId="0" fontId="0" fillId="7" borderId="0" xfId="0" applyFill="1"/>
    <xf numFmtId="0" fontId="1" fillId="0" borderId="0" xfId="0" applyFont="1"/>
    <xf numFmtId="0" fontId="1" fillId="0" borderId="8" xfId="0" applyFont="1" applyBorder="1"/>
    <xf numFmtId="0" fontId="1" fillId="6" borderId="7" xfId="0" applyFont="1" applyFill="1" applyBorder="1"/>
    <xf numFmtId="0" fontId="1" fillId="0" borderId="0" xfId="0" applyFont="1" applyFill="1" applyBorder="1"/>
    <xf numFmtId="0" fontId="0" fillId="0" borderId="0" xfId="0" applyFill="1"/>
    <xf numFmtId="0" fontId="0" fillId="9" borderId="0" xfId="0" applyFill="1" applyBorder="1"/>
    <xf numFmtId="0" fontId="0" fillId="0" borderId="0" xfId="0" applyNumberFormat="1"/>
    <xf numFmtId="0" fontId="0" fillId="0" borderId="13" xfId="0" applyBorder="1"/>
    <xf numFmtId="0" fontId="0" fillId="0" borderId="14" xfId="0" applyBorder="1"/>
    <xf numFmtId="0" fontId="0" fillId="0" borderId="15" xfId="0" applyBorder="1"/>
    <xf numFmtId="49" fontId="3" fillId="0" borderId="13" xfId="2" applyNumberFormat="1" applyFont="1" applyBorder="1" applyAlignment="1">
      <alignment wrapText="1"/>
    </xf>
    <xf numFmtId="49" fontId="3" fillId="0" borderId="13" xfId="2" applyNumberFormat="1" applyFont="1" applyFill="1" applyBorder="1" applyAlignment="1">
      <alignment wrapText="1"/>
    </xf>
    <xf numFmtId="0" fontId="3" fillId="0" borderId="13" xfId="2" applyFont="1" applyBorder="1" applyAlignment="1">
      <alignment wrapText="1"/>
    </xf>
    <xf numFmtId="49" fontId="3" fillId="0" borderId="13" xfId="2" applyNumberFormat="1" applyFont="1" applyBorder="1" applyAlignment="1">
      <alignment horizontal="left" wrapText="1"/>
    </xf>
    <xf numFmtId="0" fontId="3" fillId="0" borderId="13" xfId="2" applyFont="1" applyFill="1" applyBorder="1" applyAlignment="1">
      <alignment wrapText="1"/>
    </xf>
    <xf numFmtId="0" fontId="3" fillId="0" borderId="13" xfId="1" applyFont="1" applyBorder="1"/>
    <xf numFmtId="0" fontId="10" fillId="0" borderId="13" xfId="1" applyFont="1" applyFill="1" applyBorder="1"/>
    <xf numFmtId="0" fontId="8" fillId="0" borderId="13" xfId="0" applyFont="1" applyBorder="1"/>
    <xf numFmtId="0" fontId="4" fillId="10" borderId="15" xfId="0" applyFont="1" applyFill="1" applyBorder="1" applyAlignment="1">
      <alignment horizontal="center" vertical="center"/>
    </xf>
    <xf numFmtId="0" fontId="0" fillId="0" borderId="13" xfId="0" applyFill="1" applyBorder="1" applyAlignment="1">
      <alignment horizontal="center"/>
    </xf>
    <xf numFmtId="0" fontId="5" fillId="0" borderId="13" xfId="0" applyFont="1" applyFill="1" applyBorder="1" applyAlignment="1">
      <alignment horizontal="center"/>
    </xf>
    <xf numFmtId="0" fontId="0" fillId="0" borderId="15" xfId="0" applyFill="1" applyBorder="1" applyAlignment="1">
      <alignment horizontal="center"/>
    </xf>
    <xf numFmtId="0" fontId="5" fillId="0" borderId="15" xfId="0" applyFont="1" applyFill="1" applyBorder="1" applyAlignment="1">
      <alignment horizontal="center"/>
    </xf>
    <xf numFmtId="0" fontId="0" fillId="0" borderId="14" xfId="0" applyFill="1" applyBorder="1" applyAlignment="1">
      <alignment horizontal="left"/>
    </xf>
    <xf numFmtId="0" fontId="5" fillId="0" borderId="14" xfId="0" applyFont="1" applyFill="1" applyBorder="1" applyAlignment="1">
      <alignment horizontal="left"/>
    </xf>
    <xf numFmtId="49" fontId="3" fillId="0" borderId="15" xfId="2" applyNumberFormat="1" applyFont="1" applyBorder="1" applyAlignment="1"/>
    <xf numFmtId="49" fontId="3" fillId="0" borderId="15" xfId="2" applyNumberFormat="1" applyFont="1" applyFill="1" applyBorder="1" applyAlignment="1"/>
    <xf numFmtId="49" fontId="3" fillId="0" borderId="15" xfId="1" applyNumberFormat="1" applyFont="1" applyBorder="1" applyAlignment="1"/>
    <xf numFmtId="49" fontId="8" fillId="0" borderId="15" xfId="0" applyNumberFormat="1" applyFont="1" applyBorder="1" applyAlignment="1"/>
    <xf numFmtId="0" fontId="9" fillId="0" borderId="0" xfId="0" applyFont="1" applyFill="1"/>
    <xf numFmtId="0" fontId="0" fillId="0" borderId="15" xfId="0" applyBorder="1" applyAlignment="1">
      <alignment horizontal="center"/>
    </xf>
    <xf numFmtId="0" fontId="0" fillId="0" borderId="14" xfId="0" applyBorder="1" applyAlignment="1">
      <alignment horizontal="center"/>
    </xf>
    <xf numFmtId="0" fontId="13" fillId="10" borderId="14" xfId="0" applyFont="1" applyFill="1" applyBorder="1" applyAlignment="1">
      <alignment horizontal="center" vertical="center"/>
    </xf>
    <xf numFmtId="0" fontId="14" fillId="10" borderId="14" xfId="0" applyFont="1" applyFill="1" applyBorder="1" applyAlignment="1">
      <alignment horizontal="center" vertical="center"/>
    </xf>
    <xf numFmtId="0" fontId="11" fillId="10" borderId="13" xfId="0" applyFont="1" applyFill="1" applyBorder="1" applyAlignment="1">
      <alignment horizontal="center" vertical="center"/>
    </xf>
    <xf numFmtId="0" fontId="11" fillId="10" borderId="15" xfId="0" applyFont="1" applyFill="1" applyBorder="1" applyAlignment="1">
      <alignment horizontal="center" vertical="center"/>
    </xf>
    <xf numFmtId="0" fontId="1" fillId="0" borderId="0" xfId="0" applyFont="1" applyAlignment="1">
      <alignment horizontal="left" vertical="center"/>
    </xf>
    <xf numFmtId="0" fontId="4" fillId="0" borderId="16" xfId="0" applyFont="1" applyFill="1" applyBorder="1" applyAlignment="1">
      <alignment horizontal="center" vertical="center"/>
    </xf>
    <xf numFmtId="0" fontId="0" fillId="0" borderId="0" xfId="0" applyBorder="1"/>
    <xf numFmtId="0" fontId="15" fillId="0" borderId="0" xfId="0" applyFont="1"/>
    <xf numFmtId="49" fontId="16" fillId="8" borderId="17" xfId="1" applyNumberFormat="1" applyFont="1" applyFill="1" applyBorder="1" applyAlignment="1" applyProtection="1">
      <alignment horizontal="center" vertical="center" wrapText="1"/>
      <protection locked="0"/>
    </xf>
    <xf numFmtId="0" fontId="4" fillId="14" borderId="1" xfId="0" applyFont="1" applyFill="1" applyBorder="1" applyAlignment="1">
      <alignment horizontal="center" vertical="center"/>
    </xf>
    <xf numFmtId="0" fontId="0" fillId="0" borderId="0" xfId="0" applyAlignment="1"/>
    <xf numFmtId="0" fontId="0" fillId="0" borderId="0" xfId="0" applyNumberFormat="1" applyAlignment="1"/>
    <xf numFmtId="0" fontId="0" fillId="0" borderId="0" xfId="0" applyAlignment="1">
      <alignment horizontal="right"/>
    </xf>
    <xf numFmtId="0" fontId="0" fillId="0" borderId="0" xfId="0" applyNumberFormat="1" applyAlignment="1">
      <alignment horizontal="right"/>
    </xf>
    <xf numFmtId="0" fontId="1" fillId="0" borderId="0" xfId="0" applyFont="1" applyAlignment="1">
      <alignment horizontal="center"/>
    </xf>
    <xf numFmtId="0" fontId="0" fillId="0" borderId="19" xfId="0" applyBorder="1"/>
    <xf numFmtId="0" fontId="0" fillId="0" borderId="19" xfId="0" applyFill="1" applyBorder="1"/>
    <xf numFmtId="0" fontId="2" fillId="10" borderId="20" xfId="0" applyFont="1" applyFill="1" applyBorder="1" applyAlignment="1">
      <alignment horizontal="center" vertical="center"/>
    </xf>
    <xf numFmtId="0" fontId="0" fillId="0" borderId="20" xfId="0" applyBorder="1"/>
    <xf numFmtId="0" fontId="0" fillId="0" borderId="20" xfId="0" applyFill="1" applyBorder="1"/>
    <xf numFmtId="0" fontId="12" fillId="10" borderId="19" xfId="0" applyFont="1" applyFill="1" applyBorder="1" applyAlignment="1">
      <alignment horizontal="center" vertical="center"/>
    </xf>
    <xf numFmtId="0" fontId="11" fillId="10" borderId="21" xfId="0" applyFont="1" applyFill="1" applyBorder="1" applyAlignment="1">
      <alignment horizontal="center" vertical="center"/>
    </xf>
    <xf numFmtId="0" fontId="0" fillId="0" borderId="21" xfId="0" applyBorder="1" applyAlignment="1">
      <alignment horizontal="center"/>
    </xf>
    <xf numFmtId="0" fontId="0" fillId="0" borderId="21" xfId="0" applyBorder="1"/>
    <xf numFmtId="0" fontId="2" fillId="13" borderId="14" xfId="0" applyFont="1" applyFill="1" applyBorder="1" applyAlignment="1"/>
    <xf numFmtId="0" fontId="17" fillId="9" borderId="0" xfId="0" applyFont="1" applyFill="1" applyBorder="1" applyAlignment="1">
      <alignment horizontal="center"/>
    </xf>
    <xf numFmtId="0" fontId="0" fillId="9" borderId="0" xfId="0" applyFill="1"/>
    <xf numFmtId="49" fontId="3" fillId="0" borderId="13" xfId="2" applyNumberFormat="1" applyFont="1" applyBorder="1" applyAlignment="1">
      <alignment horizontal="center" wrapText="1"/>
    </xf>
    <xf numFmtId="49" fontId="16" fillId="8" borderId="18" xfId="1" applyNumberFormat="1" applyFont="1" applyFill="1" applyBorder="1" applyAlignment="1" applyProtection="1">
      <alignment horizontal="center" vertical="center"/>
      <protection locked="0"/>
    </xf>
    <xf numFmtId="2" fontId="0" fillId="0" borderId="0" xfId="0" applyNumberFormat="1"/>
    <xf numFmtId="11" fontId="0" fillId="0" borderId="0" xfId="0" applyNumberFormat="1"/>
    <xf numFmtId="0" fontId="1" fillId="13" borderId="0" xfId="0" applyFont="1" applyFill="1" applyAlignment="1">
      <alignment horizontal="center"/>
    </xf>
    <xf numFmtId="0" fontId="0" fillId="13" borderId="0" xfId="0" applyFill="1"/>
    <xf numFmtId="0" fontId="0" fillId="0" borderId="15" xfId="0" applyBorder="1" applyAlignment="1">
      <alignment horizontal="center" vertical="center"/>
    </xf>
    <xf numFmtId="0" fontId="0" fillId="0" borderId="13" xfId="0" applyBorder="1" applyAlignment="1">
      <alignment horizontal="center"/>
    </xf>
    <xf numFmtId="0" fontId="2" fillId="4" borderId="11" xfId="0" applyFont="1" applyFill="1" applyBorder="1" applyAlignment="1">
      <alignment horizontal="center" vertical="center"/>
    </xf>
    <xf numFmtId="0" fontId="2" fillId="4" borderId="0" xfId="0" applyFont="1" applyFill="1" applyBorder="1" applyAlignment="1">
      <alignment horizontal="center" vertical="center"/>
    </xf>
    <xf numFmtId="0" fontId="2" fillId="4" borderId="12" xfId="0" applyFont="1" applyFill="1" applyBorder="1" applyAlignment="1">
      <alignment horizontal="center" vertical="center"/>
    </xf>
    <xf numFmtId="0" fontId="2" fillId="3" borderId="11" xfId="0" applyFont="1" applyFill="1" applyBorder="1" applyAlignment="1">
      <alignment horizontal="center" vertical="center"/>
    </xf>
    <xf numFmtId="0" fontId="2" fillId="3" borderId="0" xfId="0" applyFont="1" applyFill="1" applyBorder="1" applyAlignment="1">
      <alignment horizontal="center" vertical="center"/>
    </xf>
    <xf numFmtId="0" fontId="4" fillId="2" borderId="9" xfId="0" applyFont="1" applyFill="1" applyBorder="1" applyAlignment="1">
      <alignment horizontal="center" vertical="center"/>
    </xf>
    <xf numFmtId="0" fontId="4" fillId="2" borderId="10" xfId="0" applyFont="1" applyFill="1" applyBorder="1" applyAlignment="1">
      <alignment horizontal="center" vertical="center"/>
    </xf>
    <xf numFmtId="49" fontId="4" fillId="2" borderId="9" xfId="0" applyNumberFormat="1" applyFont="1" applyFill="1" applyBorder="1" applyAlignment="1">
      <alignment horizontal="center" vertical="top" textRotation="90"/>
    </xf>
    <xf numFmtId="49" fontId="4" fillId="2" borderId="10" xfId="0" applyNumberFormat="1" applyFont="1" applyFill="1" applyBorder="1" applyAlignment="1">
      <alignment horizontal="center" vertical="top" textRotation="90"/>
    </xf>
    <xf numFmtId="0" fontId="2" fillId="12" borderId="11" xfId="0" applyFont="1" applyFill="1" applyBorder="1" applyAlignment="1">
      <alignment horizontal="center" vertical="center"/>
    </xf>
    <xf numFmtId="0" fontId="2" fillId="12" borderId="0" xfId="0" applyFont="1" applyFill="1" applyBorder="1" applyAlignment="1">
      <alignment horizontal="center" vertical="center"/>
    </xf>
    <xf numFmtId="0" fontId="2" fillId="11" borderId="0" xfId="0" applyFont="1" applyFill="1" applyBorder="1" applyAlignment="1">
      <alignment horizontal="center" vertical="center"/>
    </xf>
    <xf numFmtId="0" fontId="4" fillId="13" borderId="1" xfId="0" applyFont="1" applyFill="1" applyBorder="1" applyAlignment="1">
      <alignment horizontal="center"/>
    </xf>
  </cellXfs>
  <cellStyles count="3">
    <cellStyle name="Normal_Table1" xfId="2"/>
    <cellStyle name="Standard" xfId="0" builtinId="0"/>
    <cellStyle name="Standard 2" xfId="1"/>
  </cellStyles>
  <dxfs count="0"/>
  <tableStyles count="0" defaultTableStyle="TableStyleMedium2" defaultPivotStyle="PivotStyleLight16"/>
  <colors>
    <mruColors>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28575</xdr:rowOff>
        </xdr:from>
        <xdr:to>
          <xdr:col>0</xdr:col>
          <xdr:colOff>1247775</xdr:colOff>
          <xdr:row>6</xdr:row>
          <xdr:rowOff>114300</xdr:rowOff>
        </xdr:to>
        <xdr:sp macro="" textlink="">
          <xdr:nvSpPr>
            <xdr:cNvPr id="10241" name="Button 1" descr="Add Signal" hidden="1">
              <a:extLst>
                <a:ext uri="{63B3BB69-23CF-44E3-9099-C40C66FF867C}">
                  <a14:compatExt spid="_x0000_s10241"/>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0</xdr:row>
      <xdr:rowOff>542925</xdr:rowOff>
    </xdr:to>
    <xdr:sp macro="" textlink="">
      <xdr:nvSpPr>
        <xdr:cNvPr id="2050"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2"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423</xdr:rowOff>
    </xdr:to>
    <xdr:sp macro="" textlink="">
      <xdr:nvSpPr>
        <xdr:cNvPr id="3" name="Button 2" hidden="1">
          <a:extLst>
            <a:ext uri="{63B3BB69-23CF-44E3-9099-C40C66FF867C}">
              <a14:compatExt xmlns:a14="http://schemas.microsoft.com/office/drawing/2010/main" spid="_x0000_s2050"/>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0</xdr:rowOff>
    </xdr:to>
    <xdr:sp macro="" textlink="">
      <xdr:nvSpPr>
        <xdr:cNvPr id="4"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0</xdr:rowOff>
    </xdr:to>
    <xdr:sp macro="" textlink="">
      <xdr:nvSpPr>
        <xdr:cNvPr id="5" name="Button 2" descr="Add Signal" hidden="1">
          <a:extLst>
            <a:ext uri="{63B3BB69-23CF-44E3-9099-C40C66FF867C}">
              <a14:compatExt xmlns:a14="http://schemas.microsoft.com/office/drawing/2010/main" spid="_x0000_s2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1162050</xdr:colOff>
          <xdr:row>1</xdr:row>
          <xdr:rowOff>0</xdr:rowOff>
        </xdr:to>
        <xdr:sp macro="" textlink="">
          <xdr:nvSpPr>
            <xdr:cNvPr id="6" name="Button 2" descr="Add Signal"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0</xdr:col>
      <xdr:colOff>76200</xdr:colOff>
      <xdr:row>0</xdr:row>
      <xdr:rowOff>66675</xdr:rowOff>
    </xdr:from>
    <xdr:to>
      <xdr:col>0</xdr:col>
      <xdr:colOff>1162050</xdr:colOff>
      <xdr:row>1</xdr:row>
      <xdr:rowOff>314325</xdr:rowOff>
    </xdr:to>
    <xdr:sp macro="" textlink="">
      <xdr:nvSpPr>
        <xdr:cNvPr id="1126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GB" sz="1100" b="0" i="0" u="none" strike="noStrike" baseline="0">
              <a:solidFill>
                <a:srgbClr val="000000"/>
              </a:solidFill>
              <a:latin typeface="Calibri"/>
            </a:rPr>
            <a:t>Open GUI</a:t>
          </a: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2"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99060</xdr:colOff>
      <xdr:row>0</xdr:row>
      <xdr:rowOff>91440</xdr:rowOff>
    </xdr:from>
    <xdr:to>
      <xdr:col>0</xdr:col>
      <xdr:colOff>1546860</xdr:colOff>
      <xdr:row>1</xdr:row>
      <xdr:rowOff>419100</xdr:rowOff>
    </xdr:to>
    <xdr:sp macro="" textlink="">
      <xdr:nvSpPr>
        <xdr:cNvPr id="3" name="Button 1" hidden="1">
          <a:extLst>
            <a:ext uri="{63B3BB69-23CF-44E3-9099-C40C66FF867C}">
              <a14:compatExt xmlns:a14="http://schemas.microsoft.com/office/drawing/2010/main" spid="_x0000_s11265"/>
            </a:ext>
          </a:extLst>
        </xdr:cNvPr>
        <xdr:cNvSpPr/>
      </xdr:nvSpPr>
      <xdr:spPr>
        <a:xfrm>
          <a:off x="0" y="0"/>
          <a:ext cx="0" cy="0"/>
        </a:xfrm>
        <a:prstGeom prst="rect">
          <a:avLst/>
        </a:prstGeom>
      </xdr:spPr>
      <xdr:txBody>
        <a:bodyPr vertOverflow="clip" wrap="square" lIns="36576" tIns="32004" rIns="36576" bIns="32004" anchor="ctr" upright="1"/>
        <a:lstStyle/>
        <a:p>
          <a:pPr algn="ctr" rtl="0">
            <a:defRPr sz="1000"/>
          </a:pPr>
          <a:r>
            <a:rPr lang="tr-TR" sz="1100" b="0" i="0" u="none" strike="noStrike" baseline="0">
              <a:solidFill>
                <a:srgbClr val="000000"/>
              </a:solidFill>
              <a:latin typeface="Calibri"/>
            </a:rPr>
            <a:t>Open GUI</a:t>
          </a:r>
          <a:endParaRPr lang="tr-TR"/>
        </a:p>
      </xdr:txBody>
    </xdr:sp>
    <xdr:clientData fPrintsWithSheet="0"/>
  </xdr:twoCellAnchor>
  <xdr:twoCellAnchor editAs="oneCell">
    <xdr:from>
      <xdr:col>0</xdr:col>
      <xdr:colOff>95250</xdr:colOff>
      <xdr:row>0</xdr:row>
      <xdr:rowOff>95250</xdr:rowOff>
    </xdr:from>
    <xdr:to>
      <xdr:col>0</xdr:col>
      <xdr:colOff>1543050</xdr:colOff>
      <xdr:row>1</xdr:row>
      <xdr:rowOff>419100</xdr:rowOff>
    </xdr:to>
    <xdr:sp macro="" textlink="">
      <xdr:nvSpPr>
        <xdr:cNvPr id="4"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101600</xdr:colOff>
      <xdr:row>0</xdr:row>
      <xdr:rowOff>101600</xdr:rowOff>
    </xdr:from>
    <xdr:to>
      <xdr:col>0</xdr:col>
      <xdr:colOff>1549400</xdr:colOff>
      <xdr:row>1</xdr:row>
      <xdr:rowOff>419100</xdr:rowOff>
    </xdr:to>
    <xdr:sp macro="" textlink="">
      <xdr:nvSpPr>
        <xdr:cNvPr id="5" name="Button 1" descr="Add Signal" hidden="1">
          <a:extLst>
            <a:ext uri="{63B3BB69-23CF-44E3-9099-C40C66FF867C}">
              <a14:compatExt xmlns:a14="http://schemas.microsoft.com/office/drawing/2010/main" spid="_x0000_s1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76200</xdr:colOff>
          <xdr:row>0</xdr:row>
          <xdr:rowOff>76200</xdr:rowOff>
        </xdr:from>
        <xdr:to>
          <xdr:col>0</xdr:col>
          <xdr:colOff>1162050</xdr:colOff>
          <xdr:row>1</xdr:row>
          <xdr:rowOff>314325</xdr:rowOff>
        </xdr:to>
        <xdr:sp macro="" textlink="">
          <xdr:nvSpPr>
            <xdr:cNvPr id="6" name="Button 1" descr="Add Signal" hidden="1">
              <a:extLst>
                <a:ext uri="{63B3BB69-23CF-44E3-9099-C40C66FF867C}">
                  <a14:compatExt spid="_x0000_s1126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0</xdr:col>
      <xdr:colOff>76200</xdr:colOff>
      <xdr:row>0</xdr:row>
      <xdr:rowOff>57150</xdr:rowOff>
    </xdr:from>
    <xdr:to>
      <xdr:col>0</xdr:col>
      <xdr:colOff>1162050</xdr:colOff>
      <xdr:row>0</xdr:row>
      <xdr:rowOff>552450</xdr:rowOff>
    </xdr:to>
    <xdr:sp macro="" textlink="">
      <xdr:nvSpPr>
        <xdr:cNvPr id="9219"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cs typeface="Calibri"/>
            </a:rPr>
            <a:t>Open GUI</a:t>
          </a:r>
        </a:p>
      </xdr:txBody>
    </xdr:sp>
    <xdr:clientData fPrintsWithSheet="0"/>
  </xdr:twoCellAnchor>
  <xdr:twoCellAnchor editAs="oneCell">
    <xdr:from>
      <xdr:col>0</xdr:col>
      <xdr:colOff>76200</xdr:colOff>
      <xdr:row>0</xdr:row>
      <xdr:rowOff>63500</xdr:rowOff>
    </xdr:from>
    <xdr:to>
      <xdr:col>0</xdr:col>
      <xdr:colOff>1168400</xdr:colOff>
      <xdr:row>0</xdr:row>
      <xdr:rowOff>558800</xdr:rowOff>
    </xdr:to>
    <xdr:sp macro="" textlink="">
      <xdr:nvSpPr>
        <xdr:cNvPr id="2" name="Button 3" descr="Add Signal" hidden="1">
          <a:extLst>
            <a:ext uri="{63B3BB69-23CF-44E3-9099-C40C66FF867C}">
              <a14:compatExt xmlns:a14="http://schemas.microsoft.com/office/drawing/2010/main" spid="_x0000_s9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ea typeface="Calibri"/>
              <a:cs typeface="Calibri"/>
            </a:rPr>
            <a:t>Open GUI</a:t>
          </a:r>
        </a:p>
      </xdr:txBody>
    </xdr:sp>
    <xdr:clientData fPrintsWithSheet="0"/>
  </xdr:twoCellAnchor>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0</xdr:col>
          <xdr:colOff>876300</xdr:colOff>
          <xdr:row>0</xdr:row>
          <xdr:rowOff>419100</xdr:rowOff>
        </xdr:to>
        <xdr:sp macro="" textlink="">
          <xdr:nvSpPr>
            <xdr:cNvPr id="3" name="Button 3" descr="Add Signal" hidden="1">
              <a:extLst>
                <a:ext uri="{63B3BB69-23CF-44E3-9099-C40C66FF867C}">
                  <a14:compatExt spid="_x0000_s9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de-DE" sz="1100" b="0" i="0" u="none" strike="noStrike" baseline="0">
                  <a:solidFill>
                    <a:srgbClr val="000000"/>
                  </a:solidFill>
                  <a:latin typeface="Calibri"/>
                </a:rPr>
                <a:t>Open GUI</a:t>
              </a:r>
            </a:p>
          </xdr:txBody>
        </xdr:sp>
        <xdr:clientData fPrintsWithSheet="0"/>
      </xdr:twoCellAnchor>
    </mc:Choice>
    <mc:Fallback/>
  </mc:AlternateContent>
</xdr:wsDr>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4"/>
  <dimension ref="A1:B3"/>
  <sheetViews>
    <sheetView workbookViewId="0">
      <selection activeCell="A8" sqref="A8"/>
    </sheetView>
  </sheetViews>
  <sheetFormatPr baseColWidth="10" defaultColWidth="11.42578125" defaultRowHeight="15" x14ac:dyDescent="0.25"/>
  <cols>
    <col min="1" max="1" width="21.28515625" customWidth="1"/>
    <col min="2" max="2" width="31.28515625" customWidth="1"/>
  </cols>
  <sheetData>
    <row r="1" spans="1:2" x14ac:dyDescent="0.25">
      <c r="A1" s="11" t="s">
        <v>2648</v>
      </c>
      <c r="B1" t="s">
        <v>2598</v>
      </c>
    </row>
    <row r="2" spans="1:2" x14ac:dyDescent="0.25">
      <c r="A2" s="11" t="s">
        <v>2629</v>
      </c>
      <c r="B2">
        <v>0.01</v>
      </c>
    </row>
    <row r="3" spans="1:2" x14ac:dyDescent="0.25">
      <c r="A3" s="11" t="s">
        <v>2647</v>
      </c>
      <c r="B3" s="55" t="s">
        <v>2630</v>
      </c>
    </row>
  </sheetData>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0]!Call_Signal_Form" altText="Add Signal">
                <anchor moveWithCells="1">
                  <from>
                    <xdr:col>0</xdr:col>
                    <xdr:colOff>142875</xdr:colOff>
                    <xdr:row>4</xdr:row>
                    <xdr:rowOff>28575</xdr:rowOff>
                  </from>
                  <to>
                    <xdr:col>0</xdr:col>
                    <xdr:colOff>1247775</xdr:colOff>
                    <xdr:row>6</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2"/>
  <dimension ref="A1:R141"/>
  <sheetViews>
    <sheetView tabSelected="1" topLeftCell="D1" zoomScale="90" zoomScaleNormal="90" zoomScalePageLayoutView="80" workbookViewId="0">
      <pane ySplit="2" topLeftCell="A120" activePane="bottomLeft" state="frozen"/>
      <selection pane="bottomLeft" activeCell="M141" sqref="M141:R141"/>
    </sheetView>
  </sheetViews>
  <sheetFormatPr baseColWidth="10" defaultColWidth="11.42578125" defaultRowHeight="15" x14ac:dyDescent="0.25"/>
  <cols>
    <col min="1" max="1" width="38.7109375" bestFit="1" customWidth="1"/>
    <col min="2" max="2" width="33.42578125" customWidth="1"/>
    <col min="3" max="3" width="23.28515625" bestFit="1" customWidth="1"/>
    <col min="4" max="4" width="22.7109375" bestFit="1" customWidth="1"/>
    <col min="5" max="5" width="31.28515625" bestFit="1" customWidth="1"/>
    <col min="6" max="6" width="12.140625" customWidth="1"/>
    <col min="7" max="7" width="20.42578125" bestFit="1" customWidth="1"/>
    <col min="8" max="8" width="9.7109375" style="8" customWidth="1"/>
    <col min="9" max="9" width="11.28515625" style="15" customWidth="1"/>
    <col min="10" max="10" width="33.7109375" style="16" customWidth="1"/>
    <col min="12" max="12" width="10.28515625" bestFit="1" customWidth="1"/>
    <col min="13" max="13" width="15.42578125" customWidth="1"/>
    <col min="14" max="14" width="11.7109375" bestFit="1" customWidth="1"/>
    <col min="15" max="15" width="13.42578125" customWidth="1"/>
    <col min="16" max="16" width="13.7109375" bestFit="1" customWidth="1"/>
    <col min="17" max="17" width="15.85546875" bestFit="1" customWidth="1"/>
  </cols>
  <sheetData>
    <row r="1" spans="1:18" ht="49.5" customHeight="1" x14ac:dyDescent="0.25">
      <c r="A1" s="10"/>
      <c r="B1" s="78" t="s">
        <v>0</v>
      </c>
      <c r="C1" s="79"/>
      <c r="D1" s="79"/>
      <c r="E1" s="79"/>
      <c r="F1" s="79"/>
      <c r="G1" s="79"/>
      <c r="H1" s="79"/>
      <c r="I1" s="79"/>
      <c r="J1" s="80"/>
      <c r="K1" s="81" t="s">
        <v>6</v>
      </c>
      <c r="L1" s="82"/>
      <c r="M1" s="82"/>
      <c r="N1" s="82"/>
      <c r="O1" s="82"/>
      <c r="P1" s="82"/>
      <c r="Q1" s="82"/>
      <c r="R1" s="82"/>
    </row>
    <row r="2" spans="1:18" x14ac:dyDescent="0.25">
      <c r="A2" s="11" t="s">
        <v>2652</v>
      </c>
      <c r="B2" s="12" t="s">
        <v>2653</v>
      </c>
      <c r="C2" s="11" t="s">
        <v>2654</v>
      </c>
      <c r="D2" s="14" t="s">
        <v>549</v>
      </c>
      <c r="E2" s="11" t="s">
        <v>2612</v>
      </c>
      <c r="F2" s="11" t="s">
        <v>33</v>
      </c>
      <c r="G2" s="11" t="s">
        <v>3</v>
      </c>
      <c r="H2" s="13" t="s">
        <v>4</v>
      </c>
      <c r="I2" s="14" t="s">
        <v>132</v>
      </c>
      <c r="J2" s="68" t="s">
        <v>5</v>
      </c>
      <c r="K2" s="11" t="s">
        <v>7</v>
      </c>
      <c r="L2" s="14" t="s">
        <v>772</v>
      </c>
      <c r="M2" s="11" t="s">
        <v>8</v>
      </c>
      <c r="N2" s="11" t="s">
        <v>9</v>
      </c>
      <c r="O2" s="11" t="s">
        <v>1952</v>
      </c>
      <c r="P2" s="11" t="s">
        <v>10</v>
      </c>
      <c r="Q2" s="11" t="s">
        <v>2574</v>
      </c>
      <c r="R2" s="11" t="s">
        <v>2631</v>
      </c>
    </row>
    <row r="3" spans="1:18" x14ac:dyDescent="0.25">
      <c r="A3" t="s">
        <v>2655</v>
      </c>
      <c r="B3" t="s">
        <v>2656</v>
      </c>
      <c r="C3" t="s">
        <v>2657</v>
      </c>
      <c r="D3" t="s">
        <v>2658</v>
      </c>
      <c r="E3" t="s">
        <v>2658</v>
      </c>
      <c r="F3" t="s">
        <v>37</v>
      </c>
      <c r="G3" t="s">
        <v>2659</v>
      </c>
      <c r="H3" s="8" t="s">
        <v>2600</v>
      </c>
      <c r="J3" s="16" t="s">
        <v>2660</v>
      </c>
      <c r="K3" t="s">
        <v>14</v>
      </c>
      <c r="L3" t="s">
        <v>2661</v>
      </c>
      <c r="M3" s="72">
        <v>-1000</v>
      </c>
      <c r="N3" s="17">
        <v>1000</v>
      </c>
      <c r="O3" s="73">
        <v>4.6569999999999899E-7</v>
      </c>
      <c r="P3" s="17">
        <v>4294967296</v>
      </c>
      <c r="Q3" s="17">
        <v>0.01</v>
      </c>
      <c r="R3" t="s">
        <v>2662</v>
      </c>
    </row>
    <row r="4" spans="1:18" x14ac:dyDescent="0.25">
      <c r="A4" t="s">
        <v>2668</v>
      </c>
      <c r="B4" t="s">
        <v>2669</v>
      </c>
      <c r="C4" t="s">
        <v>2670</v>
      </c>
      <c r="D4" t="s">
        <v>2666</v>
      </c>
      <c r="E4" t="s">
        <v>2666</v>
      </c>
      <c r="F4" t="s">
        <v>36</v>
      </c>
      <c r="G4" t="s">
        <v>2671</v>
      </c>
      <c r="H4" s="8" t="s">
        <v>113</v>
      </c>
      <c r="J4" s="16" t="s">
        <v>2672</v>
      </c>
      <c r="K4" t="s">
        <v>14</v>
      </c>
      <c r="L4" t="s">
        <v>2661</v>
      </c>
      <c r="M4" s="72">
        <v>0</v>
      </c>
      <c r="N4" s="72">
        <v>100</v>
      </c>
      <c r="O4" s="72">
        <v>2.33E-8</v>
      </c>
      <c r="P4" s="72">
        <v>4294967296</v>
      </c>
      <c r="Q4" s="72">
        <v>0.01</v>
      </c>
      <c r="R4" t="s">
        <v>2673</v>
      </c>
    </row>
    <row r="5" spans="1:18" x14ac:dyDescent="0.25">
      <c r="A5" t="s">
        <v>2674</v>
      </c>
      <c r="B5" t="s">
        <v>2675</v>
      </c>
      <c r="C5" t="s">
        <v>2676</v>
      </c>
      <c r="D5" t="s">
        <v>2666</v>
      </c>
      <c r="E5" t="s">
        <v>2666</v>
      </c>
      <c r="F5" t="s">
        <v>36</v>
      </c>
      <c r="G5" t="s">
        <v>2671</v>
      </c>
      <c r="H5" s="8" t="s">
        <v>113</v>
      </c>
      <c r="J5" s="16" t="s">
        <v>2677</v>
      </c>
      <c r="K5" t="s">
        <v>14</v>
      </c>
      <c r="L5" t="s">
        <v>2661</v>
      </c>
      <c r="M5" s="72">
        <v>0</v>
      </c>
      <c r="N5" s="72">
        <v>100</v>
      </c>
      <c r="O5" s="72">
        <v>2.33E-8</v>
      </c>
      <c r="P5" s="72">
        <v>4294967296</v>
      </c>
      <c r="Q5" s="72">
        <v>0.01</v>
      </c>
      <c r="R5" t="s">
        <v>2673</v>
      </c>
    </row>
    <row r="6" spans="1:18" x14ac:dyDescent="0.25">
      <c r="A6" t="s">
        <v>2678</v>
      </c>
      <c r="B6" t="s">
        <v>2679</v>
      </c>
      <c r="C6" t="s">
        <v>2680</v>
      </c>
      <c r="D6" t="s">
        <v>2666</v>
      </c>
      <c r="E6" t="s">
        <v>2666</v>
      </c>
      <c r="F6" t="s">
        <v>36</v>
      </c>
      <c r="G6" t="s">
        <v>2681</v>
      </c>
      <c r="H6" s="8" t="s">
        <v>113</v>
      </c>
      <c r="J6" s="16" t="s">
        <v>2682</v>
      </c>
      <c r="K6" t="s">
        <v>20</v>
      </c>
      <c r="L6" t="s">
        <v>2661</v>
      </c>
      <c r="M6" s="72">
        <v>0</v>
      </c>
      <c r="N6" s="72">
        <v>1</v>
      </c>
      <c r="O6" s="72">
        <v>1</v>
      </c>
      <c r="P6" s="72">
        <v>2</v>
      </c>
      <c r="Q6" s="72">
        <v>0.01</v>
      </c>
      <c r="R6" t="s">
        <v>2673</v>
      </c>
    </row>
    <row r="7" spans="1:18" x14ac:dyDescent="0.25">
      <c r="A7" t="s">
        <v>2684</v>
      </c>
      <c r="B7" t="s">
        <v>2685</v>
      </c>
      <c r="C7" t="s">
        <v>2686</v>
      </c>
      <c r="D7" t="s">
        <v>2687</v>
      </c>
      <c r="E7" t="s">
        <v>2687</v>
      </c>
      <c r="F7" t="s">
        <v>35</v>
      </c>
      <c r="G7" t="s">
        <v>2659</v>
      </c>
      <c r="H7" s="8" t="s">
        <v>2600</v>
      </c>
      <c r="J7" s="16" t="s">
        <v>2688</v>
      </c>
      <c r="K7" t="s">
        <v>14</v>
      </c>
      <c r="L7" t="s">
        <v>2661</v>
      </c>
      <c r="M7" s="72">
        <v>-10000</v>
      </c>
      <c r="N7" s="17">
        <v>10000</v>
      </c>
      <c r="O7" s="73">
        <v>4.6565999999999903E-6</v>
      </c>
      <c r="P7" s="17">
        <v>4294967296</v>
      </c>
      <c r="Q7" s="17">
        <v>0.01</v>
      </c>
      <c r="R7" t="s">
        <v>2673</v>
      </c>
    </row>
    <row r="8" spans="1:18" x14ac:dyDescent="0.25">
      <c r="A8" t="s">
        <v>2689</v>
      </c>
      <c r="B8" t="s">
        <v>2689</v>
      </c>
      <c r="C8" t="s">
        <v>2690</v>
      </c>
      <c r="D8" t="s">
        <v>2687</v>
      </c>
      <c r="E8" t="s">
        <v>2687</v>
      </c>
      <c r="F8" t="s">
        <v>35</v>
      </c>
      <c r="G8" t="s">
        <v>2691</v>
      </c>
      <c r="H8" s="8" t="s">
        <v>76</v>
      </c>
      <c r="J8" s="16" t="s">
        <v>2692</v>
      </c>
      <c r="K8" t="s">
        <v>14</v>
      </c>
      <c r="L8" t="s">
        <v>2661</v>
      </c>
      <c r="M8" s="17">
        <v>-90</v>
      </c>
      <c r="N8" s="17">
        <v>90</v>
      </c>
      <c r="O8" s="73">
        <v>4.1899999999999899E-8</v>
      </c>
      <c r="P8" s="17">
        <v>4294967296</v>
      </c>
      <c r="Q8" s="17">
        <v>0.01</v>
      </c>
      <c r="R8" t="s">
        <v>2673</v>
      </c>
    </row>
    <row r="9" spans="1:18" x14ac:dyDescent="0.25">
      <c r="A9" t="s">
        <v>2693</v>
      </c>
      <c r="B9" t="s">
        <v>2694</v>
      </c>
      <c r="C9" t="s">
        <v>2695</v>
      </c>
      <c r="D9" t="s">
        <v>2696</v>
      </c>
      <c r="E9" t="s">
        <v>2697</v>
      </c>
      <c r="F9" t="s">
        <v>35</v>
      </c>
      <c r="G9" t="s">
        <v>2698</v>
      </c>
      <c r="H9" s="8" t="s">
        <v>2602</v>
      </c>
      <c r="J9" s="16" t="s">
        <v>2699</v>
      </c>
      <c r="K9" t="s">
        <v>14</v>
      </c>
      <c r="L9" t="s">
        <v>2661</v>
      </c>
      <c r="M9" s="17">
        <v>0</v>
      </c>
      <c r="N9" s="17">
        <v>100</v>
      </c>
      <c r="O9" s="73">
        <v>2.33E-8</v>
      </c>
      <c r="P9" s="17">
        <v>4294967296</v>
      </c>
      <c r="Q9" s="17">
        <v>0.01</v>
      </c>
      <c r="R9" t="s">
        <v>2673</v>
      </c>
    </row>
    <row r="10" spans="1:18" x14ac:dyDescent="0.25">
      <c r="A10" t="s">
        <v>2700</v>
      </c>
      <c r="B10" t="s">
        <v>2701</v>
      </c>
      <c r="C10" t="s">
        <v>2702</v>
      </c>
      <c r="D10" t="s">
        <v>2696</v>
      </c>
      <c r="E10" t="s">
        <v>2697</v>
      </c>
      <c r="F10" t="s">
        <v>35</v>
      </c>
      <c r="G10" t="s">
        <v>2703</v>
      </c>
      <c r="H10" s="8" t="s">
        <v>100</v>
      </c>
      <c r="J10" s="16" t="s">
        <v>2704</v>
      </c>
      <c r="K10" t="s">
        <v>14</v>
      </c>
      <c r="L10" t="s">
        <v>2661</v>
      </c>
      <c r="M10" s="17">
        <v>-100000</v>
      </c>
      <c r="N10" s="17">
        <v>100000</v>
      </c>
      <c r="O10" s="73">
        <v>4.6566100000000001E-5</v>
      </c>
      <c r="P10" s="17">
        <v>4294967296</v>
      </c>
      <c r="Q10" s="17">
        <v>0.01</v>
      </c>
      <c r="R10" t="s">
        <v>2673</v>
      </c>
    </row>
    <row r="11" spans="1:18" x14ac:dyDescent="0.25">
      <c r="A11" t="s">
        <v>2705</v>
      </c>
      <c r="B11" t="s">
        <v>2706</v>
      </c>
      <c r="C11" t="s">
        <v>2707</v>
      </c>
      <c r="D11" t="s">
        <v>2696</v>
      </c>
      <c r="E11" t="s">
        <v>2697</v>
      </c>
      <c r="F11" t="s">
        <v>35</v>
      </c>
      <c r="G11" t="s">
        <v>2659</v>
      </c>
      <c r="H11" s="8" t="s">
        <v>3103</v>
      </c>
      <c r="J11" s="16" t="s">
        <v>2708</v>
      </c>
      <c r="K11" t="s">
        <v>14</v>
      </c>
      <c r="L11" t="s">
        <v>2661</v>
      </c>
      <c r="M11" s="17">
        <v>-1000</v>
      </c>
      <c r="N11" s="17">
        <v>1000</v>
      </c>
      <c r="O11" s="73">
        <v>4.6569999999999999E-7</v>
      </c>
      <c r="P11" s="17">
        <v>4294967296</v>
      </c>
      <c r="Q11" s="17">
        <v>0.01</v>
      </c>
      <c r="R11" t="s">
        <v>2673</v>
      </c>
    </row>
    <row r="12" spans="1:18" x14ac:dyDescent="0.25">
      <c r="A12" t="s">
        <v>2709</v>
      </c>
      <c r="B12" t="s">
        <v>2710</v>
      </c>
      <c r="C12" t="s">
        <v>2711</v>
      </c>
      <c r="D12" t="s">
        <v>2696</v>
      </c>
      <c r="E12" t="s">
        <v>2697</v>
      </c>
      <c r="F12" t="s">
        <v>35</v>
      </c>
      <c r="G12" t="s">
        <v>2712</v>
      </c>
      <c r="H12" s="8" t="s">
        <v>64</v>
      </c>
      <c r="J12" s="16" t="s">
        <v>2713</v>
      </c>
      <c r="K12" t="s">
        <v>14</v>
      </c>
      <c r="L12" t="s">
        <v>2661</v>
      </c>
      <c r="M12" s="17">
        <v>0</v>
      </c>
      <c r="N12" s="17">
        <v>10000000</v>
      </c>
      <c r="O12" s="73">
        <v>2.3283064000000002E-3</v>
      </c>
      <c r="P12" s="17">
        <v>4294967296</v>
      </c>
      <c r="Q12" s="17">
        <v>0.01</v>
      </c>
      <c r="R12" t="s">
        <v>2673</v>
      </c>
    </row>
    <row r="13" spans="1:18" x14ac:dyDescent="0.25">
      <c r="A13" t="s">
        <v>2736</v>
      </c>
      <c r="B13" t="s">
        <v>2737</v>
      </c>
      <c r="C13" t="s">
        <v>2738</v>
      </c>
      <c r="D13" t="s">
        <v>2734</v>
      </c>
      <c r="E13" t="s">
        <v>2735</v>
      </c>
      <c r="F13" t="s">
        <v>36</v>
      </c>
      <c r="G13" t="s">
        <v>2716</v>
      </c>
      <c r="H13" s="8" t="s">
        <v>113</v>
      </c>
      <c r="J13" s="16" t="s">
        <v>2739</v>
      </c>
      <c r="K13" t="s">
        <v>14</v>
      </c>
      <c r="L13" t="s">
        <v>2661</v>
      </c>
      <c r="M13" s="17">
        <v>-2147483648</v>
      </c>
      <c r="N13" s="17">
        <v>2147483647</v>
      </c>
      <c r="O13" s="17">
        <v>1</v>
      </c>
      <c r="P13" s="17">
        <v>4294967296</v>
      </c>
      <c r="Q13" s="73">
        <v>0.02</v>
      </c>
      <c r="R13" t="s">
        <v>2662</v>
      </c>
    </row>
    <row r="14" spans="1:18" x14ac:dyDescent="0.25">
      <c r="A14" t="s">
        <v>2740</v>
      </c>
      <c r="B14" t="s">
        <v>2741</v>
      </c>
      <c r="C14" t="s">
        <v>2742</v>
      </c>
      <c r="D14" t="s">
        <v>2734</v>
      </c>
      <c r="E14" t="s">
        <v>2735</v>
      </c>
      <c r="F14" t="s">
        <v>35</v>
      </c>
      <c r="G14" t="s">
        <v>2743</v>
      </c>
      <c r="H14" s="8" t="s">
        <v>85</v>
      </c>
      <c r="J14" s="16" t="s">
        <v>2744</v>
      </c>
      <c r="K14" t="s">
        <v>14</v>
      </c>
      <c r="L14" t="s">
        <v>2661</v>
      </c>
      <c r="M14" s="17">
        <v>-2147483648</v>
      </c>
      <c r="N14" s="17">
        <v>2147483647</v>
      </c>
      <c r="O14" s="17">
        <v>1</v>
      </c>
      <c r="P14" s="17">
        <v>4294967296</v>
      </c>
      <c r="Q14" s="73">
        <v>0.02</v>
      </c>
      <c r="R14" t="s">
        <v>2662</v>
      </c>
    </row>
    <row r="15" spans="1:18" x14ac:dyDescent="0.25">
      <c r="A15" t="s">
        <v>2745</v>
      </c>
      <c r="B15" t="s">
        <v>2746</v>
      </c>
      <c r="C15" t="s">
        <v>3101</v>
      </c>
      <c r="D15" t="s">
        <v>2734</v>
      </c>
      <c r="E15" t="s">
        <v>2735</v>
      </c>
      <c r="F15" t="s">
        <v>35</v>
      </c>
      <c r="G15" t="s">
        <v>2743</v>
      </c>
      <c r="H15" s="8" t="s">
        <v>85</v>
      </c>
      <c r="J15" s="16" t="s">
        <v>3099</v>
      </c>
      <c r="K15" t="s">
        <v>14</v>
      </c>
      <c r="L15" t="s">
        <v>2661</v>
      </c>
      <c r="M15" s="17">
        <v>-2147483648</v>
      </c>
      <c r="N15" s="17">
        <v>2147483647</v>
      </c>
      <c r="O15" s="17">
        <v>1</v>
      </c>
      <c r="P15" s="17">
        <v>4294967296</v>
      </c>
      <c r="Q15" s="73">
        <v>0.02</v>
      </c>
      <c r="R15" t="s">
        <v>2662</v>
      </c>
    </row>
    <row r="16" spans="1:18" x14ac:dyDescent="0.25">
      <c r="A16" t="s">
        <v>2747</v>
      </c>
      <c r="B16" t="s">
        <v>2748</v>
      </c>
      <c r="C16" t="s">
        <v>2749</v>
      </c>
      <c r="D16" t="s">
        <v>2734</v>
      </c>
      <c r="E16" t="s">
        <v>2735</v>
      </c>
      <c r="F16" t="s">
        <v>35</v>
      </c>
      <c r="G16" t="s">
        <v>2743</v>
      </c>
      <c r="H16" s="8" t="s">
        <v>85</v>
      </c>
      <c r="J16" s="16" t="s">
        <v>2750</v>
      </c>
      <c r="K16" t="s">
        <v>14</v>
      </c>
      <c r="L16" t="s">
        <v>2661</v>
      </c>
      <c r="M16" s="17">
        <v>-2147483648</v>
      </c>
      <c r="N16" s="17">
        <v>2147483647</v>
      </c>
      <c r="O16" s="17">
        <v>1</v>
      </c>
      <c r="P16" s="17">
        <v>4294967296</v>
      </c>
      <c r="Q16" s="73">
        <v>0.02</v>
      </c>
      <c r="R16" t="s">
        <v>2662</v>
      </c>
    </row>
    <row r="17" spans="1:18" x14ac:dyDescent="0.25">
      <c r="A17" t="s">
        <v>2751</v>
      </c>
      <c r="B17" t="s">
        <v>2752</v>
      </c>
      <c r="C17" t="s">
        <v>2753</v>
      </c>
      <c r="D17" t="s">
        <v>2734</v>
      </c>
      <c r="E17" t="s">
        <v>2735</v>
      </c>
      <c r="F17" t="s">
        <v>35</v>
      </c>
      <c r="G17" t="s">
        <v>2743</v>
      </c>
      <c r="H17" s="8" t="s">
        <v>85</v>
      </c>
      <c r="J17" s="16" t="s">
        <v>2754</v>
      </c>
      <c r="K17" t="s">
        <v>14</v>
      </c>
      <c r="L17" t="s">
        <v>2661</v>
      </c>
      <c r="M17" s="17">
        <v>-2147483648</v>
      </c>
      <c r="N17" s="17">
        <v>2147483647</v>
      </c>
      <c r="O17" s="17">
        <v>1</v>
      </c>
      <c r="P17" s="17">
        <v>4294967296</v>
      </c>
      <c r="Q17" s="73">
        <v>0.02</v>
      </c>
      <c r="R17" t="s">
        <v>2662</v>
      </c>
    </row>
    <row r="18" spans="1:18" x14ac:dyDescent="0.25">
      <c r="A18" t="s">
        <v>2755</v>
      </c>
      <c r="B18" t="s">
        <v>2756</v>
      </c>
      <c r="C18" t="s">
        <v>2757</v>
      </c>
      <c r="D18" t="s">
        <v>2734</v>
      </c>
      <c r="E18" t="s">
        <v>2735</v>
      </c>
      <c r="F18" t="s">
        <v>35</v>
      </c>
      <c r="G18" t="s">
        <v>2743</v>
      </c>
      <c r="H18" s="8" t="s">
        <v>85</v>
      </c>
      <c r="J18" s="16" t="s">
        <v>2758</v>
      </c>
      <c r="K18" t="s">
        <v>14</v>
      </c>
      <c r="L18" t="s">
        <v>2661</v>
      </c>
      <c r="M18" s="17">
        <v>-2147483648</v>
      </c>
      <c r="N18" s="17">
        <v>2147483647</v>
      </c>
      <c r="O18" s="17">
        <v>1</v>
      </c>
      <c r="P18" s="17">
        <v>4294967296</v>
      </c>
      <c r="Q18" s="73">
        <v>0.02</v>
      </c>
      <c r="R18" t="s">
        <v>2662</v>
      </c>
    </row>
    <row r="19" spans="1:18" x14ac:dyDescent="0.25">
      <c r="A19" t="s">
        <v>2759</v>
      </c>
      <c r="B19" t="s">
        <v>2760</v>
      </c>
      <c r="C19" t="s">
        <v>2761</v>
      </c>
      <c r="D19" t="s">
        <v>2734</v>
      </c>
      <c r="E19" t="s">
        <v>2735</v>
      </c>
      <c r="F19" t="s">
        <v>35</v>
      </c>
      <c r="G19" t="s">
        <v>2743</v>
      </c>
      <c r="H19" s="8" t="s">
        <v>85</v>
      </c>
      <c r="J19" s="16" t="s">
        <v>2762</v>
      </c>
      <c r="K19" t="s">
        <v>14</v>
      </c>
      <c r="L19" t="s">
        <v>2661</v>
      </c>
      <c r="M19" s="17">
        <v>-2147483648</v>
      </c>
      <c r="N19" s="17">
        <v>2147483647</v>
      </c>
      <c r="O19" s="17">
        <v>1</v>
      </c>
      <c r="P19" s="17">
        <v>4294967296</v>
      </c>
      <c r="Q19" s="73">
        <v>0.02</v>
      </c>
      <c r="R19" t="s">
        <v>2662</v>
      </c>
    </row>
    <row r="20" spans="1:18" x14ac:dyDescent="0.25">
      <c r="A20" t="s">
        <v>2763</v>
      </c>
      <c r="B20" t="s">
        <v>2746</v>
      </c>
      <c r="C20" t="s">
        <v>3101</v>
      </c>
      <c r="D20" t="s">
        <v>2734</v>
      </c>
      <c r="E20" t="s">
        <v>2735</v>
      </c>
      <c r="F20" t="s">
        <v>35</v>
      </c>
      <c r="G20" t="s">
        <v>2691</v>
      </c>
      <c r="H20" s="8" t="s">
        <v>76</v>
      </c>
      <c r="J20" s="16" t="s">
        <v>3100</v>
      </c>
      <c r="K20" t="s">
        <v>14</v>
      </c>
      <c r="L20" t="s">
        <v>2661</v>
      </c>
      <c r="M20" s="17">
        <v>-2147483648</v>
      </c>
      <c r="N20" s="17">
        <v>2147483647</v>
      </c>
      <c r="O20" s="17">
        <v>1</v>
      </c>
      <c r="P20" s="17">
        <v>4294967296</v>
      </c>
      <c r="Q20" s="73">
        <v>0.02</v>
      </c>
      <c r="R20" t="s">
        <v>2662</v>
      </c>
    </row>
    <row r="21" spans="1:18" x14ac:dyDescent="0.25">
      <c r="A21" t="s">
        <v>2764</v>
      </c>
      <c r="B21" t="s">
        <v>2748</v>
      </c>
      <c r="C21" t="s">
        <v>2749</v>
      </c>
      <c r="D21" t="s">
        <v>2734</v>
      </c>
      <c r="E21" t="s">
        <v>2735</v>
      </c>
      <c r="F21" t="s">
        <v>35</v>
      </c>
      <c r="G21" t="s">
        <v>2691</v>
      </c>
      <c r="H21" s="8" t="s">
        <v>76</v>
      </c>
      <c r="J21" s="16" t="s">
        <v>2765</v>
      </c>
      <c r="K21" t="s">
        <v>14</v>
      </c>
      <c r="L21" t="s">
        <v>2661</v>
      </c>
      <c r="M21" s="17">
        <v>-2147483648</v>
      </c>
      <c r="N21" s="17">
        <v>2147483647</v>
      </c>
      <c r="O21" s="17">
        <v>1</v>
      </c>
      <c r="P21" s="17">
        <v>4294967296</v>
      </c>
      <c r="Q21" s="73">
        <v>0.02</v>
      </c>
      <c r="R21" t="s">
        <v>2662</v>
      </c>
    </row>
    <row r="22" spans="1:18" x14ac:dyDescent="0.25">
      <c r="A22" t="s">
        <v>2766</v>
      </c>
      <c r="B22" t="s">
        <v>2752</v>
      </c>
      <c r="C22" t="s">
        <v>2753</v>
      </c>
      <c r="D22" t="s">
        <v>2734</v>
      </c>
      <c r="E22" t="s">
        <v>2735</v>
      </c>
      <c r="F22" t="s">
        <v>35</v>
      </c>
      <c r="G22" t="s">
        <v>2691</v>
      </c>
      <c r="H22" s="8" t="s">
        <v>76</v>
      </c>
      <c r="J22" s="16" t="s">
        <v>2767</v>
      </c>
      <c r="K22" t="s">
        <v>14</v>
      </c>
      <c r="L22" t="s">
        <v>2661</v>
      </c>
      <c r="M22" s="17">
        <v>-2147483648</v>
      </c>
      <c r="N22" s="17">
        <v>2147483647</v>
      </c>
      <c r="O22" s="17">
        <v>1</v>
      </c>
      <c r="P22" s="17">
        <v>4294967296</v>
      </c>
      <c r="Q22" s="73">
        <v>0.02</v>
      </c>
      <c r="R22" t="s">
        <v>2662</v>
      </c>
    </row>
    <row r="23" spans="1:18" x14ac:dyDescent="0.25">
      <c r="A23" t="s">
        <v>2768</v>
      </c>
      <c r="B23" t="s">
        <v>2756</v>
      </c>
      <c r="C23" t="s">
        <v>2757</v>
      </c>
      <c r="D23" t="s">
        <v>2734</v>
      </c>
      <c r="E23" t="s">
        <v>2735</v>
      </c>
      <c r="F23" t="s">
        <v>35</v>
      </c>
      <c r="G23" t="s">
        <v>2691</v>
      </c>
      <c r="H23" s="8" t="s">
        <v>76</v>
      </c>
      <c r="J23" s="16" t="s">
        <v>2769</v>
      </c>
      <c r="K23" t="s">
        <v>14</v>
      </c>
      <c r="L23" t="s">
        <v>2661</v>
      </c>
      <c r="M23" s="17">
        <v>-2147483648</v>
      </c>
      <c r="N23" s="17">
        <v>2147483647</v>
      </c>
      <c r="O23" s="17">
        <v>1</v>
      </c>
      <c r="P23" s="17">
        <v>4294967296</v>
      </c>
      <c r="Q23" s="73">
        <v>0.02</v>
      </c>
      <c r="R23" t="s">
        <v>2662</v>
      </c>
    </row>
    <row r="24" spans="1:18" x14ac:dyDescent="0.25">
      <c r="A24" t="s">
        <v>2770</v>
      </c>
      <c r="B24" t="s">
        <v>2760</v>
      </c>
      <c r="C24" t="s">
        <v>2761</v>
      </c>
      <c r="D24" t="s">
        <v>2734</v>
      </c>
      <c r="E24" t="s">
        <v>2735</v>
      </c>
      <c r="F24" t="s">
        <v>35</v>
      </c>
      <c r="G24" t="s">
        <v>2691</v>
      </c>
      <c r="H24" s="8" t="s">
        <v>76</v>
      </c>
      <c r="J24" s="16" t="s">
        <v>2771</v>
      </c>
      <c r="K24" t="s">
        <v>14</v>
      </c>
      <c r="L24" t="s">
        <v>2661</v>
      </c>
      <c r="M24" s="17">
        <v>-2147483648</v>
      </c>
      <c r="N24" s="17">
        <v>2147483647</v>
      </c>
      <c r="O24" s="17">
        <v>1</v>
      </c>
      <c r="P24" s="17">
        <v>4294967296</v>
      </c>
      <c r="Q24" s="73">
        <v>0.02</v>
      </c>
      <c r="R24" t="s">
        <v>2662</v>
      </c>
    </row>
    <row r="25" spans="1:18" x14ac:dyDescent="0.25">
      <c r="A25" t="s">
        <v>2772</v>
      </c>
      <c r="B25" t="s">
        <v>2773</v>
      </c>
      <c r="C25" t="s">
        <v>2774</v>
      </c>
      <c r="D25" t="s">
        <v>2734</v>
      </c>
      <c r="E25" t="s">
        <v>2735</v>
      </c>
      <c r="F25" t="s">
        <v>35</v>
      </c>
      <c r="G25" t="s">
        <v>2775</v>
      </c>
      <c r="H25" s="8" t="s">
        <v>1679</v>
      </c>
      <c r="J25" s="16" t="s">
        <v>2776</v>
      </c>
      <c r="K25" t="s">
        <v>14</v>
      </c>
      <c r="L25" t="s">
        <v>2661</v>
      </c>
      <c r="M25" s="17">
        <v>-2147483648</v>
      </c>
      <c r="N25" s="17">
        <v>2147483647</v>
      </c>
      <c r="O25" s="17">
        <v>1</v>
      </c>
      <c r="P25" s="17">
        <v>4294967296</v>
      </c>
      <c r="Q25" s="73">
        <v>0.02</v>
      </c>
      <c r="R25" t="s">
        <v>2662</v>
      </c>
    </row>
    <row r="26" spans="1:18" x14ac:dyDescent="0.25">
      <c r="A26" t="s">
        <v>2910</v>
      </c>
      <c r="B26" t="s">
        <v>2801</v>
      </c>
      <c r="C26" t="s">
        <v>2802</v>
      </c>
      <c r="D26" t="s">
        <v>2803</v>
      </c>
      <c r="E26" t="s">
        <v>2804</v>
      </c>
      <c r="F26" t="s">
        <v>2597</v>
      </c>
      <c r="G26" t="s">
        <v>2716</v>
      </c>
      <c r="H26" s="8" t="s">
        <v>113</v>
      </c>
      <c r="J26" s="16" t="s">
        <v>2805</v>
      </c>
      <c r="K26" t="s">
        <v>20</v>
      </c>
      <c r="L26" t="s">
        <v>2661</v>
      </c>
      <c r="M26" s="17">
        <v>0</v>
      </c>
      <c r="N26" s="17">
        <v>10</v>
      </c>
      <c r="O26" s="73">
        <v>3.90625E-2</v>
      </c>
      <c r="P26" s="17">
        <v>256</v>
      </c>
      <c r="Q26" s="17">
        <v>0.01</v>
      </c>
      <c r="R26" t="s">
        <v>2673</v>
      </c>
    </row>
    <row r="27" spans="1:18" x14ac:dyDescent="0.25">
      <c r="A27" t="s">
        <v>2911</v>
      </c>
      <c r="B27" t="s">
        <v>2810</v>
      </c>
      <c r="C27" t="s">
        <v>2811</v>
      </c>
      <c r="D27" t="s">
        <v>2812</v>
      </c>
      <c r="E27" t="s">
        <v>2812</v>
      </c>
      <c r="F27" t="s">
        <v>35</v>
      </c>
      <c r="G27" t="s">
        <v>2809</v>
      </c>
      <c r="H27" s="8" t="s">
        <v>96</v>
      </c>
      <c r="J27" s="16" t="s">
        <v>2813</v>
      </c>
      <c r="K27" t="s">
        <v>14</v>
      </c>
      <c r="L27" t="s">
        <v>2661</v>
      </c>
      <c r="M27" s="17">
        <v>-21</v>
      </c>
      <c r="N27" s="17">
        <v>2147</v>
      </c>
      <c r="O27" s="73">
        <v>5.0480000000000002E-7</v>
      </c>
      <c r="P27" s="17">
        <v>4294967296</v>
      </c>
      <c r="Q27" s="17">
        <v>0.01</v>
      </c>
      <c r="R27" t="s">
        <v>2673</v>
      </c>
    </row>
    <row r="28" spans="1:18" x14ac:dyDescent="0.25">
      <c r="A28" t="s">
        <v>2912</v>
      </c>
      <c r="B28" t="s">
        <v>2816</v>
      </c>
      <c r="C28" t="s">
        <v>2817</v>
      </c>
      <c r="D28" t="s">
        <v>2812</v>
      </c>
      <c r="E28" t="s">
        <v>2812</v>
      </c>
      <c r="F28" t="s">
        <v>35</v>
      </c>
      <c r="G28" t="s">
        <v>2775</v>
      </c>
      <c r="H28" s="8" t="s">
        <v>1679</v>
      </c>
      <c r="J28" s="16" t="s">
        <v>2818</v>
      </c>
      <c r="K28" t="s">
        <v>14</v>
      </c>
      <c r="L28" t="s">
        <v>2661</v>
      </c>
      <c r="M28" s="17">
        <v>-21</v>
      </c>
      <c r="N28" s="17">
        <v>2147</v>
      </c>
      <c r="O28" s="73">
        <v>5.0480000000000002E-7</v>
      </c>
      <c r="P28" s="17">
        <v>4294967296</v>
      </c>
      <c r="Q28" s="17">
        <v>0.01</v>
      </c>
      <c r="R28" t="s">
        <v>2673</v>
      </c>
    </row>
    <row r="29" spans="1:18" x14ac:dyDescent="0.25">
      <c r="A29" t="s">
        <v>2913</v>
      </c>
      <c r="B29" t="s">
        <v>2831</v>
      </c>
      <c r="C29" t="s">
        <v>2832</v>
      </c>
      <c r="D29" t="s">
        <v>2812</v>
      </c>
      <c r="E29" t="s">
        <v>2812</v>
      </c>
      <c r="F29" t="s">
        <v>35</v>
      </c>
      <c r="G29" t="s">
        <v>2833</v>
      </c>
      <c r="H29" s="8" t="s">
        <v>66</v>
      </c>
      <c r="J29" s="16" t="s">
        <v>2834</v>
      </c>
      <c r="K29" t="s">
        <v>14</v>
      </c>
      <c r="L29" t="s">
        <v>2661</v>
      </c>
      <c r="M29" s="17">
        <v>-21</v>
      </c>
      <c r="N29" s="17">
        <v>2147</v>
      </c>
      <c r="O29" s="73">
        <v>5.0480000000000002E-7</v>
      </c>
      <c r="P29" s="17">
        <v>4294967296</v>
      </c>
      <c r="Q29" s="17">
        <v>0.01</v>
      </c>
      <c r="R29" t="s">
        <v>2673</v>
      </c>
    </row>
    <row r="30" spans="1:18" x14ac:dyDescent="0.25">
      <c r="A30" t="s">
        <v>2914</v>
      </c>
      <c r="B30" t="s">
        <v>2835</v>
      </c>
      <c r="C30" t="s">
        <v>2836</v>
      </c>
      <c r="D30" t="s">
        <v>2812</v>
      </c>
      <c r="E30" t="s">
        <v>2812</v>
      </c>
      <c r="F30" t="s">
        <v>35</v>
      </c>
      <c r="G30" t="s">
        <v>2716</v>
      </c>
      <c r="H30" s="8" t="s">
        <v>113</v>
      </c>
      <c r="J30" s="16" t="s">
        <v>2837</v>
      </c>
      <c r="K30" t="s">
        <v>14</v>
      </c>
      <c r="L30" t="s">
        <v>2661</v>
      </c>
      <c r="M30" s="17">
        <v>-21</v>
      </c>
      <c r="N30" s="17">
        <v>200000000</v>
      </c>
      <c r="O30" s="73">
        <v>4.65661335999999E-2</v>
      </c>
      <c r="P30" s="17">
        <v>4294967296</v>
      </c>
      <c r="Q30" s="17">
        <v>0.01</v>
      </c>
      <c r="R30" t="s">
        <v>2673</v>
      </c>
    </row>
    <row r="31" spans="1:18" x14ac:dyDescent="0.25">
      <c r="A31" t="s">
        <v>2915</v>
      </c>
      <c r="B31" t="s">
        <v>2841</v>
      </c>
      <c r="C31" t="s">
        <v>2842</v>
      </c>
      <c r="D31" t="s">
        <v>2812</v>
      </c>
      <c r="E31" t="s">
        <v>2812</v>
      </c>
      <c r="F31" t="s">
        <v>35</v>
      </c>
      <c r="G31" t="s">
        <v>2718</v>
      </c>
      <c r="H31" s="8" t="s">
        <v>79</v>
      </c>
      <c r="J31" s="16" t="s">
        <v>2843</v>
      </c>
      <c r="K31" t="s">
        <v>14</v>
      </c>
      <c r="L31" t="s">
        <v>2661</v>
      </c>
      <c r="M31" s="17">
        <v>-21</v>
      </c>
      <c r="N31" s="17">
        <v>200</v>
      </c>
      <c r="O31" s="73">
        <v>5.1499999999999899E-8</v>
      </c>
      <c r="P31" s="17">
        <v>4294967296</v>
      </c>
      <c r="Q31" s="17">
        <v>0.01</v>
      </c>
      <c r="R31" t="s">
        <v>2673</v>
      </c>
    </row>
    <row r="32" spans="1:18" x14ac:dyDescent="0.25">
      <c r="A32" t="s">
        <v>2916</v>
      </c>
      <c r="B32" t="s">
        <v>2844</v>
      </c>
      <c r="C32" t="s">
        <v>2845</v>
      </c>
      <c r="D32" t="s">
        <v>2812</v>
      </c>
      <c r="E32" t="s">
        <v>2812</v>
      </c>
      <c r="F32" t="s">
        <v>35</v>
      </c>
      <c r="G32" t="s">
        <v>2808</v>
      </c>
      <c r="H32" s="8" t="s">
        <v>2601</v>
      </c>
      <c r="J32" s="16" t="s">
        <v>2846</v>
      </c>
      <c r="K32" t="s">
        <v>14</v>
      </c>
      <c r="L32" t="s">
        <v>2661</v>
      </c>
      <c r="M32" s="17">
        <v>-21</v>
      </c>
      <c r="N32" s="17">
        <v>2147487</v>
      </c>
      <c r="O32" s="73">
        <v>5.000057E-4</v>
      </c>
      <c r="P32" s="17">
        <v>4294967296</v>
      </c>
      <c r="Q32" s="17">
        <v>0.1</v>
      </c>
      <c r="R32" t="s">
        <v>2673</v>
      </c>
    </row>
    <row r="33" spans="1:18" x14ac:dyDescent="0.25">
      <c r="A33" t="s">
        <v>2917</v>
      </c>
      <c r="B33" t="s">
        <v>2847</v>
      </c>
      <c r="C33" t="s">
        <v>2848</v>
      </c>
      <c r="D33" t="s">
        <v>2812</v>
      </c>
      <c r="E33" t="s">
        <v>2812</v>
      </c>
      <c r="F33" t="s">
        <v>35</v>
      </c>
      <c r="G33" t="s">
        <v>2809</v>
      </c>
      <c r="H33" s="8" t="s">
        <v>96</v>
      </c>
      <c r="J33" s="16" t="s">
        <v>2849</v>
      </c>
      <c r="K33" t="s">
        <v>16</v>
      </c>
      <c r="L33" t="s">
        <v>2661</v>
      </c>
      <c r="M33" s="17">
        <v>-50</v>
      </c>
      <c r="N33" s="17">
        <v>257</v>
      </c>
      <c r="O33" s="73">
        <v>4.6844482E-3</v>
      </c>
      <c r="P33" s="17">
        <v>65536</v>
      </c>
      <c r="Q33" s="17">
        <v>0.1</v>
      </c>
      <c r="R33" t="s">
        <v>2673</v>
      </c>
    </row>
    <row r="34" spans="1:18" x14ac:dyDescent="0.25">
      <c r="A34" t="s">
        <v>2918</v>
      </c>
      <c r="B34" t="s">
        <v>359</v>
      </c>
      <c r="C34" t="s">
        <v>359</v>
      </c>
      <c r="D34" t="s">
        <v>2812</v>
      </c>
      <c r="E34" t="s">
        <v>2812</v>
      </c>
      <c r="F34" t="s">
        <v>35</v>
      </c>
      <c r="G34" t="s">
        <v>2775</v>
      </c>
      <c r="H34" s="8" t="s">
        <v>1679</v>
      </c>
      <c r="J34" s="16" t="s">
        <v>2850</v>
      </c>
      <c r="K34" t="s">
        <v>20</v>
      </c>
      <c r="L34" t="s">
        <v>2661</v>
      </c>
      <c r="M34" s="17">
        <v>-1</v>
      </c>
      <c r="N34" s="17">
        <v>12</v>
      </c>
      <c r="O34" s="73">
        <v>5.078125E-2</v>
      </c>
      <c r="P34" s="17">
        <v>256</v>
      </c>
      <c r="Q34" s="17">
        <v>0.1</v>
      </c>
      <c r="R34" t="s">
        <v>2673</v>
      </c>
    </row>
    <row r="35" spans="1:18" x14ac:dyDescent="0.25">
      <c r="A35" t="s">
        <v>2919</v>
      </c>
      <c r="B35" t="s">
        <v>1343</v>
      </c>
      <c r="C35" t="s">
        <v>1344</v>
      </c>
      <c r="D35" t="s">
        <v>2812</v>
      </c>
      <c r="E35" t="s">
        <v>2812</v>
      </c>
      <c r="F35" t="s">
        <v>35</v>
      </c>
      <c r="G35" t="s">
        <v>2716</v>
      </c>
      <c r="H35" s="8" t="s">
        <v>113</v>
      </c>
      <c r="J35" s="16" t="s">
        <v>2851</v>
      </c>
      <c r="K35" t="s">
        <v>20</v>
      </c>
      <c r="L35" t="s">
        <v>2661</v>
      </c>
      <c r="M35" s="17">
        <v>-1</v>
      </c>
      <c r="N35" s="17">
        <v>15</v>
      </c>
      <c r="O35" s="73">
        <v>6.25E-2</v>
      </c>
      <c r="P35" s="17">
        <v>256</v>
      </c>
      <c r="Q35" s="17">
        <v>0.1</v>
      </c>
      <c r="R35" t="s">
        <v>2673</v>
      </c>
    </row>
    <row r="36" spans="1:18" x14ac:dyDescent="0.25">
      <c r="A36" t="s">
        <v>2920</v>
      </c>
      <c r="B36" t="s">
        <v>2852</v>
      </c>
      <c r="C36" t="s">
        <v>2853</v>
      </c>
      <c r="D36" t="s">
        <v>2812</v>
      </c>
      <c r="E36" t="s">
        <v>2812</v>
      </c>
      <c r="F36" t="s">
        <v>35</v>
      </c>
      <c r="G36" t="s">
        <v>2809</v>
      </c>
      <c r="H36" s="8" t="s">
        <v>96</v>
      </c>
      <c r="J36" s="16" t="s">
        <v>2854</v>
      </c>
      <c r="K36" t="s">
        <v>14</v>
      </c>
      <c r="L36" t="s">
        <v>2661</v>
      </c>
      <c r="M36" s="17">
        <v>-21</v>
      </c>
      <c r="N36" s="17">
        <v>2000</v>
      </c>
      <c r="O36" s="73">
        <v>4.7059999999999899E-7</v>
      </c>
      <c r="P36" s="17">
        <v>4294967296</v>
      </c>
      <c r="Q36" s="17">
        <v>0.1</v>
      </c>
      <c r="R36" t="s">
        <v>2673</v>
      </c>
    </row>
    <row r="37" spans="1:18" x14ac:dyDescent="0.25">
      <c r="A37" t="s">
        <v>2891</v>
      </c>
      <c r="B37" t="s">
        <v>2891</v>
      </c>
      <c r="C37" t="s">
        <v>2892</v>
      </c>
      <c r="D37" t="s">
        <v>2888</v>
      </c>
      <c r="E37" t="s">
        <v>2890</v>
      </c>
      <c r="F37" t="s">
        <v>36</v>
      </c>
      <c r="G37" t="s">
        <v>2659</v>
      </c>
      <c r="H37" s="8" t="s">
        <v>2600</v>
      </c>
      <c r="J37" s="16" t="s">
        <v>2893</v>
      </c>
      <c r="K37" t="s">
        <v>14</v>
      </c>
      <c r="L37" t="s">
        <v>2661</v>
      </c>
      <c r="M37">
        <v>-2147483648</v>
      </c>
      <c r="N37">
        <v>2147483647</v>
      </c>
      <c r="O37">
        <v>1</v>
      </c>
      <c r="P37">
        <v>4294967296</v>
      </c>
      <c r="Q37">
        <v>0.01</v>
      </c>
      <c r="R37" t="s">
        <v>2662</v>
      </c>
    </row>
    <row r="38" spans="1:18" x14ac:dyDescent="0.25">
      <c r="A38" t="s">
        <v>2894</v>
      </c>
      <c r="B38" t="s">
        <v>2895</v>
      </c>
      <c r="C38" t="s">
        <v>2896</v>
      </c>
      <c r="D38" t="s">
        <v>2888</v>
      </c>
      <c r="E38" t="s">
        <v>2890</v>
      </c>
      <c r="F38" t="s">
        <v>36</v>
      </c>
      <c r="G38" t="s">
        <v>2897</v>
      </c>
      <c r="H38" s="8" t="s">
        <v>113</v>
      </c>
      <c r="J38" s="16" t="s">
        <v>2898</v>
      </c>
      <c r="K38" t="s">
        <v>14</v>
      </c>
      <c r="L38" t="s">
        <v>2661</v>
      </c>
      <c r="M38">
        <v>-2147483648</v>
      </c>
      <c r="N38">
        <v>2147483647</v>
      </c>
      <c r="O38">
        <v>1</v>
      </c>
      <c r="P38">
        <v>4294967296</v>
      </c>
      <c r="Q38">
        <v>0.01</v>
      </c>
      <c r="R38" t="s">
        <v>2673</v>
      </c>
    </row>
    <row r="39" spans="1:18" x14ac:dyDescent="0.25">
      <c r="A39" t="s">
        <v>2899</v>
      </c>
      <c r="B39" t="s">
        <v>2899</v>
      </c>
      <c r="C39" t="s">
        <v>2900</v>
      </c>
      <c r="D39" t="s">
        <v>2888</v>
      </c>
      <c r="E39" t="s">
        <v>2890</v>
      </c>
      <c r="F39" t="s">
        <v>36</v>
      </c>
      <c r="G39" t="s">
        <v>2897</v>
      </c>
      <c r="H39" s="8" t="s">
        <v>113</v>
      </c>
      <c r="J39" s="16" t="s">
        <v>2901</v>
      </c>
      <c r="K39" t="s">
        <v>14</v>
      </c>
      <c r="L39" t="s">
        <v>2661</v>
      </c>
      <c r="M39">
        <v>-2147483648</v>
      </c>
      <c r="N39">
        <v>2147483647</v>
      </c>
      <c r="O39">
        <v>1</v>
      </c>
      <c r="P39">
        <v>4294967296</v>
      </c>
      <c r="Q39">
        <v>0.01</v>
      </c>
      <c r="R39" t="s">
        <v>2673</v>
      </c>
    </row>
    <row r="40" spans="1:18" x14ac:dyDescent="0.25">
      <c r="A40" t="s">
        <v>2902</v>
      </c>
      <c r="B40" t="s">
        <v>2902</v>
      </c>
      <c r="C40" t="s">
        <v>2903</v>
      </c>
      <c r="D40" t="s">
        <v>2888</v>
      </c>
      <c r="E40" t="s">
        <v>2890</v>
      </c>
      <c r="F40" t="s">
        <v>36</v>
      </c>
      <c r="G40" t="s">
        <v>2833</v>
      </c>
      <c r="H40" s="8" t="s">
        <v>66</v>
      </c>
      <c r="J40" s="16" t="s">
        <v>2904</v>
      </c>
      <c r="K40" t="s">
        <v>14</v>
      </c>
      <c r="L40" t="s">
        <v>2661</v>
      </c>
      <c r="M40">
        <v>-2147483648</v>
      </c>
      <c r="N40">
        <v>2147483647</v>
      </c>
      <c r="O40">
        <v>1</v>
      </c>
      <c r="P40">
        <v>4294967296</v>
      </c>
      <c r="Q40">
        <v>0.01</v>
      </c>
      <c r="R40" t="s">
        <v>2673</v>
      </c>
    </row>
    <row r="41" spans="1:18" x14ac:dyDescent="0.25">
      <c r="A41" t="s">
        <v>2921</v>
      </c>
      <c r="B41" t="s">
        <v>2922</v>
      </c>
      <c r="C41" t="s">
        <v>2923</v>
      </c>
      <c r="D41" t="s">
        <v>2814</v>
      </c>
      <c r="E41" t="s">
        <v>2815</v>
      </c>
      <c r="F41" t="s">
        <v>36</v>
      </c>
      <c r="G41" t="s">
        <v>2719</v>
      </c>
      <c r="H41" s="8" t="s">
        <v>113</v>
      </c>
      <c r="J41" s="16" t="s">
        <v>2924</v>
      </c>
      <c r="K41" t="s">
        <v>2925</v>
      </c>
      <c r="L41" t="s">
        <v>2661</v>
      </c>
      <c r="M41">
        <v>0</v>
      </c>
      <c r="N41">
        <v>1</v>
      </c>
      <c r="O41">
        <v>1</v>
      </c>
      <c r="P41">
        <v>2</v>
      </c>
      <c r="Q41">
        <v>0.01</v>
      </c>
      <c r="R41" t="s">
        <v>2673</v>
      </c>
    </row>
    <row r="42" spans="1:18" x14ac:dyDescent="0.25">
      <c r="A42" t="s">
        <v>2926</v>
      </c>
      <c r="B42" t="s">
        <v>2927</v>
      </c>
      <c r="C42" t="s">
        <v>2928</v>
      </c>
      <c r="D42" t="s">
        <v>2814</v>
      </c>
      <c r="E42" t="s">
        <v>2815</v>
      </c>
      <c r="F42" t="s">
        <v>36</v>
      </c>
      <c r="G42" t="s">
        <v>2719</v>
      </c>
      <c r="H42" s="8" t="s">
        <v>113</v>
      </c>
      <c r="J42" s="16" t="s">
        <v>2929</v>
      </c>
      <c r="K42" t="s">
        <v>2925</v>
      </c>
      <c r="L42" t="s">
        <v>2661</v>
      </c>
      <c r="M42">
        <v>0</v>
      </c>
      <c r="N42">
        <v>1</v>
      </c>
      <c r="O42">
        <v>1</v>
      </c>
      <c r="P42">
        <v>2</v>
      </c>
      <c r="Q42">
        <v>0.01</v>
      </c>
      <c r="R42" t="s">
        <v>2673</v>
      </c>
    </row>
    <row r="43" spans="1:18" x14ac:dyDescent="0.25">
      <c r="A43" t="s">
        <v>2930</v>
      </c>
      <c r="B43" t="s">
        <v>2922</v>
      </c>
      <c r="C43" t="s">
        <v>2923</v>
      </c>
      <c r="D43" t="s">
        <v>2814</v>
      </c>
      <c r="E43" t="s">
        <v>2815</v>
      </c>
      <c r="F43" t="s">
        <v>36</v>
      </c>
      <c r="G43" t="s">
        <v>2931</v>
      </c>
      <c r="H43" s="8" t="s">
        <v>2932</v>
      </c>
      <c r="J43" s="16" t="s">
        <v>2933</v>
      </c>
      <c r="K43" t="s">
        <v>16</v>
      </c>
      <c r="L43" t="s">
        <v>2661</v>
      </c>
      <c r="M43">
        <v>-100</v>
      </c>
      <c r="N43">
        <v>5000</v>
      </c>
      <c r="O43">
        <v>7.7819824199999998E-2</v>
      </c>
      <c r="P43">
        <v>65536</v>
      </c>
      <c r="Q43">
        <v>0.01</v>
      </c>
      <c r="R43" t="s">
        <v>2673</v>
      </c>
    </row>
    <row r="44" spans="1:18" x14ac:dyDescent="0.25">
      <c r="A44" t="s">
        <v>2934</v>
      </c>
      <c r="B44" t="s">
        <v>2927</v>
      </c>
      <c r="C44" t="s">
        <v>2928</v>
      </c>
      <c r="D44" t="s">
        <v>2814</v>
      </c>
      <c r="E44" t="s">
        <v>2815</v>
      </c>
      <c r="F44" t="s">
        <v>36</v>
      </c>
      <c r="G44" t="s">
        <v>2931</v>
      </c>
      <c r="H44" s="8" t="s">
        <v>2932</v>
      </c>
      <c r="J44" s="16" t="s">
        <v>2935</v>
      </c>
      <c r="K44" t="s">
        <v>16</v>
      </c>
      <c r="L44" t="s">
        <v>2661</v>
      </c>
      <c r="M44">
        <v>-100</v>
      </c>
      <c r="N44">
        <v>5000</v>
      </c>
      <c r="O44">
        <v>7.7819824199999998E-2</v>
      </c>
      <c r="P44">
        <v>65536</v>
      </c>
      <c r="Q44">
        <v>0.01</v>
      </c>
      <c r="R44" t="s">
        <v>2673</v>
      </c>
    </row>
    <row r="45" spans="1:18" x14ac:dyDescent="0.25">
      <c r="A45" t="s">
        <v>2936</v>
      </c>
      <c r="B45" t="s">
        <v>2937</v>
      </c>
      <c r="C45" t="s">
        <v>2938</v>
      </c>
      <c r="D45" t="s">
        <v>2814</v>
      </c>
      <c r="E45" t="s">
        <v>2815</v>
      </c>
      <c r="F45" t="s">
        <v>35</v>
      </c>
      <c r="G45" t="s">
        <v>2809</v>
      </c>
      <c r="H45" s="8" t="s">
        <v>96</v>
      </c>
      <c r="J45" s="16" t="s">
        <v>2939</v>
      </c>
      <c r="K45" t="s">
        <v>16</v>
      </c>
      <c r="L45" t="s">
        <v>2661</v>
      </c>
      <c r="M45">
        <v>-100</v>
      </c>
      <c r="N45">
        <v>1000</v>
      </c>
      <c r="O45">
        <v>1.6784667999999999E-2</v>
      </c>
      <c r="P45">
        <v>65536</v>
      </c>
      <c r="Q45">
        <v>0.01</v>
      </c>
      <c r="R45" t="s">
        <v>2673</v>
      </c>
    </row>
    <row r="46" spans="1:18" x14ac:dyDescent="0.25">
      <c r="A46" t="s">
        <v>2940</v>
      </c>
      <c r="B46" t="s">
        <v>2941</v>
      </c>
      <c r="C46" t="s">
        <v>2942</v>
      </c>
      <c r="D46" t="s">
        <v>2814</v>
      </c>
      <c r="E46" t="s">
        <v>2815</v>
      </c>
      <c r="F46" t="s">
        <v>35</v>
      </c>
      <c r="G46" t="s">
        <v>2809</v>
      </c>
      <c r="H46" s="8" t="s">
        <v>96</v>
      </c>
      <c r="J46" s="16" t="s">
        <v>2943</v>
      </c>
      <c r="K46" t="s">
        <v>16</v>
      </c>
      <c r="L46" t="s">
        <v>2661</v>
      </c>
      <c r="M46">
        <v>-100</v>
      </c>
      <c r="N46">
        <v>1000</v>
      </c>
      <c r="O46">
        <v>1.6784667999999999E-2</v>
      </c>
      <c r="P46">
        <v>65536</v>
      </c>
      <c r="Q46">
        <v>0.01</v>
      </c>
      <c r="R46" t="s">
        <v>2673</v>
      </c>
    </row>
    <row r="47" spans="1:18" x14ac:dyDescent="0.25">
      <c r="A47" t="s">
        <v>2944</v>
      </c>
      <c r="B47" t="s">
        <v>2945</v>
      </c>
      <c r="C47" t="s">
        <v>2946</v>
      </c>
      <c r="D47" t="s">
        <v>2814</v>
      </c>
      <c r="E47" t="s">
        <v>2815</v>
      </c>
      <c r="F47" t="s">
        <v>35</v>
      </c>
      <c r="G47" t="s">
        <v>2809</v>
      </c>
      <c r="H47" s="8" t="s">
        <v>96</v>
      </c>
      <c r="J47" s="16" t="s">
        <v>2947</v>
      </c>
      <c r="K47" t="s">
        <v>16</v>
      </c>
      <c r="L47" t="s">
        <v>2661</v>
      </c>
      <c r="M47">
        <v>-100</v>
      </c>
      <c r="N47">
        <v>1000</v>
      </c>
      <c r="O47">
        <v>1.6784667999999999E-2</v>
      </c>
      <c r="P47">
        <v>65536</v>
      </c>
      <c r="Q47">
        <v>0.01</v>
      </c>
      <c r="R47" t="s">
        <v>2673</v>
      </c>
    </row>
    <row r="48" spans="1:18" x14ac:dyDescent="0.25">
      <c r="A48" t="s">
        <v>2948</v>
      </c>
      <c r="B48" t="s">
        <v>2949</v>
      </c>
      <c r="C48" t="s">
        <v>2950</v>
      </c>
      <c r="D48" t="s">
        <v>2814</v>
      </c>
      <c r="E48" t="s">
        <v>2815</v>
      </c>
      <c r="F48" t="s">
        <v>36</v>
      </c>
      <c r="G48" t="s">
        <v>2775</v>
      </c>
      <c r="H48" s="8" t="s">
        <v>1679</v>
      </c>
      <c r="J48" s="16" t="s">
        <v>2951</v>
      </c>
      <c r="K48" t="s">
        <v>14</v>
      </c>
      <c r="L48" t="s">
        <v>2661</v>
      </c>
      <c r="M48">
        <v>0</v>
      </c>
      <c r="N48">
        <v>500000</v>
      </c>
      <c r="O48">
        <v>1.164153E-4</v>
      </c>
      <c r="P48">
        <v>4294967296</v>
      </c>
      <c r="Q48">
        <v>0.01</v>
      </c>
      <c r="R48" t="s">
        <v>2673</v>
      </c>
    </row>
    <row r="49" spans="1:18" x14ac:dyDescent="0.25">
      <c r="A49" t="s">
        <v>2952</v>
      </c>
      <c r="B49" t="s">
        <v>2953</v>
      </c>
      <c r="C49" t="s">
        <v>2954</v>
      </c>
      <c r="D49" t="s">
        <v>2814</v>
      </c>
      <c r="E49" t="s">
        <v>2815</v>
      </c>
      <c r="F49" t="s">
        <v>35</v>
      </c>
      <c r="G49" t="s">
        <v>2809</v>
      </c>
      <c r="H49" s="8" t="s">
        <v>96</v>
      </c>
      <c r="J49" s="16" t="s">
        <v>2955</v>
      </c>
      <c r="K49" t="s">
        <v>16</v>
      </c>
      <c r="L49" t="s">
        <v>2661</v>
      </c>
      <c r="M49">
        <v>-100</v>
      </c>
      <c r="N49">
        <v>1000</v>
      </c>
      <c r="O49">
        <v>1.6784667999999999E-2</v>
      </c>
      <c r="P49">
        <v>65536</v>
      </c>
      <c r="Q49">
        <v>0.01</v>
      </c>
      <c r="R49" t="s">
        <v>2673</v>
      </c>
    </row>
    <row r="50" spans="1:18" x14ac:dyDescent="0.25">
      <c r="A50" t="s">
        <v>2977</v>
      </c>
      <c r="B50" t="s">
        <v>2475</v>
      </c>
      <c r="C50" t="s">
        <v>2476</v>
      </c>
      <c r="D50" t="s">
        <v>2714</v>
      </c>
      <c r="E50" t="s">
        <v>2715</v>
      </c>
      <c r="F50" t="s">
        <v>35</v>
      </c>
      <c r="G50" t="s">
        <v>2719</v>
      </c>
      <c r="H50" s="8" t="s">
        <v>113</v>
      </c>
      <c r="J50" s="16" t="s">
        <v>2978</v>
      </c>
      <c r="K50" t="s">
        <v>14</v>
      </c>
      <c r="L50" t="s">
        <v>2661</v>
      </c>
      <c r="M50">
        <v>-2147483648</v>
      </c>
      <c r="N50">
        <v>2147483647</v>
      </c>
      <c r="O50">
        <v>1</v>
      </c>
      <c r="P50">
        <v>4294967296</v>
      </c>
      <c r="Q50">
        <v>1E-3</v>
      </c>
      <c r="R50" t="s">
        <v>2662</v>
      </c>
    </row>
    <row r="51" spans="1:18" x14ac:dyDescent="0.25">
      <c r="A51" t="s">
        <v>3039</v>
      </c>
      <c r="B51" t="s">
        <v>2980</v>
      </c>
      <c r="C51" t="s">
        <v>2981</v>
      </c>
      <c r="D51" t="s">
        <v>2714</v>
      </c>
      <c r="E51" t="s">
        <v>2715</v>
      </c>
      <c r="F51" t="s">
        <v>35</v>
      </c>
      <c r="G51" t="s">
        <v>2716</v>
      </c>
      <c r="H51" s="8" t="s">
        <v>113</v>
      </c>
      <c r="J51" s="16" t="s">
        <v>2982</v>
      </c>
      <c r="K51" t="s">
        <v>14</v>
      </c>
      <c r="L51" t="s">
        <v>2661</v>
      </c>
      <c r="M51">
        <v>-2147483648</v>
      </c>
      <c r="N51">
        <v>2147483647</v>
      </c>
      <c r="O51">
        <v>1</v>
      </c>
      <c r="P51">
        <v>4294967296</v>
      </c>
      <c r="Q51">
        <v>1E-3</v>
      </c>
      <c r="R51" t="s">
        <v>2662</v>
      </c>
    </row>
    <row r="52" spans="1:18" x14ac:dyDescent="0.25">
      <c r="A52" t="s">
        <v>3040</v>
      </c>
      <c r="B52" t="s">
        <v>2983</v>
      </c>
      <c r="C52" t="s">
        <v>2984</v>
      </c>
      <c r="D52" t="s">
        <v>2714</v>
      </c>
      <c r="E52" t="s">
        <v>2715</v>
      </c>
      <c r="F52" t="s">
        <v>35</v>
      </c>
      <c r="G52" t="s">
        <v>2716</v>
      </c>
      <c r="H52" s="8" t="s">
        <v>113</v>
      </c>
      <c r="J52" s="16" t="s">
        <v>2985</v>
      </c>
      <c r="K52" t="s">
        <v>14</v>
      </c>
      <c r="L52" t="s">
        <v>2661</v>
      </c>
      <c r="M52">
        <v>-2147483648</v>
      </c>
      <c r="N52">
        <v>2147483647</v>
      </c>
      <c r="O52">
        <v>1</v>
      </c>
      <c r="P52">
        <v>4294967296</v>
      </c>
      <c r="Q52">
        <v>1E-3</v>
      </c>
      <c r="R52" t="s">
        <v>2662</v>
      </c>
    </row>
    <row r="53" spans="1:18" x14ac:dyDescent="0.25">
      <c r="A53" t="s">
        <v>3041</v>
      </c>
      <c r="B53" t="s">
        <v>1070</v>
      </c>
      <c r="C53" t="s">
        <v>1070</v>
      </c>
      <c r="D53" t="s">
        <v>2714</v>
      </c>
      <c r="E53" t="s">
        <v>2715</v>
      </c>
      <c r="F53" t="s">
        <v>35</v>
      </c>
      <c r="G53" t="s">
        <v>2716</v>
      </c>
      <c r="H53" s="8" t="s">
        <v>113</v>
      </c>
      <c r="J53" s="16" t="s">
        <v>2986</v>
      </c>
      <c r="K53" t="s">
        <v>14</v>
      </c>
      <c r="L53" t="s">
        <v>2661</v>
      </c>
      <c r="M53">
        <v>-2147483648</v>
      </c>
      <c r="N53">
        <v>2147483647</v>
      </c>
      <c r="O53">
        <v>1</v>
      </c>
      <c r="P53">
        <v>4294967296</v>
      </c>
      <c r="Q53">
        <v>1E-3</v>
      </c>
      <c r="R53" t="s">
        <v>2662</v>
      </c>
    </row>
    <row r="54" spans="1:18" x14ac:dyDescent="0.25">
      <c r="A54" t="s">
        <v>3042</v>
      </c>
      <c r="B54" t="s">
        <v>2987</v>
      </c>
      <c r="C54" t="s">
        <v>2988</v>
      </c>
      <c r="D54" t="s">
        <v>2714</v>
      </c>
      <c r="E54" t="s">
        <v>2715</v>
      </c>
      <c r="F54" t="s">
        <v>36</v>
      </c>
      <c r="G54" t="s">
        <v>2718</v>
      </c>
      <c r="H54" s="8" t="s">
        <v>79</v>
      </c>
      <c r="J54" s="16" t="s">
        <v>2989</v>
      </c>
      <c r="K54" t="s">
        <v>14</v>
      </c>
      <c r="L54" t="s">
        <v>2661</v>
      </c>
      <c r="M54">
        <v>-2147483648</v>
      </c>
      <c r="N54">
        <v>2147483647</v>
      </c>
      <c r="O54">
        <v>1</v>
      </c>
      <c r="P54">
        <v>4294967296</v>
      </c>
      <c r="Q54">
        <v>1E-3</v>
      </c>
      <c r="R54" t="s">
        <v>2662</v>
      </c>
    </row>
    <row r="55" spans="1:18" x14ac:dyDescent="0.25">
      <c r="A55" t="s">
        <v>3043</v>
      </c>
      <c r="B55" t="s">
        <v>2990</v>
      </c>
      <c r="C55" t="s">
        <v>2991</v>
      </c>
      <c r="D55" t="s">
        <v>2714</v>
      </c>
      <c r="E55" t="s">
        <v>2715</v>
      </c>
      <c r="F55" t="s">
        <v>36</v>
      </c>
      <c r="G55" t="s">
        <v>2720</v>
      </c>
      <c r="H55" s="8" t="s">
        <v>71</v>
      </c>
      <c r="J55" s="16" t="s">
        <v>2992</v>
      </c>
      <c r="K55" t="s">
        <v>14</v>
      </c>
      <c r="L55" t="s">
        <v>2661</v>
      </c>
      <c r="M55">
        <v>-2147483648</v>
      </c>
      <c r="N55">
        <v>2147483647</v>
      </c>
      <c r="O55">
        <v>1</v>
      </c>
      <c r="P55">
        <v>4294967296</v>
      </c>
      <c r="Q55">
        <v>1E-3</v>
      </c>
      <c r="R55" t="s">
        <v>2662</v>
      </c>
    </row>
    <row r="56" spans="1:18" x14ac:dyDescent="0.25">
      <c r="A56" t="s">
        <v>3044</v>
      </c>
      <c r="B56" t="s">
        <v>2993</v>
      </c>
      <c r="C56" t="s">
        <v>2994</v>
      </c>
      <c r="D56" t="s">
        <v>2714</v>
      </c>
      <c r="E56" t="s">
        <v>2715</v>
      </c>
      <c r="F56" t="s">
        <v>36</v>
      </c>
      <c r="G56" t="s">
        <v>2716</v>
      </c>
      <c r="H56" s="8" t="s">
        <v>113</v>
      </c>
      <c r="J56" s="16" t="s">
        <v>2995</v>
      </c>
      <c r="K56" t="s">
        <v>14</v>
      </c>
      <c r="L56" t="s">
        <v>2661</v>
      </c>
      <c r="M56">
        <v>-2147483648</v>
      </c>
      <c r="N56">
        <v>2147483647</v>
      </c>
      <c r="O56">
        <v>1</v>
      </c>
      <c r="P56">
        <v>4294967296</v>
      </c>
      <c r="Q56">
        <v>1E-3</v>
      </c>
      <c r="R56" t="s">
        <v>2662</v>
      </c>
    </row>
    <row r="57" spans="1:18" x14ac:dyDescent="0.25">
      <c r="A57" t="s">
        <v>3045</v>
      </c>
      <c r="B57" t="s">
        <v>2996</v>
      </c>
      <c r="C57" t="s">
        <v>2997</v>
      </c>
      <c r="D57" t="s">
        <v>2714</v>
      </c>
      <c r="E57" t="s">
        <v>2715</v>
      </c>
      <c r="F57" t="s">
        <v>35</v>
      </c>
      <c r="G57" t="s">
        <v>2718</v>
      </c>
      <c r="H57" s="8" t="s">
        <v>79</v>
      </c>
      <c r="J57" s="16" t="s">
        <v>2998</v>
      </c>
      <c r="K57" t="s">
        <v>14</v>
      </c>
      <c r="L57" t="s">
        <v>2661</v>
      </c>
      <c r="M57">
        <v>-2147483648</v>
      </c>
      <c r="N57">
        <v>2147483647</v>
      </c>
      <c r="O57">
        <v>1</v>
      </c>
      <c r="P57">
        <v>4294967296</v>
      </c>
      <c r="Q57">
        <v>1E-3</v>
      </c>
      <c r="R57" t="s">
        <v>2662</v>
      </c>
    </row>
    <row r="58" spans="1:18" x14ac:dyDescent="0.25">
      <c r="A58" t="s">
        <v>3046</v>
      </c>
      <c r="B58" t="s">
        <v>2999</v>
      </c>
      <c r="C58" t="s">
        <v>3000</v>
      </c>
      <c r="D58" t="s">
        <v>2714</v>
      </c>
      <c r="E58" t="s">
        <v>2715</v>
      </c>
      <c r="F58" t="s">
        <v>35</v>
      </c>
      <c r="G58" t="s">
        <v>2719</v>
      </c>
      <c r="H58" s="8" t="s">
        <v>113</v>
      </c>
      <c r="J58" s="16" t="s">
        <v>3001</v>
      </c>
      <c r="K58" t="s">
        <v>14</v>
      </c>
      <c r="L58" t="s">
        <v>2661</v>
      </c>
      <c r="M58">
        <v>-2147483648</v>
      </c>
      <c r="N58">
        <v>2147483647</v>
      </c>
      <c r="O58">
        <v>1</v>
      </c>
      <c r="P58">
        <v>4294967296</v>
      </c>
      <c r="Q58">
        <v>1E-3</v>
      </c>
      <c r="R58" t="s">
        <v>2662</v>
      </c>
    </row>
    <row r="59" spans="1:18" x14ac:dyDescent="0.25">
      <c r="A59" t="s">
        <v>3047</v>
      </c>
      <c r="B59" t="s">
        <v>500</v>
      </c>
      <c r="C59" t="s">
        <v>501</v>
      </c>
      <c r="D59" t="s">
        <v>2714</v>
      </c>
      <c r="E59" t="s">
        <v>2715</v>
      </c>
      <c r="F59" t="s">
        <v>35</v>
      </c>
      <c r="G59" t="s">
        <v>2719</v>
      </c>
      <c r="H59" s="8" t="s">
        <v>113</v>
      </c>
      <c r="J59" s="16" t="s">
        <v>2721</v>
      </c>
      <c r="K59" t="s">
        <v>14</v>
      </c>
      <c r="L59" t="s">
        <v>2661</v>
      </c>
      <c r="M59">
        <v>-2147483648</v>
      </c>
      <c r="N59">
        <v>2147483647</v>
      </c>
      <c r="O59">
        <v>1</v>
      </c>
      <c r="P59">
        <v>4294967296</v>
      </c>
      <c r="Q59">
        <v>1E-3</v>
      </c>
      <c r="R59" t="s">
        <v>2662</v>
      </c>
    </row>
    <row r="60" spans="1:18" x14ac:dyDescent="0.25">
      <c r="A60" t="s">
        <v>3048</v>
      </c>
      <c r="B60" t="s">
        <v>3002</v>
      </c>
      <c r="C60" t="s">
        <v>3003</v>
      </c>
      <c r="D60" t="s">
        <v>2714</v>
      </c>
      <c r="E60" t="s">
        <v>2715</v>
      </c>
      <c r="F60" t="s">
        <v>35</v>
      </c>
      <c r="G60" t="s">
        <v>2719</v>
      </c>
      <c r="H60" s="8" t="s">
        <v>113</v>
      </c>
      <c r="J60" s="16" t="s">
        <v>3004</v>
      </c>
      <c r="K60" t="s">
        <v>14</v>
      </c>
      <c r="L60" t="s">
        <v>2661</v>
      </c>
      <c r="M60">
        <v>-2147483648</v>
      </c>
      <c r="N60">
        <v>2147483647</v>
      </c>
      <c r="O60">
        <v>1</v>
      </c>
      <c r="P60">
        <v>4294967296</v>
      </c>
      <c r="Q60">
        <v>1E-3</v>
      </c>
      <c r="R60" t="s">
        <v>2662</v>
      </c>
    </row>
    <row r="61" spans="1:18" x14ac:dyDescent="0.25">
      <c r="A61" t="s">
        <v>3049</v>
      </c>
      <c r="B61" t="s">
        <v>3005</v>
      </c>
      <c r="C61" t="s">
        <v>3006</v>
      </c>
      <c r="D61" t="s">
        <v>2714</v>
      </c>
      <c r="E61" t="s">
        <v>2715</v>
      </c>
      <c r="F61" t="s">
        <v>35</v>
      </c>
      <c r="G61" t="s">
        <v>2703</v>
      </c>
      <c r="H61" s="8" t="s">
        <v>100</v>
      </c>
      <c r="J61" s="16" t="s">
        <v>3007</v>
      </c>
      <c r="K61" t="s">
        <v>14</v>
      </c>
      <c r="L61" t="s">
        <v>2661</v>
      </c>
      <c r="M61">
        <v>-2147483648</v>
      </c>
      <c r="N61">
        <v>2147483647</v>
      </c>
      <c r="O61">
        <v>1</v>
      </c>
      <c r="P61">
        <v>4294967296</v>
      </c>
      <c r="Q61">
        <v>1E-3</v>
      </c>
      <c r="R61" t="s">
        <v>2662</v>
      </c>
    </row>
    <row r="62" spans="1:18" x14ac:dyDescent="0.25">
      <c r="A62" t="s">
        <v>3050</v>
      </c>
      <c r="B62" t="s">
        <v>500</v>
      </c>
      <c r="C62" t="s">
        <v>501</v>
      </c>
      <c r="D62" t="s">
        <v>2724</v>
      </c>
      <c r="E62" t="s">
        <v>2724</v>
      </c>
      <c r="F62" t="s">
        <v>35</v>
      </c>
      <c r="G62" t="s">
        <v>2703</v>
      </c>
      <c r="H62" s="8" t="s">
        <v>100</v>
      </c>
      <c r="J62" s="16" t="s">
        <v>3008</v>
      </c>
      <c r="K62" t="s">
        <v>14</v>
      </c>
      <c r="L62" t="s">
        <v>2661</v>
      </c>
      <c r="M62">
        <v>-2147483648</v>
      </c>
      <c r="N62">
        <v>2147483647</v>
      </c>
      <c r="O62">
        <v>1</v>
      </c>
      <c r="P62">
        <v>4294967296</v>
      </c>
      <c r="Q62">
        <v>1E-3</v>
      </c>
      <c r="R62" t="s">
        <v>2662</v>
      </c>
    </row>
    <row r="63" spans="1:18" x14ac:dyDescent="0.25">
      <c r="A63" t="s">
        <v>3051</v>
      </c>
      <c r="B63" t="s">
        <v>640</v>
      </c>
      <c r="C63" t="s">
        <v>641</v>
      </c>
      <c r="D63" t="s">
        <v>2724</v>
      </c>
      <c r="E63" t="s">
        <v>2724</v>
      </c>
      <c r="F63" t="s">
        <v>35</v>
      </c>
      <c r="G63" t="s">
        <v>2720</v>
      </c>
      <c r="H63" s="8" t="s">
        <v>71</v>
      </c>
      <c r="J63" s="16" t="s">
        <v>2728</v>
      </c>
      <c r="K63" t="s">
        <v>14</v>
      </c>
      <c r="L63" t="s">
        <v>2661</v>
      </c>
      <c r="M63">
        <v>-2147483648</v>
      </c>
      <c r="N63">
        <v>2147483647</v>
      </c>
      <c r="O63">
        <v>1</v>
      </c>
      <c r="P63">
        <v>4294967296</v>
      </c>
      <c r="Q63">
        <v>1E-3</v>
      </c>
      <c r="R63" t="s">
        <v>2662</v>
      </c>
    </row>
    <row r="64" spans="1:18" x14ac:dyDescent="0.25">
      <c r="A64" t="s">
        <v>3052</v>
      </c>
      <c r="B64" t="s">
        <v>2725</v>
      </c>
      <c r="C64" t="s">
        <v>2726</v>
      </c>
      <c r="D64" t="s">
        <v>2724</v>
      </c>
      <c r="E64" t="s">
        <v>2724</v>
      </c>
      <c r="F64" t="s">
        <v>35</v>
      </c>
      <c r="G64" t="s">
        <v>2703</v>
      </c>
      <c r="H64" s="8" t="s">
        <v>100</v>
      </c>
      <c r="J64" s="16" t="s">
        <v>2727</v>
      </c>
      <c r="K64" t="s">
        <v>14</v>
      </c>
      <c r="L64" t="s">
        <v>2661</v>
      </c>
      <c r="M64">
        <v>-2147483648</v>
      </c>
      <c r="N64">
        <v>2147483647</v>
      </c>
      <c r="O64">
        <v>1</v>
      </c>
      <c r="P64">
        <v>4294967296</v>
      </c>
      <c r="Q64">
        <v>1E-3</v>
      </c>
      <c r="R64" t="s">
        <v>2662</v>
      </c>
    </row>
    <row r="65" spans="1:18" x14ac:dyDescent="0.25">
      <c r="A65" t="s">
        <v>3053</v>
      </c>
      <c r="B65" t="s">
        <v>2730</v>
      </c>
      <c r="C65" t="s">
        <v>2731</v>
      </c>
      <c r="D65" t="s">
        <v>2724</v>
      </c>
      <c r="E65" t="s">
        <v>2724</v>
      </c>
      <c r="F65" t="s">
        <v>35</v>
      </c>
      <c r="G65" t="s">
        <v>2703</v>
      </c>
      <c r="H65" s="8" t="s">
        <v>100</v>
      </c>
      <c r="J65" s="16" t="s">
        <v>3009</v>
      </c>
      <c r="K65" t="s">
        <v>14</v>
      </c>
      <c r="L65" t="s">
        <v>2661</v>
      </c>
      <c r="M65">
        <v>-2147483648</v>
      </c>
      <c r="N65">
        <v>2147483647</v>
      </c>
      <c r="O65">
        <v>1</v>
      </c>
      <c r="P65">
        <v>4294967296</v>
      </c>
      <c r="Q65">
        <v>1E-3</v>
      </c>
      <c r="R65" t="s">
        <v>2662</v>
      </c>
    </row>
    <row r="66" spans="1:18" x14ac:dyDescent="0.25">
      <c r="A66" t="s">
        <v>3054</v>
      </c>
      <c r="B66" t="s">
        <v>3010</v>
      </c>
      <c r="C66" t="s">
        <v>3011</v>
      </c>
      <c r="D66" t="s">
        <v>2724</v>
      </c>
      <c r="E66" t="s">
        <v>2724</v>
      </c>
      <c r="F66" t="s">
        <v>35</v>
      </c>
      <c r="G66" t="s">
        <v>2703</v>
      </c>
      <c r="H66" s="8" t="s">
        <v>100</v>
      </c>
      <c r="J66" s="16" t="s">
        <v>3012</v>
      </c>
      <c r="K66" t="s">
        <v>14</v>
      </c>
      <c r="L66" t="s">
        <v>2661</v>
      </c>
      <c r="M66">
        <v>-2147483648</v>
      </c>
      <c r="N66">
        <v>2147483647</v>
      </c>
      <c r="O66">
        <v>1</v>
      </c>
      <c r="P66">
        <v>4294967296</v>
      </c>
      <c r="Q66">
        <v>1E-3</v>
      </c>
      <c r="R66" t="s">
        <v>2662</v>
      </c>
    </row>
    <row r="67" spans="1:18" x14ac:dyDescent="0.25">
      <c r="A67" t="s">
        <v>3055</v>
      </c>
      <c r="B67" t="s">
        <v>2722</v>
      </c>
      <c r="C67" t="s">
        <v>2723</v>
      </c>
      <c r="D67" t="s">
        <v>2724</v>
      </c>
      <c r="E67" t="s">
        <v>2724</v>
      </c>
      <c r="F67" t="s">
        <v>35</v>
      </c>
      <c r="G67" t="s">
        <v>2719</v>
      </c>
      <c r="H67" s="8" t="s">
        <v>113</v>
      </c>
      <c r="J67" s="16" t="s">
        <v>3013</v>
      </c>
      <c r="K67" t="s">
        <v>14</v>
      </c>
      <c r="L67" t="s">
        <v>2661</v>
      </c>
      <c r="M67">
        <v>-2147483648</v>
      </c>
      <c r="N67">
        <v>2147483647</v>
      </c>
      <c r="O67">
        <v>1</v>
      </c>
      <c r="P67">
        <v>4294967296</v>
      </c>
      <c r="Q67">
        <v>1E-3</v>
      </c>
      <c r="R67" t="s">
        <v>2662</v>
      </c>
    </row>
    <row r="68" spans="1:18" x14ac:dyDescent="0.25">
      <c r="A68" t="s">
        <v>3056</v>
      </c>
      <c r="B68" t="s">
        <v>3014</v>
      </c>
      <c r="C68" t="s">
        <v>3015</v>
      </c>
      <c r="D68" t="s">
        <v>2724</v>
      </c>
      <c r="E68" t="s">
        <v>2724</v>
      </c>
      <c r="F68" t="s">
        <v>35</v>
      </c>
      <c r="G68" t="s">
        <v>2720</v>
      </c>
      <c r="H68" s="8" t="s">
        <v>71</v>
      </c>
      <c r="J68" s="16" t="s">
        <v>3016</v>
      </c>
      <c r="K68" t="s">
        <v>14</v>
      </c>
      <c r="L68" t="s">
        <v>2661</v>
      </c>
      <c r="M68">
        <v>-2147483648</v>
      </c>
      <c r="N68">
        <v>2147483647</v>
      </c>
      <c r="O68">
        <v>1</v>
      </c>
      <c r="P68">
        <v>4294967296</v>
      </c>
      <c r="Q68">
        <v>1E-3</v>
      </c>
      <c r="R68" t="s">
        <v>2662</v>
      </c>
    </row>
    <row r="69" spans="1:18" x14ac:dyDescent="0.25">
      <c r="A69" t="s">
        <v>3057</v>
      </c>
      <c r="B69" t="s">
        <v>3014</v>
      </c>
      <c r="C69" t="s">
        <v>3015</v>
      </c>
      <c r="D69" t="s">
        <v>2724</v>
      </c>
      <c r="E69" t="s">
        <v>2724</v>
      </c>
      <c r="F69" t="s">
        <v>35</v>
      </c>
      <c r="G69" t="s">
        <v>2703</v>
      </c>
      <c r="H69" s="8" t="s">
        <v>100</v>
      </c>
      <c r="J69" s="16" t="s">
        <v>3017</v>
      </c>
      <c r="K69" t="s">
        <v>14</v>
      </c>
      <c r="L69" t="s">
        <v>2661</v>
      </c>
      <c r="M69">
        <v>-2147483648</v>
      </c>
      <c r="N69">
        <v>2147483647</v>
      </c>
      <c r="O69">
        <v>1</v>
      </c>
      <c r="P69">
        <v>4294967296</v>
      </c>
      <c r="Q69">
        <v>1E-3</v>
      </c>
      <c r="R69" t="s">
        <v>2662</v>
      </c>
    </row>
    <row r="70" spans="1:18" x14ac:dyDescent="0.25">
      <c r="A70" t="s">
        <v>3058</v>
      </c>
      <c r="B70" t="s">
        <v>3019</v>
      </c>
      <c r="C70" t="s">
        <v>3020</v>
      </c>
      <c r="D70" t="s">
        <v>2724</v>
      </c>
      <c r="E70" t="s">
        <v>2724</v>
      </c>
      <c r="F70" t="s">
        <v>35</v>
      </c>
      <c r="G70" t="s">
        <v>2931</v>
      </c>
      <c r="H70" s="8" t="s">
        <v>2932</v>
      </c>
      <c r="J70" s="16" t="s">
        <v>3021</v>
      </c>
      <c r="K70" t="s">
        <v>14</v>
      </c>
      <c r="L70" t="s">
        <v>2661</v>
      </c>
      <c r="M70">
        <v>-2147483648</v>
      </c>
      <c r="N70">
        <v>2147483647</v>
      </c>
      <c r="O70">
        <v>1</v>
      </c>
      <c r="P70">
        <v>4294967296</v>
      </c>
      <c r="Q70">
        <v>1E-3</v>
      </c>
      <c r="R70" t="s">
        <v>2662</v>
      </c>
    </row>
    <row r="71" spans="1:18" x14ac:dyDescent="0.25">
      <c r="A71" t="s">
        <v>3059</v>
      </c>
      <c r="B71" t="s">
        <v>3019</v>
      </c>
      <c r="C71" t="s">
        <v>3020</v>
      </c>
      <c r="D71" t="s">
        <v>2724</v>
      </c>
      <c r="E71" t="s">
        <v>2724</v>
      </c>
      <c r="F71" t="s">
        <v>35</v>
      </c>
      <c r="G71" t="s">
        <v>2729</v>
      </c>
      <c r="H71" s="8" t="s">
        <v>2607</v>
      </c>
      <c r="J71" s="16" t="s">
        <v>3022</v>
      </c>
      <c r="K71" t="s">
        <v>14</v>
      </c>
      <c r="L71" t="s">
        <v>2661</v>
      </c>
      <c r="M71">
        <v>-2147483648</v>
      </c>
      <c r="N71">
        <v>2147483647</v>
      </c>
      <c r="O71">
        <v>1</v>
      </c>
      <c r="P71">
        <v>4294967296</v>
      </c>
      <c r="Q71">
        <v>1E-3</v>
      </c>
      <c r="R71" t="s">
        <v>2662</v>
      </c>
    </row>
    <row r="72" spans="1:18" x14ac:dyDescent="0.25">
      <c r="A72" t="s">
        <v>3060</v>
      </c>
      <c r="B72" t="s">
        <v>3023</v>
      </c>
      <c r="C72" t="s">
        <v>3024</v>
      </c>
      <c r="D72" t="s">
        <v>2724</v>
      </c>
      <c r="E72" t="s">
        <v>2724</v>
      </c>
      <c r="F72" t="s">
        <v>35</v>
      </c>
      <c r="G72" t="s">
        <v>2703</v>
      </c>
      <c r="H72" s="8" t="s">
        <v>100</v>
      </c>
      <c r="J72" s="16" t="s">
        <v>3025</v>
      </c>
      <c r="K72" t="s">
        <v>14</v>
      </c>
      <c r="L72" t="s">
        <v>2661</v>
      </c>
      <c r="M72">
        <v>-2147483648</v>
      </c>
      <c r="N72">
        <v>2147483647</v>
      </c>
      <c r="O72">
        <v>1</v>
      </c>
      <c r="P72">
        <v>4294967296</v>
      </c>
      <c r="Q72">
        <v>1E-3</v>
      </c>
      <c r="R72" t="s">
        <v>2662</v>
      </c>
    </row>
    <row r="73" spans="1:18" x14ac:dyDescent="0.25">
      <c r="A73" t="s">
        <v>3061</v>
      </c>
      <c r="B73" t="s">
        <v>3026</v>
      </c>
      <c r="C73" t="s">
        <v>3027</v>
      </c>
      <c r="D73" t="s">
        <v>2724</v>
      </c>
      <c r="E73" t="s">
        <v>2724</v>
      </c>
      <c r="F73" t="s">
        <v>35</v>
      </c>
      <c r="G73" t="s">
        <v>2703</v>
      </c>
      <c r="H73" s="8" t="s">
        <v>100</v>
      </c>
      <c r="J73" s="16" t="s">
        <v>3028</v>
      </c>
      <c r="K73" t="s">
        <v>14</v>
      </c>
      <c r="L73" t="s">
        <v>2661</v>
      </c>
      <c r="M73">
        <v>-2147483648</v>
      </c>
      <c r="N73">
        <v>2147483647</v>
      </c>
      <c r="O73">
        <v>1</v>
      </c>
      <c r="P73">
        <v>4294967296</v>
      </c>
      <c r="Q73">
        <v>1E-3</v>
      </c>
      <c r="R73" t="s">
        <v>2662</v>
      </c>
    </row>
    <row r="74" spans="1:18" x14ac:dyDescent="0.25">
      <c r="A74" t="s">
        <v>3062</v>
      </c>
      <c r="B74" t="s">
        <v>763</v>
      </c>
      <c r="C74" t="s">
        <v>764</v>
      </c>
      <c r="D74" t="s">
        <v>2724</v>
      </c>
      <c r="E74" t="s">
        <v>2724</v>
      </c>
      <c r="F74" t="s">
        <v>35</v>
      </c>
      <c r="G74" t="s">
        <v>2931</v>
      </c>
      <c r="H74" s="8" t="s">
        <v>2932</v>
      </c>
      <c r="J74" s="16" t="s">
        <v>3029</v>
      </c>
      <c r="K74" t="s">
        <v>14</v>
      </c>
      <c r="L74" t="s">
        <v>2661</v>
      </c>
      <c r="M74">
        <v>-2147483648</v>
      </c>
      <c r="N74">
        <v>2147483647</v>
      </c>
      <c r="O74">
        <v>1</v>
      </c>
      <c r="P74">
        <v>4294967296</v>
      </c>
      <c r="Q74">
        <v>1E-3</v>
      </c>
      <c r="R74" t="s">
        <v>2662</v>
      </c>
    </row>
    <row r="75" spans="1:18" x14ac:dyDescent="0.25">
      <c r="A75" t="s">
        <v>3063</v>
      </c>
      <c r="B75" t="s">
        <v>763</v>
      </c>
      <c r="C75" t="s">
        <v>764</v>
      </c>
      <c r="D75" t="s">
        <v>2724</v>
      </c>
      <c r="E75" t="s">
        <v>2724</v>
      </c>
      <c r="F75" t="s">
        <v>35</v>
      </c>
      <c r="G75" t="s">
        <v>2729</v>
      </c>
      <c r="H75" s="8" t="s">
        <v>2607</v>
      </c>
      <c r="J75" s="16" t="s">
        <v>3030</v>
      </c>
      <c r="K75" t="s">
        <v>14</v>
      </c>
      <c r="L75" t="s">
        <v>2661</v>
      </c>
      <c r="M75">
        <v>-2147483648</v>
      </c>
      <c r="N75">
        <v>2147483647</v>
      </c>
      <c r="O75">
        <v>1</v>
      </c>
      <c r="P75">
        <v>4294967296</v>
      </c>
      <c r="Q75">
        <v>1E-3</v>
      </c>
      <c r="R75" t="s">
        <v>2662</v>
      </c>
    </row>
    <row r="76" spans="1:18" x14ac:dyDescent="0.25">
      <c r="A76" t="s">
        <v>3064</v>
      </c>
      <c r="B76" t="s">
        <v>3033</v>
      </c>
      <c r="C76" t="s">
        <v>3034</v>
      </c>
      <c r="D76" t="s">
        <v>2724</v>
      </c>
      <c r="E76" t="s">
        <v>2724</v>
      </c>
      <c r="F76" t="s">
        <v>35</v>
      </c>
      <c r="G76" t="s">
        <v>2703</v>
      </c>
      <c r="H76" s="8" t="s">
        <v>100</v>
      </c>
      <c r="J76" s="16" t="s">
        <v>3035</v>
      </c>
      <c r="K76" t="s">
        <v>14</v>
      </c>
      <c r="L76" t="s">
        <v>2661</v>
      </c>
      <c r="M76">
        <v>-2147483648</v>
      </c>
      <c r="N76">
        <v>2147483647</v>
      </c>
      <c r="O76">
        <v>0.99999999979999998</v>
      </c>
      <c r="P76">
        <v>4294967296</v>
      </c>
      <c r="Q76">
        <v>1E-3</v>
      </c>
      <c r="R76" t="s">
        <v>2662</v>
      </c>
    </row>
    <row r="77" spans="1:18" x14ac:dyDescent="0.25">
      <c r="A77" t="s">
        <v>3065</v>
      </c>
      <c r="B77" t="s">
        <v>3036</v>
      </c>
      <c r="C77" t="s">
        <v>3037</v>
      </c>
      <c r="D77" t="s">
        <v>2724</v>
      </c>
      <c r="E77" t="s">
        <v>2724</v>
      </c>
      <c r="F77" t="s">
        <v>35</v>
      </c>
      <c r="G77" t="s">
        <v>2703</v>
      </c>
      <c r="H77" s="8" t="s">
        <v>100</v>
      </c>
      <c r="J77" s="16" t="s">
        <v>3038</v>
      </c>
      <c r="K77" t="s">
        <v>14</v>
      </c>
      <c r="L77" t="s">
        <v>2661</v>
      </c>
      <c r="M77">
        <v>-2147483648</v>
      </c>
      <c r="N77">
        <v>2147483647</v>
      </c>
      <c r="O77">
        <v>0.99999999979999998</v>
      </c>
      <c r="P77">
        <v>4294967296</v>
      </c>
      <c r="Q77">
        <v>1E-3</v>
      </c>
      <c r="R77" t="s">
        <v>2662</v>
      </c>
    </row>
    <row r="78" spans="1:18" x14ac:dyDescent="0.25">
      <c r="A78" t="s">
        <v>3066</v>
      </c>
      <c r="B78" t="s">
        <v>2730</v>
      </c>
      <c r="C78" t="s">
        <v>2731</v>
      </c>
      <c r="D78" t="s">
        <v>2724</v>
      </c>
      <c r="E78" t="s">
        <v>2724</v>
      </c>
      <c r="F78" t="s">
        <v>35</v>
      </c>
      <c r="G78" t="s">
        <v>2720</v>
      </c>
      <c r="H78" s="8" t="s">
        <v>71</v>
      </c>
      <c r="J78" s="16" t="s">
        <v>2732</v>
      </c>
      <c r="K78" t="s">
        <v>14</v>
      </c>
      <c r="L78" t="s">
        <v>2661</v>
      </c>
      <c r="M78">
        <v>-2147483648</v>
      </c>
      <c r="N78">
        <v>2147483647</v>
      </c>
      <c r="O78">
        <v>1</v>
      </c>
      <c r="P78">
        <v>4294967296</v>
      </c>
      <c r="Q78">
        <v>1E-3</v>
      </c>
      <c r="R78" t="s">
        <v>2662</v>
      </c>
    </row>
    <row r="79" spans="1:18" x14ac:dyDescent="0.25">
      <c r="A79" t="s">
        <v>3067</v>
      </c>
      <c r="B79" t="s">
        <v>3068</v>
      </c>
      <c r="C79" t="s">
        <v>3069</v>
      </c>
      <c r="D79" t="s">
        <v>2734</v>
      </c>
      <c r="E79" t="s">
        <v>2735</v>
      </c>
      <c r="F79" t="s">
        <v>36</v>
      </c>
      <c r="G79" t="s">
        <v>2720</v>
      </c>
      <c r="H79" s="8" t="s">
        <v>71</v>
      </c>
      <c r="J79" s="16" t="s">
        <v>3070</v>
      </c>
      <c r="K79" t="s">
        <v>14</v>
      </c>
      <c r="L79" t="s">
        <v>2661</v>
      </c>
      <c r="M79">
        <v>-2147483648</v>
      </c>
      <c r="N79">
        <v>2147483647</v>
      </c>
      <c r="O79">
        <v>1</v>
      </c>
      <c r="P79">
        <v>4294967296</v>
      </c>
      <c r="Q79">
        <v>0.02</v>
      </c>
      <c r="R79" t="s">
        <v>2662</v>
      </c>
    </row>
    <row r="80" spans="1:18" x14ac:dyDescent="0.25">
      <c r="A80" t="s">
        <v>3071</v>
      </c>
      <c r="B80" t="s">
        <v>3072</v>
      </c>
      <c r="C80" t="s">
        <v>3073</v>
      </c>
      <c r="D80" t="s">
        <v>2734</v>
      </c>
      <c r="E80" t="s">
        <v>2735</v>
      </c>
      <c r="F80" t="s">
        <v>36</v>
      </c>
      <c r="G80" t="s">
        <v>2703</v>
      </c>
      <c r="H80" s="8" t="s">
        <v>100</v>
      </c>
      <c r="J80" s="16" t="s">
        <v>3074</v>
      </c>
      <c r="K80" t="s">
        <v>14</v>
      </c>
      <c r="L80" t="s">
        <v>2661</v>
      </c>
      <c r="M80">
        <v>-2147483648</v>
      </c>
      <c r="N80">
        <v>2147483647</v>
      </c>
      <c r="O80">
        <v>1</v>
      </c>
      <c r="P80">
        <v>4294967296</v>
      </c>
      <c r="Q80">
        <v>0.02</v>
      </c>
      <c r="R80" t="s">
        <v>2662</v>
      </c>
    </row>
    <row r="81" spans="1:18" x14ac:dyDescent="0.25">
      <c r="A81" t="s">
        <v>3075</v>
      </c>
      <c r="B81" t="s">
        <v>3076</v>
      </c>
      <c r="C81" t="s">
        <v>3077</v>
      </c>
      <c r="D81" t="s">
        <v>2734</v>
      </c>
      <c r="E81" t="s">
        <v>2735</v>
      </c>
      <c r="F81" t="s">
        <v>36</v>
      </c>
      <c r="G81" t="s">
        <v>2718</v>
      </c>
      <c r="H81" s="8" t="s">
        <v>79</v>
      </c>
      <c r="J81" s="16" t="s">
        <v>3078</v>
      </c>
      <c r="K81" t="s">
        <v>14</v>
      </c>
      <c r="L81" t="s">
        <v>2661</v>
      </c>
      <c r="M81">
        <v>-2147483648</v>
      </c>
      <c r="N81">
        <v>2147483647</v>
      </c>
      <c r="O81">
        <v>1</v>
      </c>
      <c r="P81">
        <v>4294967296</v>
      </c>
      <c r="Q81">
        <v>0.02</v>
      </c>
      <c r="R81" t="s">
        <v>2662</v>
      </c>
    </row>
    <row r="82" spans="1:18" x14ac:dyDescent="0.25">
      <c r="A82" t="s">
        <v>3081</v>
      </c>
      <c r="B82" t="s">
        <v>3082</v>
      </c>
      <c r="C82" t="s">
        <v>3083</v>
      </c>
      <c r="D82" t="s">
        <v>2734</v>
      </c>
      <c r="E82" t="s">
        <v>2735</v>
      </c>
      <c r="F82" t="s">
        <v>36</v>
      </c>
      <c r="G82" t="s">
        <v>2718</v>
      </c>
      <c r="H82" s="8" t="s">
        <v>79</v>
      </c>
      <c r="J82" s="16" t="s">
        <v>3084</v>
      </c>
      <c r="K82" t="s">
        <v>14</v>
      </c>
      <c r="L82" t="s">
        <v>2661</v>
      </c>
      <c r="M82">
        <v>-2147483648</v>
      </c>
      <c r="N82">
        <v>2147483647</v>
      </c>
      <c r="O82">
        <v>1</v>
      </c>
      <c r="P82">
        <v>4294967296</v>
      </c>
      <c r="Q82">
        <v>0.02</v>
      </c>
      <c r="R82" t="s">
        <v>2662</v>
      </c>
    </row>
    <row r="83" spans="1:18" x14ac:dyDescent="0.25">
      <c r="A83" t="s">
        <v>3085</v>
      </c>
      <c r="B83" t="s">
        <v>3086</v>
      </c>
      <c r="C83" t="s">
        <v>3087</v>
      </c>
      <c r="D83" t="s">
        <v>2734</v>
      </c>
      <c r="E83" t="s">
        <v>2735</v>
      </c>
      <c r="F83" t="s">
        <v>36</v>
      </c>
      <c r="G83" t="s">
        <v>2718</v>
      </c>
      <c r="H83" s="8" t="s">
        <v>79</v>
      </c>
      <c r="J83" s="16" t="s">
        <v>3088</v>
      </c>
      <c r="K83" t="s">
        <v>14</v>
      </c>
      <c r="L83" t="s">
        <v>2661</v>
      </c>
      <c r="M83">
        <v>-2147483648</v>
      </c>
      <c r="N83">
        <v>2147483647</v>
      </c>
      <c r="O83">
        <v>1</v>
      </c>
      <c r="P83">
        <v>4294967296</v>
      </c>
      <c r="Q83">
        <v>0.02</v>
      </c>
      <c r="R83" t="s">
        <v>2662</v>
      </c>
    </row>
    <row r="84" spans="1:18" x14ac:dyDescent="0.25">
      <c r="A84" t="s">
        <v>3091</v>
      </c>
      <c r="B84" t="s">
        <v>3092</v>
      </c>
      <c r="C84" t="s">
        <v>3093</v>
      </c>
      <c r="D84" t="s">
        <v>2734</v>
      </c>
      <c r="E84" t="s">
        <v>2735</v>
      </c>
      <c r="F84" t="s">
        <v>35</v>
      </c>
      <c r="G84" t="s">
        <v>2808</v>
      </c>
      <c r="H84" s="8" t="s">
        <v>2601</v>
      </c>
      <c r="J84" s="16" t="s">
        <v>3094</v>
      </c>
      <c r="K84" t="s">
        <v>14</v>
      </c>
      <c r="L84" t="s">
        <v>2661</v>
      </c>
      <c r="M84">
        <v>-2147483648</v>
      </c>
      <c r="N84">
        <v>2147483647</v>
      </c>
      <c r="O84">
        <v>1</v>
      </c>
      <c r="P84">
        <v>4294967296</v>
      </c>
      <c r="Q84">
        <v>0.02</v>
      </c>
      <c r="R84" t="s">
        <v>2662</v>
      </c>
    </row>
    <row r="85" spans="1:18" x14ac:dyDescent="0.25">
      <c r="A85" t="s">
        <v>3095</v>
      </c>
      <c r="B85" t="s">
        <v>3096</v>
      </c>
      <c r="C85" t="s">
        <v>3097</v>
      </c>
      <c r="D85" t="s">
        <v>2734</v>
      </c>
      <c r="E85" t="s">
        <v>2735</v>
      </c>
      <c r="F85" t="s">
        <v>35</v>
      </c>
      <c r="G85" t="s">
        <v>2720</v>
      </c>
      <c r="H85" s="8" t="s">
        <v>71</v>
      </c>
      <c r="J85" s="16" t="s">
        <v>3098</v>
      </c>
      <c r="K85" t="s">
        <v>14</v>
      </c>
      <c r="L85" t="s">
        <v>2661</v>
      </c>
      <c r="M85">
        <v>-2147483648</v>
      </c>
      <c r="N85">
        <v>2147483647</v>
      </c>
      <c r="O85">
        <v>1</v>
      </c>
      <c r="P85">
        <v>4294967296</v>
      </c>
      <c r="Q85">
        <v>0.02</v>
      </c>
      <c r="R85" t="s">
        <v>2662</v>
      </c>
    </row>
    <row r="86" spans="1:18" x14ac:dyDescent="0.25">
      <c r="A86" t="s">
        <v>3089</v>
      </c>
      <c r="B86" t="s">
        <v>3105</v>
      </c>
      <c r="C86" t="s">
        <v>3106</v>
      </c>
      <c r="D86" t="s">
        <v>2734</v>
      </c>
      <c r="E86" t="s">
        <v>2735</v>
      </c>
      <c r="F86" t="s">
        <v>36</v>
      </c>
      <c r="G86" t="s">
        <v>2718</v>
      </c>
      <c r="H86" s="8" t="s">
        <v>79</v>
      </c>
      <c r="J86" s="16" t="s">
        <v>3107</v>
      </c>
      <c r="K86" t="s">
        <v>14</v>
      </c>
      <c r="L86" t="s">
        <v>2661</v>
      </c>
      <c r="M86">
        <v>-2147483648</v>
      </c>
      <c r="N86">
        <v>2147483647</v>
      </c>
      <c r="O86">
        <v>1</v>
      </c>
      <c r="P86">
        <v>4294967296</v>
      </c>
      <c r="Q86">
        <v>0.02</v>
      </c>
      <c r="R86" t="s">
        <v>2662</v>
      </c>
    </row>
    <row r="87" spans="1:18" x14ac:dyDescent="0.25">
      <c r="A87" t="s">
        <v>2733</v>
      </c>
      <c r="B87" t="s">
        <v>3108</v>
      </c>
      <c r="C87" t="s">
        <v>3109</v>
      </c>
      <c r="D87" t="s">
        <v>2734</v>
      </c>
      <c r="E87" t="s">
        <v>2735</v>
      </c>
      <c r="F87" t="s">
        <v>36</v>
      </c>
      <c r="G87" t="s">
        <v>2703</v>
      </c>
      <c r="H87" s="8" t="s">
        <v>100</v>
      </c>
      <c r="J87" s="16" t="s">
        <v>3110</v>
      </c>
      <c r="K87" t="s">
        <v>14</v>
      </c>
      <c r="L87" t="s">
        <v>2661</v>
      </c>
      <c r="M87">
        <v>-2147483648</v>
      </c>
      <c r="N87">
        <v>2147483647</v>
      </c>
      <c r="O87">
        <v>1</v>
      </c>
      <c r="P87">
        <v>4294967296</v>
      </c>
      <c r="Q87">
        <v>0.02</v>
      </c>
      <c r="R87" t="s">
        <v>2662</v>
      </c>
    </row>
    <row r="88" spans="1:18" x14ac:dyDescent="0.25">
      <c r="A88" t="s">
        <v>3104</v>
      </c>
      <c r="B88" t="s">
        <v>640</v>
      </c>
      <c r="C88" t="s">
        <v>641</v>
      </c>
      <c r="D88" t="s">
        <v>2724</v>
      </c>
      <c r="E88" t="s">
        <v>2724</v>
      </c>
      <c r="F88" t="s">
        <v>35</v>
      </c>
      <c r="G88" t="s">
        <v>3113</v>
      </c>
      <c r="H88" s="8" t="s">
        <v>3111</v>
      </c>
      <c r="J88" s="16" t="s">
        <v>3114</v>
      </c>
      <c r="K88" t="s">
        <v>14</v>
      </c>
      <c r="L88" t="s">
        <v>2661</v>
      </c>
      <c r="M88">
        <v>-2147483648</v>
      </c>
      <c r="N88">
        <v>2147483647</v>
      </c>
      <c r="O88">
        <v>1</v>
      </c>
      <c r="P88">
        <v>4294967296</v>
      </c>
      <c r="Q88">
        <v>0.02</v>
      </c>
      <c r="R88" t="s">
        <v>2662</v>
      </c>
    </row>
    <row r="89" spans="1:18" x14ac:dyDescent="0.25">
      <c r="A89" t="s">
        <v>3120</v>
      </c>
      <c r="B89" t="s">
        <v>2777</v>
      </c>
      <c r="C89" t="s">
        <v>2778</v>
      </c>
      <c r="D89" t="s">
        <v>2734</v>
      </c>
      <c r="E89" t="s">
        <v>2735</v>
      </c>
      <c r="F89" t="s">
        <v>35</v>
      </c>
      <c r="G89" t="s">
        <v>2718</v>
      </c>
      <c r="H89" s="8" t="s">
        <v>79</v>
      </c>
      <c r="J89" s="16" t="s">
        <v>3115</v>
      </c>
      <c r="K89" t="s">
        <v>14</v>
      </c>
      <c r="L89" t="s">
        <v>2661</v>
      </c>
      <c r="M89">
        <v>-2147483648</v>
      </c>
      <c r="N89">
        <v>2147483647</v>
      </c>
      <c r="O89">
        <v>1</v>
      </c>
      <c r="P89">
        <v>4294967296</v>
      </c>
      <c r="Q89">
        <v>0.02</v>
      </c>
      <c r="R89" t="s">
        <v>2662</v>
      </c>
    </row>
    <row r="90" spans="1:18" x14ac:dyDescent="0.25">
      <c r="A90" t="s">
        <v>3116</v>
      </c>
      <c r="B90" t="s">
        <v>2779</v>
      </c>
      <c r="C90" t="s">
        <v>2780</v>
      </c>
      <c r="D90" t="s">
        <v>2734</v>
      </c>
      <c r="E90" t="s">
        <v>2735</v>
      </c>
      <c r="F90" t="s">
        <v>35</v>
      </c>
      <c r="G90" t="s">
        <v>2718</v>
      </c>
      <c r="H90" s="8" t="s">
        <v>79</v>
      </c>
      <c r="J90" s="16" t="s">
        <v>3117</v>
      </c>
      <c r="K90" t="s">
        <v>14</v>
      </c>
      <c r="L90" t="s">
        <v>2661</v>
      </c>
      <c r="M90">
        <v>-2147483648</v>
      </c>
      <c r="N90">
        <v>2147483647</v>
      </c>
      <c r="O90">
        <v>1</v>
      </c>
      <c r="P90">
        <v>4294967296</v>
      </c>
      <c r="Q90">
        <v>0.02</v>
      </c>
      <c r="R90" t="s">
        <v>2662</v>
      </c>
    </row>
    <row r="91" spans="1:18" x14ac:dyDescent="0.25">
      <c r="A91" t="s">
        <v>3118</v>
      </c>
      <c r="B91" t="s">
        <v>2781</v>
      </c>
      <c r="C91" t="s">
        <v>2782</v>
      </c>
      <c r="D91" t="s">
        <v>2734</v>
      </c>
      <c r="E91" t="s">
        <v>2735</v>
      </c>
      <c r="F91" t="s">
        <v>35</v>
      </c>
      <c r="G91" t="s">
        <v>2718</v>
      </c>
      <c r="H91" s="8" t="s">
        <v>79</v>
      </c>
      <c r="J91" s="16" t="s">
        <v>3119</v>
      </c>
      <c r="K91" t="s">
        <v>14</v>
      </c>
      <c r="L91" t="s">
        <v>2661</v>
      </c>
      <c r="M91">
        <v>-2147483648</v>
      </c>
      <c r="N91">
        <v>2147483647</v>
      </c>
      <c r="O91">
        <v>1</v>
      </c>
      <c r="P91">
        <v>4294967296</v>
      </c>
      <c r="Q91">
        <v>0.02</v>
      </c>
      <c r="R91" t="s">
        <v>2662</v>
      </c>
    </row>
    <row r="92" spans="1:18" x14ac:dyDescent="0.25">
      <c r="A92" t="s">
        <v>3131</v>
      </c>
      <c r="B92" t="s">
        <v>3127</v>
      </c>
      <c r="C92" t="s">
        <v>3128</v>
      </c>
      <c r="D92" t="s">
        <v>2812</v>
      </c>
      <c r="E92" t="s">
        <v>2812</v>
      </c>
      <c r="F92" t="s">
        <v>35</v>
      </c>
      <c r="G92" t="s">
        <v>3132</v>
      </c>
      <c r="H92" s="8" t="s">
        <v>82</v>
      </c>
      <c r="J92" s="16" t="s">
        <v>3133</v>
      </c>
      <c r="K92" t="s">
        <v>16</v>
      </c>
      <c r="L92" t="s">
        <v>2661</v>
      </c>
      <c r="M92">
        <v>-32768</v>
      </c>
      <c r="N92">
        <v>32767</v>
      </c>
      <c r="O92">
        <v>0.99998474120000003</v>
      </c>
      <c r="P92">
        <v>65536</v>
      </c>
      <c r="Q92">
        <v>0.1</v>
      </c>
      <c r="R92" t="s">
        <v>2673</v>
      </c>
    </row>
    <row r="93" spans="1:18" x14ac:dyDescent="0.25">
      <c r="A93" t="s">
        <v>3134</v>
      </c>
      <c r="B93" t="s">
        <v>3129</v>
      </c>
      <c r="C93" t="s">
        <v>3130</v>
      </c>
      <c r="D93" t="s">
        <v>2812</v>
      </c>
      <c r="E93" t="s">
        <v>2812</v>
      </c>
      <c r="F93" t="s">
        <v>35</v>
      </c>
      <c r="G93" t="s">
        <v>3132</v>
      </c>
      <c r="H93" s="8" t="s">
        <v>82</v>
      </c>
      <c r="J93" s="16" t="s">
        <v>3135</v>
      </c>
      <c r="K93" t="s">
        <v>16</v>
      </c>
      <c r="L93" t="s">
        <v>2661</v>
      </c>
      <c r="M93">
        <v>-32768</v>
      </c>
      <c r="N93">
        <v>32767</v>
      </c>
      <c r="O93">
        <v>0.99998474120000003</v>
      </c>
      <c r="P93">
        <v>65536</v>
      </c>
      <c r="Q93">
        <v>0.1</v>
      </c>
      <c r="R93" t="s">
        <v>2673</v>
      </c>
    </row>
    <row r="94" spans="1:18" x14ac:dyDescent="0.25">
      <c r="A94" t="s">
        <v>3136</v>
      </c>
      <c r="B94" t="s">
        <v>3137</v>
      </c>
      <c r="C94" t="s">
        <v>3138</v>
      </c>
      <c r="D94" t="s">
        <v>2812</v>
      </c>
      <c r="E94" t="s">
        <v>2812</v>
      </c>
      <c r="F94" t="s">
        <v>35</v>
      </c>
      <c r="G94" t="s">
        <v>3132</v>
      </c>
      <c r="H94" s="8" t="s">
        <v>82</v>
      </c>
      <c r="J94" s="16" t="s">
        <v>3139</v>
      </c>
      <c r="K94" t="s">
        <v>18</v>
      </c>
      <c r="L94" t="s">
        <v>2661</v>
      </c>
      <c r="M94">
        <v>-2147483648</v>
      </c>
      <c r="N94">
        <v>2147483647</v>
      </c>
      <c r="O94">
        <v>0.99999999979999998</v>
      </c>
      <c r="P94">
        <v>4294967296</v>
      </c>
      <c r="Q94">
        <v>0.01</v>
      </c>
      <c r="R94" t="s">
        <v>2673</v>
      </c>
    </row>
    <row r="95" spans="1:18" x14ac:dyDescent="0.25">
      <c r="A95" t="s">
        <v>3140</v>
      </c>
      <c r="B95" t="s">
        <v>3140</v>
      </c>
      <c r="C95" t="s">
        <v>3141</v>
      </c>
      <c r="D95" t="s">
        <v>2812</v>
      </c>
      <c r="E95" t="s">
        <v>2812</v>
      </c>
      <c r="F95" t="s">
        <v>36</v>
      </c>
      <c r="G95" t="s">
        <v>3142</v>
      </c>
      <c r="H95" s="8" t="s">
        <v>93</v>
      </c>
      <c r="J95" s="16" t="s">
        <v>3143</v>
      </c>
      <c r="K95" t="s">
        <v>14</v>
      </c>
      <c r="L95" t="s">
        <v>2661</v>
      </c>
      <c r="M95">
        <v>-214</v>
      </c>
      <c r="N95">
        <v>2147</v>
      </c>
      <c r="O95">
        <v>5.4970000000000001E-7</v>
      </c>
      <c r="P95">
        <v>4294967296</v>
      </c>
      <c r="Q95">
        <v>0.01</v>
      </c>
      <c r="R95" t="s">
        <v>2673</v>
      </c>
    </row>
    <row r="96" spans="1:18" x14ac:dyDescent="0.25">
      <c r="A96" t="s">
        <v>3144</v>
      </c>
      <c r="B96" t="s">
        <v>3145</v>
      </c>
      <c r="C96" t="s">
        <v>3146</v>
      </c>
      <c r="D96" t="s">
        <v>2812</v>
      </c>
      <c r="E96" t="s">
        <v>2812</v>
      </c>
      <c r="F96" t="s">
        <v>35</v>
      </c>
      <c r="G96" t="s">
        <v>2703</v>
      </c>
      <c r="H96" s="8" t="s">
        <v>100</v>
      </c>
      <c r="J96" s="16" t="s">
        <v>3147</v>
      </c>
      <c r="K96" t="s">
        <v>14</v>
      </c>
      <c r="L96" t="s">
        <v>2661</v>
      </c>
      <c r="M96">
        <v>-21470</v>
      </c>
      <c r="N96">
        <v>214748</v>
      </c>
      <c r="O96">
        <v>5.4998799999999999E-5</v>
      </c>
      <c r="P96">
        <v>4294967296</v>
      </c>
      <c r="Q96">
        <v>0.01</v>
      </c>
      <c r="R96" t="s">
        <v>2673</v>
      </c>
    </row>
    <row r="97" spans="1:18" x14ac:dyDescent="0.25">
      <c r="A97" t="s">
        <v>3148</v>
      </c>
      <c r="B97" t="s">
        <v>3149</v>
      </c>
      <c r="C97" t="s">
        <v>3150</v>
      </c>
      <c r="D97" t="s">
        <v>2812</v>
      </c>
      <c r="E97" t="s">
        <v>2812</v>
      </c>
      <c r="F97" t="s">
        <v>35</v>
      </c>
      <c r="G97" t="s">
        <v>2720</v>
      </c>
      <c r="H97" s="8" t="s">
        <v>71</v>
      </c>
      <c r="J97" s="16" t="s">
        <v>3151</v>
      </c>
      <c r="K97" t="s">
        <v>14</v>
      </c>
      <c r="L97" t="s">
        <v>2661</v>
      </c>
      <c r="M97">
        <v>-21470</v>
      </c>
      <c r="N97">
        <v>21474</v>
      </c>
      <c r="O97">
        <v>9.9986999999999997E-6</v>
      </c>
      <c r="P97">
        <v>4294967296</v>
      </c>
      <c r="Q97">
        <v>0.01</v>
      </c>
      <c r="R97" t="s">
        <v>2673</v>
      </c>
    </row>
    <row r="98" spans="1:18" x14ac:dyDescent="0.25">
      <c r="A98" t="s">
        <v>3156</v>
      </c>
      <c r="B98" t="s">
        <v>2819</v>
      </c>
      <c r="C98" t="s">
        <v>2820</v>
      </c>
      <c r="D98" t="s">
        <v>2812</v>
      </c>
      <c r="E98" t="s">
        <v>2812</v>
      </c>
      <c r="F98" t="s">
        <v>35</v>
      </c>
      <c r="G98" t="s">
        <v>2931</v>
      </c>
      <c r="H98" s="8" t="s">
        <v>2932</v>
      </c>
      <c r="J98" s="16" t="s">
        <v>3157</v>
      </c>
      <c r="K98" t="s">
        <v>14</v>
      </c>
      <c r="L98" t="s">
        <v>2661</v>
      </c>
      <c r="M98">
        <v>-21</v>
      </c>
      <c r="N98">
        <v>214700</v>
      </c>
      <c r="O98">
        <v>4.9993600000000002E-5</v>
      </c>
      <c r="P98">
        <v>4294967296</v>
      </c>
      <c r="Q98">
        <v>0.01</v>
      </c>
      <c r="R98" t="s">
        <v>2673</v>
      </c>
    </row>
    <row r="99" spans="1:18" x14ac:dyDescent="0.25">
      <c r="A99" t="s">
        <v>3158</v>
      </c>
      <c r="B99" t="s">
        <v>2822</v>
      </c>
      <c r="C99" t="s">
        <v>2823</v>
      </c>
      <c r="D99" t="s">
        <v>2812</v>
      </c>
      <c r="E99" t="s">
        <v>2812</v>
      </c>
      <c r="F99" t="s">
        <v>35</v>
      </c>
      <c r="G99" t="s">
        <v>2931</v>
      </c>
      <c r="H99" s="8" t="s">
        <v>2932</v>
      </c>
      <c r="J99" s="16" t="s">
        <v>3159</v>
      </c>
      <c r="K99" t="s">
        <v>14</v>
      </c>
      <c r="L99" t="s">
        <v>2661</v>
      </c>
      <c r="M99">
        <v>-21</v>
      </c>
      <c r="N99">
        <v>214700</v>
      </c>
      <c r="O99">
        <v>4.9993600000000002E-5</v>
      </c>
      <c r="P99">
        <v>4294967296</v>
      </c>
      <c r="Q99">
        <v>0.01</v>
      </c>
      <c r="R99" t="s">
        <v>2673</v>
      </c>
    </row>
    <row r="100" spans="1:18" x14ac:dyDescent="0.25">
      <c r="A100" t="s">
        <v>3160</v>
      </c>
      <c r="B100" t="s">
        <v>2825</v>
      </c>
      <c r="C100" t="s">
        <v>2826</v>
      </c>
      <c r="D100" t="s">
        <v>2812</v>
      </c>
      <c r="E100" t="s">
        <v>2812</v>
      </c>
      <c r="F100" t="s">
        <v>35</v>
      </c>
      <c r="G100" t="s">
        <v>2931</v>
      </c>
      <c r="H100" s="8" t="s">
        <v>2932</v>
      </c>
      <c r="J100" s="16" t="s">
        <v>3161</v>
      </c>
      <c r="K100" t="s">
        <v>14</v>
      </c>
      <c r="L100" t="s">
        <v>2661</v>
      </c>
      <c r="M100">
        <v>-21</v>
      </c>
      <c r="N100">
        <v>214700</v>
      </c>
      <c r="O100">
        <v>4.9993600000000002E-5</v>
      </c>
      <c r="P100">
        <v>4294967296</v>
      </c>
      <c r="Q100">
        <v>0.01</v>
      </c>
      <c r="R100" t="s">
        <v>2673</v>
      </c>
    </row>
    <row r="101" spans="1:18" x14ac:dyDescent="0.25">
      <c r="A101" t="s">
        <v>3162</v>
      </c>
      <c r="B101" t="s">
        <v>2828</v>
      </c>
      <c r="C101" t="s">
        <v>2829</v>
      </c>
      <c r="D101" t="s">
        <v>2812</v>
      </c>
      <c r="E101" t="s">
        <v>2812</v>
      </c>
      <c r="F101" t="s">
        <v>35</v>
      </c>
      <c r="G101" t="s">
        <v>2931</v>
      </c>
      <c r="H101" s="8" t="s">
        <v>2932</v>
      </c>
      <c r="J101" s="16" t="s">
        <v>3163</v>
      </c>
      <c r="K101" t="s">
        <v>14</v>
      </c>
      <c r="L101" t="s">
        <v>2661</v>
      </c>
      <c r="M101">
        <v>-21</v>
      </c>
      <c r="N101">
        <v>214700</v>
      </c>
      <c r="O101">
        <v>4.9993600000000002E-5</v>
      </c>
      <c r="P101">
        <v>4294967296</v>
      </c>
      <c r="Q101">
        <v>0.01</v>
      </c>
      <c r="R101" t="s">
        <v>2673</v>
      </c>
    </row>
    <row r="102" spans="1:18" x14ac:dyDescent="0.25">
      <c r="A102" t="s">
        <v>3164</v>
      </c>
      <c r="B102" t="s">
        <v>2838</v>
      </c>
      <c r="C102" t="s">
        <v>2839</v>
      </c>
      <c r="D102" t="s">
        <v>2812</v>
      </c>
      <c r="E102" t="s">
        <v>2812</v>
      </c>
      <c r="F102" t="s">
        <v>35</v>
      </c>
      <c r="G102" t="s">
        <v>2931</v>
      </c>
      <c r="H102" s="8" t="s">
        <v>2932</v>
      </c>
      <c r="J102" s="16" t="s">
        <v>3165</v>
      </c>
      <c r="K102" t="s">
        <v>14</v>
      </c>
      <c r="L102" t="s">
        <v>2661</v>
      </c>
      <c r="M102">
        <v>-21</v>
      </c>
      <c r="N102">
        <v>20000000</v>
      </c>
      <c r="O102">
        <v>4.6566178000000003E-3</v>
      </c>
      <c r="P102">
        <v>4294967296</v>
      </c>
      <c r="Q102">
        <v>0.01</v>
      </c>
      <c r="R102" t="s">
        <v>2673</v>
      </c>
    </row>
    <row r="103" spans="1:18" x14ac:dyDescent="0.25">
      <c r="A103" t="s">
        <v>3154</v>
      </c>
      <c r="B103" t="s">
        <v>3154</v>
      </c>
      <c r="C103" t="s">
        <v>3155</v>
      </c>
      <c r="D103" t="s">
        <v>2812</v>
      </c>
      <c r="E103" t="s">
        <v>2812</v>
      </c>
      <c r="F103" t="s">
        <v>35</v>
      </c>
      <c r="G103" t="s">
        <v>2931</v>
      </c>
      <c r="H103" s="8" t="s">
        <v>2932</v>
      </c>
      <c r="J103" s="16" t="s">
        <v>3166</v>
      </c>
      <c r="K103" t="s">
        <v>14</v>
      </c>
      <c r="L103" t="s">
        <v>2661</v>
      </c>
      <c r="M103">
        <v>-2147483648</v>
      </c>
      <c r="N103">
        <v>2147483647</v>
      </c>
      <c r="O103">
        <v>1</v>
      </c>
      <c r="P103">
        <v>4294967296</v>
      </c>
      <c r="Q103">
        <v>0.01</v>
      </c>
      <c r="R103" t="s">
        <v>2673</v>
      </c>
    </row>
    <row r="104" spans="1:18" x14ac:dyDescent="0.25">
      <c r="A104" t="s">
        <v>3167</v>
      </c>
      <c r="B104" t="s">
        <v>3168</v>
      </c>
      <c r="C104" t="s">
        <v>3169</v>
      </c>
      <c r="D104" t="s">
        <v>2627</v>
      </c>
      <c r="E104" t="s">
        <v>3170</v>
      </c>
      <c r="F104" t="s">
        <v>35</v>
      </c>
      <c r="G104" t="s">
        <v>2703</v>
      </c>
      <c r="H104" s="8" t="s">
        <v>100</v>
      </c>
      <c r="J104" s="16" t="s">
        <v>3171</v>
      </c>
      <c r="K104" t="s">
        <v>20</v>
      </c>
      <c r="L104" t="s">
        <v>2661</v>
      </c>
      <c r="M104">
        <v>-128</v>
      </c>
      <c r="N104">
        <v>127</v>
      </c>
      <c r="O104">
        <v>0.99609375</v>
      </c>
      <c r="P104">
        <v>256</v>
      </c>
      <c r="Q104">
        <v>0.01</v>
      </c>
      <c r="R104" t="s">
        <v>2662</v>
      </c>
    </row>
    <row r="105" spans="1:18" x14ac:dyDescent="0.25">
      <c r="A105" t="s">
        <v>3172</v>
      </c>
      <c r="B105" t="s">
        <v>3168</v>
      </c>
      <c r="C105" t="s">
        <v>3169</v>
      </c>
      <c r="D105" t="s">
        <v>2627</v>
      </c>
      <c r="E105" t="s">
        <v>3170</v>
      </c>
      <c r="F105" t="s">
        <v>35</v>
      </c>
      <c r="G105" t="s">
        <v>2729</v>
      </c>
      <c r="H105" s="8" t="s">
        <v>2607</v>
      </c>
      <c r="J105" s="16" t="s">
        <v>3173</v>
      </c>
      <c r="K105" t="s">
        <v>18</v>
      </c>
      <c r="L105" t="s">
        <v>2661</v>
      </c>
      <c r="M105">
        <v>-2147483648</v>
      </c>
      <c r="N105">
        <v>2147483647</v>
      </c>
      <c r="O105">
        <v>0.99999999979999998</v>
      </c>
      <c r="P105">
        <v>4294967296</v>
      </c>
      <c r="Q105">
        <v>0.01</v>
      </c>
      <c r="R105" t="s">
        <v>2662</v>
      </c>
    </row>
    <row r="106" spans="1:18" x14ac:dyDescent="0.25">
      <c r="A106" t="s">
        <v>3174</v>
      </c>
      <c r="B106" t="s">
        <v>3175</v>
      </c>
      <c r="C106" t="s">
        <v>3176</v>
      </c>
      <c r="D106" t="s">
        <v>2627</v>
      </c>
      <c r="E106" t="s">
        <v>3177</v>
      </c>
      <c r="F106" t="s">
        <v>35</v>
      </c>
      <c r="G106" t="s">
        <v>2809</v>
      </c>
      <c r="H106" s="8" t="s">
        <v>96</v>
      </c>
      <c r="J106" s="16" t="s">
        <v>3178</v>
      </c>
      <c r="K106" t="s">
        <v>14</v>
      </c>
      <c r="L106" t="s">
        <v>2661</v>
      </c>
      <c r="M106">
        <v>-273.14999999999998</v>
      </c>
      <c r="N106">
        <v>1500</v>
      </c>
      <c r="O106">
        <v>6.7089999999999996E-6</v>
      </c>
      <c r="P106">
        <v>4294967296</v>
      </c>
      <c r="Q106">
        <v>0.01</v>
      </c>
      <c r="R106" t="s">
        <v>2662</v>
      </c>
    </row>
    <row r="107" spans="1:18" x14ac:dyDescent="0.25">
      <c r="A107" t="s">
        <v>3179</v>
      </c>
      <c r="B107" t="s">
        <v>3180</v>
      </c>
      <c r="C107" t="s">
        <v>3181</v>
      </c>
      <c r="D107" t="s">
        <v>2627</v>
      </c>
      <c r="E107" t="s">
        <v>3177</v>
      </c>
      <c r="F107" t="s">
        <v>35</v>
      </c>
      <c r="G107" t="s">
        <v>2809</v>
      </c>
      <c r="H107" s="8" t="s">
        <v>96</v>
      </c>
      <c r="J107" s="16" t="s">
        <v>3182</v>
      </c>
      <c r="K107" t="s">
        <v>14</v>
      </c>
      <c r="L107" t="s">
        <v>2661</v>
      </c>
      <c r="M107">
        <v>-273.14999999999998</v>
      </c>
      <c r="N107">
        <v>1500</v>
      </c>
      <c r="O107">
        <v>6.7089999999999996E-6</v>
      </c>
      <c r="P107">
        <v>4294967296</v>
      </c>
      <c r="Q107">
        <v>0.01</v>
      </c>
      <c r="R107" t="s">
        <v>2662</v>
      </c>
    </row>
    <row r="108" spans="1:18" x14ac:dyDescent="0.25">
      <c r="A108" t="s">
        <v>3183</v>
      </c>
      <c r="B108" t="s">
        <v>3184</v>
      </c>
      <c r="C108" t="s">
        <v>3185</v>
      </c>
      <c r="D108" t="s">
        <v>2627</v>
      </c>
      <c r="E108" t="s">
        <v>3177</v>
      </c>
      <c r="F108" t="s">
        <v>34</v>
      </c>
      <c r="G108" t="s">
        <v>2809</v>
      </c>
      <c r="H108" s="8" t="s">
        <v>96</v>
      </c>
      <c r="J108" s="16" t="s">
        <v>3186</v>
      </c>
      <c r="K108" t="s">
        <v>14</v>
      </c>
      <c r="L108" t="s">
        <v>2661</v>
      </c>
      <c r="M108">
        <v>-273.14999999999998</v>
      </c>
      <c r="N108">
        <v>1500</v>
      </c>
      <c r="O108">
        <v>6.7089999999999996E-6</v>
      </c>
      <c r="P108">
        <v>4294967296</v>
      </c>
      <c r="Q108">
        <v>0.01</v>
      </c>
      <c r="R108" t="s">
        <v>2662</v>
      </c>
    </row>
    <row r="109" spans="1:18" x14ac:dyDescent="0.25">
      <c r="A109" t="s">
        <v>3187</v>
      </c>
      <c r="B109" t="s">
        <v>3188</v>
      </c>
      <c r="C109" t="s">
        <v>3189</v>
      </c>
      <c r="D109" t="s">
        <v>2627</v>
      </c>
      <c r="E109" t="s">
        <v>3177</v>
      </c>
      <c r="F109" t="s">
        <v>34</v>
      </c>
      <c r="G109" t="s">
        <v>2719</v>
      </c>
      <c r="H109" s="8" t="s">
        <v>113</v>
      </c>
      <c r="J109" s="16" t="s">
        <v>3190</v>
      </c>
      <c r="K109" t="s">
        <v>2925</v>
      </c>
      <c r="L109" t="s">
        <v>2661</v>
      </c>
      <c r="M109">
        <v>0</v>
      </c>
      <c r="N109">
        <v>1</v>
      </c>
      <c r="O109">
        <v>1</v>
      </c>
      <c r="P109">
        <v>2</v>
      </c>
      <c r="Q109">
        <v>0.01</v>
      </c>
      <c r="R109" t="s">
        <v>2662</v>
      </c>
    </row>
    <row r="110" spans="1:18" x14ac:dyDescent="0.25">
      <c r="A110" t="s">
        <v>3191</v>
      </c>
      <c r="B110" t="s">
        <v>3192</v>
      </c>
      <c r="C110" t="s">
        <v>3193</v>
      </c>
      <c r="D110" t="s">
        <v>2627</v>
      </c>
      <c r="E110" t="s">
        <v>3192</v>
      </c>
      <c r="F110" t="s">
        <v>35</v>
      </c>
      <c r="G110" t="s">
        <v>2720</v>
      </c>
      <c r="H110" s="8" t="s">
        <v>71</v>
      </c>
      <c r="J110" s="16" t="s">
        <v>3194</v>
      </c>
      <c r="K110" t="s">
        <v>14</v>
      </c>
      <c r="L110" t="s">
        <v>2661</v>
      </c>
      <c r="M110">
        <v>0</v>
      </c>
      <c r="N110">
        <v>50000</v>
      </c>
      <c r="O110">
        <v>1.16415E-5</v>
      </c>
      <c r="P110">
        <v>4294967296</v>
      </c>
      <c r="Q110">
        <v>0.01</v>
      </c>
      <c r="R110" t="s">
        <v>2662</v>
      </c>
    </row>
    <row r="111" spans="1:18" x14ac:dyDescent="0.25">
      <c r="A111" t="s">
        <v>3195</v>
      </c>
      <c r="B111" t="s">
        <v>3192</v>
      </c>
      <c r="C111" t="s">
        <v>3193</v>
      </c>
      <c r="D111" t="s">
        <v>2627</v>
      </c>
      <c r="E111" t="s">
        <v>3192</v>
      </c>
      <c r="F111" t="s">
        <v>35</v>
      </c>
      <c r="G111" t="s">
        <v>2729</v>
      </c>
      <c r="H111" s="8" t="s">
        <v>2607</v>
      </c>
      <c r="J111" s="16" t="s">
        <v>3196</v>
      </c>
      <c r="K111" t="s">
        <v>14</v>
      </c>
      <c r="L111" t="s">
        <v>2661</v>
      </c>
      <c r="M111">
        <v>0</v>
      </c>
      <c r="N111">
        <v>1000000</v>
      </c>
      <c r="O111">
        <v>2.3283059999999999E-4</v>
      </c>
      <c r="P111">
        <v>4294967296</v>
      </c>
      <c r="Q111">
        <v>0.01</v>
      </c>
      <c r="R111" t="s">
        <v>2662</v>
      </c>
    </row>
    <row r="112" spans="1:18" x14ac:dyDescent="0.25">
      <c r="A112" t="s">
        <v>3197</v>
      </c>
      <c r="B112" t="s">
        <v>3198</v>
      </c>
      <c r="C112" t="s">
        <v>3199</v>
      </c>
      <c r="D112" t="s">
        <v>2627</v>
      </c>
      <c r="E112" t="s">
        <v>3192</v>
      </c>
      <c r="F112" t="s">
        <v>35</v>
      </c>
      <c r="G112" t="s">
        <v>2703</v>
      </c>
      <c r="H112" s="8" t="s">
        <v>100</v>
      </c>
      <c r="J112" s="16" t="s">
        <v>3200</v>
      </c>
      <c r="K112" t="s">
        <v>14</v>
      </c>
      <c r="L112" t="s">
        <v>2661</v>
      </c>
      <c r="M112">
        <v>0</v>
      </c>
      <c r="N112">
        <v>50000</v>
      </c>
      <c r="O112">
        <v>1.16415E-5</v>
      </c>
      <c r="P112">
        <v>4294967296</v>
      </c>
      <c r="Q112">
        <v>0.01</v>
      </c>
      <c r="R112" t="s">
        <v>2662</v>
      </c>
    </row>
    <row r="113" spans="1:18" x14ac:dyDescent="0.25">
      <c r="A113" t="s">
        <v>3201</v>
      </c>
      <c r="B113" t="s">
        <v>3192</v>
      </c>
      <c r="C113" t="s">
        <v>3193</v>
      </c>
      <c r="D113" t="s">
        <v>2627</v>
      </c>
      <c r="E113" t="s">
        <v>3192</v>
      </c>
      <c r="F113" t="s">
        <v>34</v>
      </c>
      <c r="G113" t="s">
        <v>3132</v>
      </c>
      <c r="H113" s="8" t="s">
        <v>82</v>
      </c>
      <c r="J113" s="16" t="s">
        <v>3202</v>
      </c>
      <c r="K113" t="s">
        <v>14</v>
      </c>
      <c r="L113" t="s">
        <v>2661</v>
      </c>
      <c r="M113">
        <v>0</v>
      </c>
      <c r="N113">
        <v>5000000</v>
      </c>
      <c r="O113">
        <v>1.1641532000000001E-3</v>
      </c>
      <c r="P113">
        <v>4294967296</v>
      </c>
      <c r="Q113">
        <v>0.01</v>
      </c>
      <c r="R113" t="s">
        <v>2662</v>
      </c>
    </row>
    <row r="114" spans="1:18" x14ac:dyDescent="0.25">
      <c r="A114" t="s">
        <v>3203</v>
      </c>
      <c r="B114" t="s">
        <v>3204</v>
      </c>
      <c r="C114" t="s">
        <v>3205</v>
      </c>
      <c r="D114" t="s">
        <v>2627</v>
      </c>
      <c r="E114" t="s">
        <v>3192</v>
      </c>
      <c r="F114" t="s">
        <v>34</v>
      </c>
      <c r="G114" t="s">
        <v>2719</v>
      </c>
      <c r="H114" s="8" t="s">
        <v>113</v>
      </c>
      <c r="J114" s="16" t="s">
        <v>3206</v>
      </c>
      <c r="K114" t="s">
        <v>2925</v>
      </c>
      <c r="L114" t="s">
        <v>2661</v>
      </c>
      <c r="M114">
        <v>0</v>
      </c>
      <c r="N114">
        <v>1</v>
      </c>
      <c r="O114">
        <v>1</v>
      </c>
      <c r="P114">
        <v>2</v>
      </c>
      <c r="Q114">
        <v>0.01</v>
      </c>
      <c r="R114" t="s">
        <v>2662</v>
      </c>
    </row>
    <row r="115" spans="1:18" x14ac:dyDescent="0.25">
      <c r="A115" t="s">
        <v>3207</v>
      </c>
      <c r="B115" t="s">
        <v>3208</v>
      </c>
      <c r="C115" t="s">
        <v>3209</v>
      </c>
      <c r="D115" t="s">
        <v>2627</v>
      </c>
      <c r="E115" t="s">
        <v>3192</v>
      </c>
      <c r="F115" t="s">
        <v>34</v>
      </c>
      <c r="G115" t="s">
        <v>2808</v>
      </c>
      <c r="H115" s="8" t="s">
        <v>2601</v>
      </c>
      <c r="J115" s="16" t="s">
        <v>3210</v>
      </c>
      <c r="K115" t="s">
        <v>14</v>
      </c>
      <c r="L115" t="s">
        <v>2661</v>
      </c>
      <c r="M115">
        <v>0</v>
      </c>
      <c r="N115">
        <v>500000</v>
      </c>
      <c r="O115">
        <v>1.164153E-4</v>
      </c>
      <c r="P115">
        <v>4294967296</v>
      </c>
      <c r="Q115">
        <v>0.01</v>
      </c>
      <c r="R115" t="s">
        <v>2662</v>
      </c>
    </row>
    <row r="116" spans="1:18" x14ac:dyDescent="0.25">
      <c r="A116" t="s">
        <v>3211</v>
      </c>
      <c r="B116" t="s">
        <v>3212</v>
      </c>
      <c r="C116" t="s">
        <v>3213</v>
      </c>
      <c r="D116" t="s">
        <v>2627</v>
      </c>
      <c r="E116" t="s">
        <v>3214</v>
      </c>
      <c r="F116" t="s">
        <v>34</v>
      </c>
      <c r="G116" t="s">
        <v>2808</v>
      </c>
      <c r="H116" s="8" t="s">
        <v>2601</v>
      </c>
      <c r="J116" s="16" t="s">
        <v>3215</v>
      </c>
      <c r="K116" t="s">
        <v>14</v>
      </c>
      <c r="L116" t="s">
        <v>2661</v>
      </c>
      <c r="M116">
        <v>0</v>
      </c>
      <c r="N116">
        <v>500000</v>
      </c>
      <c r="O116">
        <v>1.164153E-4</v>
      </c>
      <c r="P116">
        <v>4294967296</v>
      </c>
      <c r="Q116">
        <v>0.01</v>
      </c>
      <c r="R116" t="s">
        <v>2662</v>
      </c>
    </row>
    <row r="117" spans="1:18" x14ac:dyDescent="0.25">
      <c r="A117" t="s">
        <v>3216</v>
      </c>
      <c r="B117" t="s">
        <v>3214</v>
      </c>
      <c r="C117" t="s">
        <v>3217</v>
      </c>
      <c r="D117" t="s">
        <v>2627</v>
      </c>
      <c r="E117" t="s">
        <v>3214</v>
      </c>
      <c r="F117" t="s">
        <v>34</v>
      </c>
      <c r="G117" t="s">
        <v>2703</v>
      </c>
      <c r="H117" s="8" t="s">
        <v>100</v>
      </c>
      <c r="J117" s="16" t="s">
        <v>3218</v>
      </c>
      <c r="K117" t="s">
        <v>14</v>
      </c>
      <c r="L117" t="s">
        <v>2661</v>
      </c>
      <c r="M117">
        <v>0</v>
      </c>
      <c r="N117">
        <v>50000</v>
      </c>
      <c r="O117">
        <v>1.16415E-5</v>
      </c>
      <c r="P117">
        <v>4294967296</v>
      </c>
      <c r="Q117">
        <v>0.01</v>
      </c>
      <c r="R117" t="s">
        <v>2662</v>
      </c>
    </row>
    <row r="118" spans="1:18" x14ac:dyDescent="0.25">
      <c r="A118" t="s">
        <v>3219</v>
      </c>
      <c r="B118" t="s">
        <v>3220</v>
      </c>
      <c r="C118" t="s">
        <v>3221</v>
      </c>
      <c r="D118" t="s">
        <v>2627</v>
      </c>
      <c r="E118" t="s">
        <v>3214</v>
      </c>
      <c r="F118" t="s">
        <v>35</v>
      </c>
      <c r="G118" t="s">
        <v>2703</v>
      </c>
      <c r="H118" s="8" t="s">
        <v>100</v>
      </c>
      <c r="J118" s="16" t="s">
        <v>3222</v>
      </c>
      <c r="K118" t="s">
        <v>14</v>
      </c>
      <c r="L118" t="s">
        <v>2661</v>
      </c>
      <c r="M118">
        <v>0</v>
      </c>
      <c r="N118">
        <v>50000</v>
      </c>
      <c r="O118">
        <v>1.16415E-5</v>
      </c>
      <c r="P118">
        <v>4294967296</v>
      </c>
      <c r="Q118">
        <v>0.01</v>
      </c>
      <c r="R118" t="s">
        <v>2662</v>
      </c>
    </row>
    <row r="119" spans="1:18" x14ac:dyDescent="0.25">
      <c r="A119" t="s">
        <v>3223</v>
      </c>
      <c r="B119" t="s">
        <v>3214</v>
      </c>
      <c r="C119" t="s">
        <v>3217</v>
      </c>
      <c r="D119" t="s">
        <v>2627</v>
      </c>
      <c r="E119" t="s">
        <v>3214</v>
      </c>
      <c r="F119" t="s">
        <v>35</v>
      </c>
      <c r="G119" t="s">
        <v>2720</v>
      </c>
      <c r="H119" s="8" t="s">
        <v>71</v>
      </c>
      <c r="J119" s="16" t="s">
        <v>3224</v>
      </c>
      <c r="K119" t="s">
        <v>14</v>
      </c>
      <c r="L119" t="s">
        <v>2661</v>
      </c>
      <c r="M119">
        <v>0</v>
      </c>
      <c r="N119">
        <v>50000</v>
      </c>
      <c r="O119">
        <v>1.16415E-5</v>
      </c>
      <c r="P119">
        <v>4294967296</v>
      </c>
      <c r="Q119">
        <v>0.01</v>
      </c>
      <c r="R119" t="s">
        <v>2662</v>
      </c>
    </row>
    <row r="120" spans="1:18" x14ac:dyDescent="0.25">
      <c r="A120" t="s">
        <v>3225</v>
      </c>
      <c r="B120" t="s">
        <v>3214</v>
      </c>
      <c r="C120" t="s">
        <v>3217</v>
      </c>
      <c r="D120" t="s">
        <v>2627</v>
      </c>
      <c r="E120" t="s">
        <v>3214</v>
      </c>
      <c r="F120" t="s">
        <v>35</v>
      </c>
      <c r="G120" t="s">
        <v>2729</v>
      </c>
      <c r="H120" s="8" t="s">
        <v>2607</v>
      </c>
      <c r="J120" s="16" t="s">
        <v>3226</v>
      </c>
      <c r="K120" t="s">
        <v>14</v>
      </c>
      <c r="L120" t="s">
        <v>2661</v>
      </c>
      <c r="M120">
        <v>0</v>
      </c>
      <c r="N120">
        <v>1000000</v>
      </c>
      <c r="O120">
        <v>2.3283059999999999E-4</v>
      </c>
      <c r="P120">
        <v>4294967296</v>
      </c>
      <c r="Q120">
        <v>0.01</v>
      </c>
      <c r="R120" t="s">
        <v>2662</v>
      </c>
    </row>
    <row r="121" spans="1:18" x14ac:dyDescent="0.25">
      <c r="A121" t="s">
        <v>3227</v>
      </c>
      <c r="B121" t="s">
        <v>3228</v>
      </c>
      <c r="C121" t="s">
        <v>3229</v>
      </c>
      <c r="D121" t="s">
        <v>2627</v>
      </c>
      <c r="E121" t="s">
        <v>3230</v>
      </c>
      <c r="F121" t="s">
        <v>35</v>
      </c>
      <c r="G121" t="s">
        <v>2729</v>
      </c>
      <c r="H121" s="8" t="s">
        <v>2607</v>
      </c>
      <c r="J121" s="16" t="s">
        <v>3231</v>
      </c>
      <c r="K121" t="s">
        <v>14</v>
      </c>
      <c r="L121" t="s">
        <v>2661</v>
      </c>
      <c r="M121">
        <v>0</v>
      </c>
      <c r="N121">
        <v>1000000</v>
      </c>
      <c r="O121">
        <v>2.3283059999999999E-4</v>
      </c>
      <c r="P121">
        <v>4294967296</v>
      </c>
      <c r="Q121">
        <v>0.01</v>
      </c>
      <c r="R121" t="s">
        <v>2662</v>
      </c>
    </row>
    <row r="122" spans="1:18" x14ac:dyDescent="0.25">
      <c r="A122" t="s">
        <v>3232</v>
      </c>
      <c r="B122" t="s">
        <v>3233</v>
      </c>
      <c r="C122" t="s">
        <v>3234</v>
      </c>
      <c r="D122" t="s">
        <v>2627</v>
      </c>
      <c r="E122" t="s">
        <v>3230</v>
      </c>
      <c r="F122" t="s">
        <v>35</v>
      </c>
      <c r="G122" t="s">
        <v>2703</v>
      </c>
      <c r="H122" s="8" t="s">
        <v>100</v>
      </c>
      <c r="J122" s="16" t="s">
        <v>3235</v>
      </c>
      <c r="K122" t="s">
        <v>14</v>
      </c>
      <c r="L122" t="s">
        <v>2661</v>
      </c>
      <c r="M122">
        <v>0</v>
      </c>
      <c r="N122">
        <v>50000</v>
      </c>
      <c r="O122">
        <v>1.16415E-5</v>
      </c>
      <c r="P122">
        <v>4294967296</v>
      </c>
      <c r="Q122">
        <v>0.01</v>
      </c>
      <c r="R122" t="s">
        <v>2662</v>
      </c>
    </row>
    <row r="123" spans="1:18" x14ac:dyDescent="0.25">
      <c r="A123" t="s">
        <v>3236</v>
      </c>
      <c r="B123" t="s">
        <v>3230</v>
      </c>
      <c r="C123" t="s">
        <v>3237</v>
      </c>
      <c r="D123" t="s">
        <v>2627</v>
      </c>
      <c r="E123" t="s">
        <v>3230</v>
      </c>
      <c r="F123" t="s">
        <v>35</v>
      </c>
      <c r="G123" t="s">
        <v>2720</v>
      </c>
      <c r="H123" s="8" t="s">
        <v>71</v>
      </c>
      <c r="J123" s="16" t="s">
        <v>3238</v>
      </c>
      <c r="K123" t="s">
        <v>14</v>
      </c>
      <c r="L123" t="s">
        <v>2661</v>
      </c>
      <c r="M123">
        <v>0</v>
      </c>
      <c r="N123">
        <v>50000</v>
      </c>
      <c r="O123">
        <v>1.16415E-5</v>
      </c>
      <c r="P123">
        <v>4294967296</v>
      </c>
      <c r="Q123">
        <v>0.01</v>
      </c>
      <c r="R123" t="s">
        <v>2662</v>
      </c>
    </row>
    <row r="124" spans="1:18" x14ac:dyDescent="0.25">
      <c r="A124" t="s">
        <v>3239</v>
      </c>
      <c r="B124" t="s">
        <v>3240</v>
      </c>
      <c r="C124" t="s">
        <v>3241</v>
      </c>
      <c r="D124" t="s">
        <v>2627</v>
      </c>
      <c r="E124" t="s">
        <v>3242</v>
      </c>
      <c r="F124" t="s">
        <v>35</v>
      </c>
      <c r="G124" t="s">
        <v>2703</v>
      </c>
      <c r="H124" s="8" t="s">
        <v>100</v>
      </c>
      <c r="J124" s="16" t="s">
        <v>3243</v>
      </c>
      <c r="K124" t="s">
        <v>14</v>
      </c>
      <c r="L124" t="s">
        <v>2661</v>
      </c>
      <c r="M124">
        <v>-2147483648</v>
      </c>
      <c r="N124">
        <v>2147483647</v>
      </c>
      <c r="O124">
        <v>1</v>
      </c>
      <c r="P124">
        <v>4294967296</v>
      </c>
      <c r="Q124">
        <v>0.01</v>
      </c>
      <c r="R124" t="s">
        <v>2662</v>
      </c>
    </row>
    <row r="125" spans="1:18" x14ac:dyDescent="0.25">
      <c r="A125" t="s">
        <v>3244</v>
      </c>
      <c r="B125" t="s">
        <v>3245</v>
      </c>
      <c r="C125" t="s">
        <v>3246</v>
      </c>
      <c r="D125" t="s">
        <v>2627</v>
      </c>
      <c r="E125" t="s">
        <v>3170</v>
      </c>
      <c r="F125" t="s">
        <v>35</v>
      </c>
      <c r="G125" t="s">
        <v>2703</v>
      </c>
      <c r="H125" s="8" t="s">
        <v>100</v>
      </c>
      <c r="J125" s="16" t="s">
        <v>3247</v>
      </c>
      <c r="K125" t="s">
        <v>14</v>
      </c>
      <c r="L125" t="s">
        <v>2661</v>
      </c>
      <c r="M125">
        <v>-2147483648</v>
      </c>
      <c r="N125">
        <v>2147483647</v>
      </c>
      <c r="O125">
        <v>1</v>
      </c>
      <c r="P125">
        <v>4294967296</v>
      </c>
      <c r="Q125">
        <v>0.01</v>
      </c>
      <c r="R125" t="s">
        <v>2662</v>
      </c>
    </row>
    <row r="126" spans="1:18" x14ac:dyDescent="0.25">
      <c r="A126" t="s">
        <v>3248</v>
      </c>
      <c r="B126" t="s">
        <v>3249</v>
      </c>
      <c r="C126" t="s">
        <v>3250</v>
      </c>
      <c r="D126" t="s">
        <v>2627</v>
      </c>
      <c r="E126" t="s">
        <v>3170</v>
      </c>
      <c r="F126" t="s">
        <v>35</v>
      </c>
      <c r="G126" t="s">
        <v>3132</v>
      </c>
      <c r="H126" s="8" t="s">
        <v>82</v>
      </c>
      <c r="J126" s="16" t="s">
        <v>3251</v>
      </c>
      <c r="K126" t="s">
        <v>14</v>
      </c>
      <c r="L126" t="s">
        <v>2661</v>
      </c>
      <c r="M126">
        <v>-2147483648</v>
      </c>
      <c r="N126">
        <v>2147483647</v>
      </c>
      <c r="O126">
        <v>1</v>
      </c>
      <c r="P126">
        <v>4294967296</v>
      </c>
      <c r="Q126">
        <v>0.01</v>
      </c>
      <c r="R126" t="s">
        <v>2662</v>
      </c>
    </row>
    <row r="127" spans="1:18" x14ac:dyDescent="0.25">
      <c r="A127" t="s">
        <v>3252</v>
      </c>
      <c r="B127" t="s">
        <v>3253</v>
      </c>
      <c r="C127" t="s">
        <v>3254</v>
      </c>
      <c r="D127" t="s">
        <v>2627</v>
      </c>
      <c r="E127" t="s">
        <v>3170</v>
      </c>
      <c r="F127" t="s">
        <v>35</v>
      </c>
      <c r="G127" t="s">
        <v>3132</v>
      </c>
      <c r="H127" s="8" t="s">
        <v>82</v>
      </c>
      <c r="J127" s="16" t="s">
        <v>3255</v>
      </c>
      <c r="K127" t="s">
        <v>14</v>
      </c>
      <c r="L127" t="s">
        <v>2661</v>
      </c>
      <c r="M127">
        <v>-2147483648</v>
      </c>
      <c r="N127">
        <v>2147483647</v>
      </c>
      <c r="O127">
        <v>1</v>
      </c>
      <c r="P127">
        <v>4294967296</v>
      </c>
      <c r="Q127">
        <v>0.01</v>
      </c>
      <c r="R127" t="s">
        <v>2662</v>
      </c>
    </row>
    <row r="128" spans="1:18" x14ac:dyDescent="0.25">
      <c r="A128" t="s">
        <v>3256</v>
      </c>
      <c r="B128" t="s">
        <v>3257</v>
      </c>
      <c r="C128" t="s">
        <v>3258</v>
      </c>
      <c r="D128" t="s">
        <v>2627</v>
      </c>
      <c r="E128" t="s">
        <v>3170</v>
      </c>
      <c r="F128" t="s">
        <v>35</v>
      </c>
      <c r="G128" t="s">
        <v>3259</v>
      </c>
      <c r="H128" s="8" t="s">
        <v>2608</v>
      </c>
      <c r="J128" s="16" t="s">
        <v>3260</v>
      </c>
      <c r="K128" t="s">
        <v>14</v>
      </c>
      <c r="L128" t="s">
        <v>2661</v>
      </c>
      <c r="M128">
        <v>-2147483648</v>
      </c>
      <c r="N128">
        <v>2147483647</v>
      </c>
      <c r="O128">
        <v>1</v>
      </c>
      <c r="P128">
        <v>4294967296</v>
      </c>
      <c r="Q128">
        <v>0.01</v>
      </c>
      <c r="R128" t="s">
        <v>2662</v>
      </c>
    </row>
    <row r="129" spans="1:18" x14ac:dyDescent="0.25">
      <c r="A129" t="s">
        <v>3261</v>
      </c>
      <c r="B129" t="s">
        <v>3262</v>
      </c>
      <c r="C129" t="s">
        <v>3263</v>
      </c>
      <c r="D129" t="s">
        <v>2627</v>
      </c>
      <c r="E129" t="s">
        <v>3170</v>
      </c>
      <c r="F129" t="s">
        <v>35</v>
      </c>
      <c r="G129" t="s">
        <v>3264</v>
      </c>
      <c r="H129" s="8" t="s">
        <v>2638</v>
      </c>
      <c r="J129" s="16" t="s">
        <v>3265</v>
      </c>
      <c r="K129" t="s">
        <v>14</v>
      </c>
      <c r="L129" t="s">
        <v>2661</v>
      </c>
      <c r="M129">
        <v>-2147483648</v>
      </c>
      <c r="N129">
        <v>2147483647</v>
      </c>
      <c r="O129">
        <v>1</v>
      </c>
      <c r="P129">
        <v>4294967296</v>
      </c>
      <c r="Q129">
        <v>0.01</v>
      </c>
      <c r="R129" t="s">
        <v>2662</v>
      </c>
    </row>
    <row r="130" spans="1:18" x14ac:dyDescent="0.25">
      <c r="A130" t="s">
        <v>3266</v>
      </c>
      <c r="B130" t="s">
        <v>3267</v>
      </c>
      <c r="C130" t="s">
        <v>3268</v>
      </c>
      <c r="D130" t="s">
        <v>2627</v>
      </c>
      <c r="E130" t="s">
        <v>3170</v>
      </c>
      <c r="F130" t="s">
        <v>35</v>
      </c>
      <c r="G130" t="s">
        <v>3264</v>
      </c>
      <c r="H130" s="8" t="s">
        <v>2638</v>
      </c>
      <c r="J130" s="16" t="s">
        <v>3269</v>
      </c>
      <c r="K130" t="s">
        <v>14</v>
      </c>
      <c r="L130" t="s">
        <v>2661</v>
      </c>
      <c r="M130">
        <v>-2147483648</v>
      </c>
      <c r="N130">
        <v>2147483647</v>
      </c>
      <c r="O130">
        <v>1</v>
      </c>
      <c r="P130">
        <v>4294967296</v>
      </c>
      <c r="Q130">
        <v>0.01</v>
      </c>
      <c r="R130" t="s">
        <v>2662</v>
      </c>
    </row>
    <row r="131" spans="1:18" x14ac:dyDescent="0.25">
      <c r="A131" t="s">
        <v>3270</v>
      </c>
      <c r="B131" t="s">
        <v>3271</v>
      </c>
      <c r="C131" t="s">
        <v>3272</v>
      </c>
      <c r="D131" t="s">
        <v>2627</v>
      </c>
      <c r="E131" t="s">
        <v>3170</v>
      </c>
      <c r="F131" t="s">
        <v>35</v>
      </c>
      <c r="G131" t="s">
        <v>3264</v>
      </c>
      <c r="H131" s="8" t="s">
        <v>2638</v>
      </c>
      <c r="J131" s="16" t="s">
        <v>3273</v>
      </c>
      <c r="K131" t="s">
        <v>14</v>
      </c>
      <c r="L131" t="s">
        <v>2661</v>
      </c>
      <c r="M131">
        <v>-2147483648</v>
      </c>
      <c r="N131">
        <v>2147483647</v>
      </c>
      <c r="O131">
        <v>1</v>
      </c>
      <c r="P131">
        <v>4294967296</v>
      </c>
      <c r="Q131">
        <v>0.01</v>
      </c>
      <c r="R131" t="s">
        <v>2662</v>
      </c>
    </row>
    <row r="132" spans="1:18" x14ac:dyDescent="0.25">
      <c r="A132" t="s">
        <v>3274</v>
      </c>
      <c r="B132" t="s">
        <v>3275</v>
      </c>
      <c r="C132" t="s">
        <v>3276</v>
      </c>
      <c r="D132" t="s">
        <v>2627</v>
      </c>
      <c r="E132" t="s">
        <v>3170</v>
      </c>
      <c r="F132" t="s">
        <v>35</v>
      </c>
      <c r="G132" t="s">
        <v>3264</v>
      </c>
      <c r="H132" s="8" t="s">
        <v>2638</v>
      </c>
      <c r="J132" s="16" t="s">
        <v>3277</v>
      </c>
      <c r="K132" t="s">
        <v>14</v>
      </c>
      <c r="L132" t="s">
        <v>2661</v>
      </c>
      <c r="M132">
        <v>-2147483648</v>
      </c>
      <c r="N132">
        <v>2147483647</v>
      </c>
      <c r="O132">
        <v>1</v>
      </c>
      <c r="P132">
        <v>4294967296</v>
      </c>
      <c r="Q132">
        <v>0.01</v>
      </c>
      <c r="R132" t="s">
        <v>2662</v>
      </c>
    </row>
    <row r="133" spans="1:18" x14ac:dyDescent="0.25">
      <c r="A133" t="s">
        <v>3278</v>
      </c>
      <c r="B133" t="s">
        <v>3279</v>
      </c>
      <c r="C133" t="s">
        <v>3280</v>
      </c>
      <c r="D133" t="s">
        <v>2627</v>
      </c>
      <c r="E133" t="s">
        <v>3170</v>
      </c>
      <c r="F133" t="s">
        <v>35</v>
      </c>
      <c r="G133" t="s">
        <v>3264</v>
      </c>
      <c r="H133" s="8" t="s">
        <v>2638</v>
      </c>
      <c r="J133" s="16" t="s">
        <v>3281</v>
      </c>
      <c r="K133" t="s">
        <v>14</v>
      </c>
      <c r="L133" t="s">
        <v>2661</v>
      </c>
      <c r="M133">
        <v>-2147483648</v>
      </c>
      <c r="N133">
        <v>2147483647</v>
      </c>
      <c r="O133">
        <v>1</v>
      </c>
      <c r="P133">
        <v>4294967296</v>
      </c>
      <c r="Q133">
        <v>0.01</v>
      </c>
      <c r="R133" t="s">
        <v>2662</v>
      </c>
    </row>
    <row r="134" spans="1:18" x14ac:dyDescent="0.25">
      <c r="A134" t="s">
        <v>3282</v>
      </c>
      <c r="B134" t="s">
        <v>3283</v>
      </c>
      <c r="C134" t="s">
        <v>3284</v>
      </c>
      <c r="D134" t="s">
        <v>2627</v>
      </c>
      <c r="E134" t="s">
        <v>3170</v>
      </c>
      <c r="F134" t="s">
        <v>35</v>
      </c>
      <c r="G134" t="s">
        <v>2775</v>
      </c>
      <c r="H134" s="8" t="s">
        <v>1679</v>
      </c>
      <c r="J134" s="16" t="s">
        <v>3285</v>
      </c>
      <c r="K134" t="s">
        <v>14</v>
      </c>
      <c r="L134" t="s">
        <v>2661</v>
      </c>
      <c r="M134">
        <v>-2147483648</v>
      </c>
      <c r="N134">
        <v>2147483647</v>
      </c>
      <c r="O134">
        <v>1</v>
      </c>
      <c r="P134">
        <v>4294967296</v>
      </c>
      <c r="Q134">
        <v>0.01</v>
      </c>
      <c r="R134" t="s">
        <v>2662</v>
      </c>
    </row>
    <row r="135" spans="1:18" x14ac:dyDescent="0.25">
      <c r="A135" t="s">
        <v>3286</v>
      </c>
      <c r="B135" t="s">
        <v>3168</v>
      </c>
      <c r="C135" t="s">
        <v>3169</v>
      </c>
      <c r="D135" t="s">
        <v>2803</v>
      </c>
      <c r="E135" t="s">
        <v>3287</v>
      </c>
      <c r="F135" t="s">
        <v>2597</v>
      </c>
      <c r="G135" t="s">
        <v>2681</v>
      </c>
      <c r="H135" s="8" t="s">
        <v>113</v>
      </c>
      <c r="J135" s="16" t="s">
        <v>3288</v>
      </c>
      <c r="K135" t="s">
        <v>2925</v>
      </c>
      <c r="L135" t="s">
        <v>2661</v>
      </c>
      <c r="M135">
        <v>0</v>
      </c>
      <c r="N135">
        <v>1</v>
      </c>
      <c r="O135">
        <v>1</v>
      </c>
      <c r="P135">
        <v>2</v>
      </c>
      <c r="Q135">
        <v>0.01</v>
      </c>
      <c r="R135" t="s">
        <v>2662</v>
      </c>
    </row>
    <row r="136" spans="1:18" x14ac:dyDescent="0.25">
      <c r="A136" t="s">
        <v>3286</v>
      </c>
      <c r="B136" t="s">
        <v>3168</v>
      </c>
      <c r="C136" t="s">
        <v>3169</v>
      </c>
      <c r="D136" t="s">
        <v>2734</v>
      </c>
      <c r="E136" t="s">
        <v>2735</v>
      </c>
      <c r="F136" t="s">
        <v>36</v>
      </c>
      <c r="G136" t="s">
        <v>2681</v>
      </c>
      <c r="H136" s="8" t="s">
        <v>113</v>
      </c>
      <c r="J136" s="16" t="s">
        <v>3289</v>
      </c>
      <c r="K136" t="s">
        <v>2925</v>
      </c>
      <c r="L136" t="s">
        <v>2661</v>
      </c>
      <c r="M136">
        <v>0</v>
      </c>
      <c r="N136">
        <v>1</v>
      </c>
      <c r="O136">
        <v>1</v>
      </c>
      <c r="P136">
        <v>2</v>
      </c>
      <c r="Q136">
        <v>0.01</v>
      </c>
      <c r="R136" t="s">
        <v>2662</v>
      </c>
    </row>
    <row r="137" spans="1:18" x14ac:dyDescent="0.25">
      <c r="A137" t="s">
        <v>3282</v>
      </c>
      <c r="B137" t="s">
        <v>3283</v>
      </c>
      <c r="C137" t="s">
        <v>3284</v>
      </c>
      <c r="D137" t="s">
        <v>2734</v>
      </c>
      <c r="E137" t="s">
        <v>2735</v>
      </c>
      <c r="F137" t="s">
        <v>36</v>
      </c>
      <c r="G137" t="s">
        <v>2775</v>
      </c>
      <c r="H137" s="8" t="s">
        <v>1679</v>
      </c>
      <c r="J137" s="16" t="s">
        <v>3290</v>
      </c>
      <c r="K137" t="s">
        <v>14</v>
      </c>
      <c r="L137" t="s">
        <v>2661</v>
      </c>
      <c r="M137">
        <v>-2147483648</v>
      </c>
      <c r="N137">
        <v>2147483647</v>
      </c>
      <c r="O137">
        <v>0.99999999979999998</v>
      </c>
      <c r="P137">
        <v>4294967296</v>
      </c>
      <c r="Q137">
        <v>0.01</v>
      </c>
      <c r="R137" t="s">
        <v>2662</v>
      </c>
    </row>
    <row r="138" spans="1:18" x14ac:dyDescent="0.25">
      <c r="A138" t="s">
        <v>3291</v>
      </c>
      <c r="B138" t="s">
        <v>3292</v>
      </c>
      <c r="C138" t="s">
        <v>3293</v>
      </c>
      <c r="D138" t="s">
        <v>2734</v>
      </c>
      <c r="E138" t="s">
        <v>2735</v>
      </c>
      <c r="F138" t="s">
        <v>36</v>
      </c>
      <c r="G138" t="s">
        <v>2681</v>
      </c>
      <c r="H138" s="8" t="s">
        <v>113</v>
      </c>
      <c r="J138" s="16" t="s">
        <v>3294</v>
      </c>
      <c r="K138" t="s">
        <v>20</v>
      </c>
      <c r="L138" t="s">
        <v>2661</v>
      </c>
      <c r="M138">
        <v>-128</v>
      </c>
      <c r="N138">
        <v>127</v>
      </c>
      <c r="O138">
        <v>0.99609375</v>
      </c>
      <c r="P138">
        <v>256</v>
      </c>
      <c r="Q138">
        <v>0.01</v>
      </c>
      <c r="R138" t="s">
        <v>2662</v>
      </c>
    </row>
    <row r="139" spans="1:18" x14ac:dyDescent="0.25">
      <c r="A139" t="s">
        <v>3291</v>
      </c>
      <c r="B139" t="s">
        <v>3292</v>
      </c>
      <c r="C139" t="s">
        <v>3293</v>
      </c>
      <c r="D139" t="s">
        <v>2803</v>
      </c>
      <c r="E139" t="s">
        <v>3287</v>
      </c>
      <c r="F139" t="s">
        <v>2597</v>
      </c>
      <c r="G139" t="s">
        <v>2681</v>
      </c>
      <c r="H139" s="8" t="s">
        <v>113</v>
      </c>
      <c r="J139" s="16" t="s">
        <v>3295</v>
      </c>
      <c r="K139" t="s">
        <v>20</v>
      </c>
      <c r="L139" t="s">
        <v>2661</v>
      </c>
      <c r="M139">
        <v>-128</v>
      </c>
      <c r="N139">
        <v>127</v>
      </c>
      <c r="O139">
        <v>0.99609375</v>
      </c>
      <c r="P139">
        <v>256</v>
      </c>
      <c r="Q139">
        <v>0.01</v>
      </c>
      <c r="R139" t="s">
        <v>2662</v>
      </c>
    </row>
    <row r="140" spans="1:18" x14ac:dyDescent="0.25">
      <c r="A140" t="s">
        <v>3296</v>
      </c>
      <c r="B140" t="s">
        <v>3168</v>
      </c>
      <c r="C140" t="s">
        <v>3169</v>
      </c>
      <c r="D140" t="s">
        <v>2627</v>
      </c>
      <c r="E140" t="s">
        <v>3170</v>
      </c>
      <c r="F140" t="s">
        <v>35</v>
      </c>
      <c r="G140" t="s">
        <v>2720</v>
      </c>
      <c r="H140" s="8" t="s">
        <v>71</v>
      </c>
      <c r="J140" s="16" t="s">
        <v>3297</v>
      </c>
      <c r="K140" t="s">
        <v>14</v>
      </c>
      <c r="L140" t="s">
        <v>2661</v>
      </c>
      <c r="M140">
        <v>-2147483648</v>
      </c>
      <c r="N140">
        <v>2147483647</v>
      </c>
      <c r="O140">
        <v>1</v>
      </c>
      <c r="P140">
        <v>4294967296</v>
      </c>
      <c r="Q140">
        <v>0.01</v>
      </c>
      <c r="R140" t="s">
        <v>2662</v>
      </c>
    </row>
    <row r="141" spans="1:18" x14ac:dyDescent="0.25">
      <c r="A141" t="s">
        <v>3179</v>
      </c>
      <c r="B141" t="s">
        <v>3180</v>
      </c>
      <c r="C141" t="s">
        <v>3181</v>
      </c>
      <c r="D141" t="s">
        <v>2627</v>
      </c>
      <c r="E141" t="s">
        <v>3177</v>
      </c>
      <c r="F141" t="s">
        <v>34</v>
      </c>
      <c r="G141" t="s">
        <v>2809</v>
      </c>
      <c r="H141" s="8" t="s">
        <v>96</v>
      </c>
      <c r="J141" s="16" t="s">
        <v>3323</v>
      </c>
      <c r="K141" t="s">
        <v>14</v>
      </c>
      <c r="L141" t="s">
        <v>2661</v>
      </c>
      <c r="M141">
        <v>-273.14999999999998</v>
      </c>
      <c r="N141">
        <v>1500</v>
      </c>
      <c r="O141">
        <v>6.7089999999999996E-6</v>
      </c>
      <c r="P141">
        <v>4294967296</v>
      </c>
      <c r="Q141">
        <v>0.01</v>
      </c>
      <c r="R141" t="s">
        <v>2662</v>
      </c>
    </row>
  </sheetData>
  <sheetProtection autoFilter="0"/>
  <autoFilter ref="A2:R103"/>
  <mergeCells count="2">
    <mergeCell ref="B1:J1"/>
    <mergeCell ref="K1:R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2">
              <controlPr defaultSize="0" print="0" autoFill="0" autoPict="0" macro="[0]!Call_Signal_Form" altText="Add Signal">
                <anchor moveWithCells="1">
                  <from>
                    <xdr:col>0</xdr:col>
                    <xdr:colOff>76200</xdr:colOff>
                    <xdr:row>0</xdr:row>
                    <xdr:rowOff>76200</xdr:rowOff>
                  </from>
                  <to>
                    <xdr:col>0</xdr:col>
                    <xdr:colOff>1162050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1"/>
  <dimension ref="A1:BR1097"/>
  <sheetViews>
    <sheetView zoomScale="80" zoomScaleNormal="80" zoomScalePageLayoutView="70" workbookViewId="0">
      <pane xSplit="1" ySplit="2" topLeftCell="P99" activePane="bottomRight" state="frozen"/>
      <selection pane="topRight" activeCell="B1" sqref="B1"/>
      <selection pane="bottomLeft" activeCell="A3" sqref="A3"/>
      <selection pane="bottomRight" activeCell="A107" sqref="A107:XFD107"/>
    </sheetView>
  </sheetViews>
  <sheetFormatPr baseColWidth="10" defaultColWidth="11.42578125" defaultRowHeight="15" x14ac:dyDescent="0.25"/>
  <cols>
    <col min="1" max="1" width="53.42578125" customWidth="1"/>
    <col min="2" max="2" width="4.42578125" customWidth="1"/>
    <col min="3" max="3" width="5.42578125" customWidth="1"/>
    <col min="4" max="4" width="28.7109375" bestFit="1" customWidth="1"/>
    <col min="5" max="5" width="33.28515625" customWidth="1"/>
    <col min="6" max="6" width="26" bestFit="1" customWidth="1"/>
    <col min="7" max="7" width="36.140625" bestFit="1" customWidth="1"/>
    <col min="8" max="8" width="15.7109375" bestFit="1" customWidth="1"/>
    <col min="9" max="9" width="26.42578125" bestFit="1" customWidth="1"/>
    <col min="10" max="10" width="29.42578125" bestFit="1" customWidth="1"/>
    <col min="11" max="11" width="29.7109375" bestFit="1" customWidth="1"/>
    <col min="12" max="12" width="20" customWidth="1"/>
    <col min="13" max="13" width="17.7109375" bestFit="1" customWidth="1"/>
    <col min="14" max="14" width="17.28515625" bestFit="1" customWidth="1"/>
    <col min="15" max="15" width="20.42578125" bestFit="1" customWidth="1"/>
    <col min="16" max="16" width="24.42578125" bestFit="1" customWidth="1"/>
    <col min="17" max="17" width="25.7109375" bestFit="1" customWidth="1"/>
    <col min="18" max="18" width="27.28515625" bestFit="1" customWidth="1"/>
    <col min="19" max="19" width="14.42578125" customWidth="1"/>
    <col min="20" max="20" width="28.7109375" customWidth="1"/>
    <col min="21" max="21" width="23.28515625" bestFit="1" customWidth="1"/>
    <col min="22" max="22" width="17.7109375" customWidth="1"/>
    <col min="24" max="24" width="11.7109375" bestFit="1" customWidth="1"/>
    <col min="25" max="25" width="12" bestFit="1" customWidth="1"/>
  </cols>
  <sheetData>
    <row r="1" spans="1:70" ht="18.75" x14ac:dyDescent="0.25">
      <c r="A1" s="83" t="s">
        <v>5</v>
      </c>
      <c r="B1" s="85" t="s">
        <v>1264</v>
      </c>
      <c r="C1" s="85" t="s">
        <v>1644</v>
      </c>
      <c r="D1" s="48"/>
      <c r="E1" s="48"/>
      <c r="F1" s="48"/>
      <c r="G1" s="48"/>
      <c r="H1" s="48"/>
      <c r="I1" s="48"/>
      <c r="J1" s="48"/>
      <c r="K1" s="48"/>
      <c r="L1" s="48"/>
      <c r="M1" s="48"/>
      <c r="N1" s="48"/>
      <c r="O1" s="48"/>
      <c r="P1" s="48"/>
      <c r="Q1" s="48"/>
      <c r="R1" s="48"/>
    </row>
    <row r="2" spans="1:70" s="50" customFormat="1" ht="47.1" customHeight="1" x14ac:dyDescent="0.25">
      <c r="A2" s="84"/>
      <c r="B2" s="86"/>
      <c r="C2" s="86" t="s">
        <v>1264</v>
      </c>
      <c r="D2" s="67" t="str">
        <f ca="1">IF(ISBLANK(INDIRECT("Abbreviation!"&amp;"D"&amp;COLUMN(D1)-2)),"",INDIRECT("Abbreviation!"&amp;"D"&amp;COLUMN(D1)-2))</f>
        <v>Reference Speed Generator</v>
      </c>
      <c r="E2" s="67" t="str">
        <f t="shared" ref="E2:BP2" ca="1" si="0">IF(ISBLANK(INDIRECT("Abbreviation!"&amp;"D"&amp;COLUMN(E1)-2)),"",INDIRECT("Abbreviation!"&amp;"D"&amp;COLUMN(E1)-2))</f>
        <v>Driver Model</v>
      </c>
      <c r="F2" s="67" t="str">
        <f t="shared" ca="1" si="0"/>
        <v>Environment Model</v>
      </c>
      <c r="G2" s="67" t="str">
        <f t="shared" ca="1" si="0"/>
        <v>Longitudinal Vehicle Model</v>
      </c>
      <c r="H2" s="67" t="str">
        <f t="shared" ca="1" si="0"/>
        <v>TCU</v>
      </c>
      <c r="I2" s="67" t="str">
        <f t="shared" ca="1" si="0"/>
        <v>Transmission Model</v>
      </c>
      <c r="J2" s="67" t="str">
        <f t="shared" ca="1" si="0"/>
        <v>ECU</v>
      </c>
      <c r="K2" s="67" t="str">
        <f t="shared" ca="1" si="0"/>
        <v>Emission Estimator And Consumption Optimizer</v>
      </c>
      <c r="L2" s="67" t="str">
        <f t="shared" ca="1" si="0"/>
        <v>Engine Control Unit</v>
      </c>
      <c r="M2" s="67" t="str">
        <f t="shared" ca="1" si="0"/>
        <v>Engine Operating Point Calculation</v>
      </c>
      <c r="N2" s="67" t="str">
        <f t="shared" ca="1" si="0"/>
        <v>Engine Operating Mode Coordinator</v>
      </c>
      <c r="O2" s="67" t="str">
        <f t="shared" ca="1" si="0"/>
        <v>Soft Engine Control Unit</v>
      </c>
      <c r="P2" s="67" t="str">
        <f t="shared" ca="1" si="0"/>
        <v>Engine Model</v>
      </c>
      <c r="Q2" s="67" t="str">
        <f t="shared" ca="1" si="0"/>
        <v>Exhaust Aftertreatment System Model</v>
      </c>
      <c r="R2" s="67" t="str">
        <f t="shared" ca="1" si="0"/>
        <v>VCU</v>
      </c>
      <c r="S2" s="67" t="str">
        <f t="shared" ca="1" si="0"/>
        <v>Auxiliaries Control</v>
      </c>
      <c r="T2" s="67" t="str">
        <f t="shared" ca="1" si="0"/>
        <v>Pneumatic System</v>
      </c>
      <c r="U2" s="67" t="str">
        <f t="shared" ca="1" si="0"/>
        <v>Cooling System</v>
      </c>
      <c r="V2" s="67" t="str">
        <f t="shared" ca="1" si="0"/>
        <v>Air Condition</v>
      </c>
      <c r="W2" s="67" t="str">
        <f t="shared" ca="1" si="0"/>
        <v>Cooling Fan</v>
      </c>
      <c r="X2" s="67" t="str">
        <f t="shared" ca="1" si="0"/>
        <v>Water Pump</v>
      </c>
      <c r="Y2" s="67" t="str">
        <f t="shared" ca="1" si="0"/>
        <v>Electric System</v>
      </c>
      <c r="Z2" s="67" t="str">
        <f t="shared" ca="1" si="0"/>
        <v/>
      </c>
      <c r="AA2" s="67" t="str">
        <f t="shared" ca="1" si="0"/>
        <v/>
      </c>
      <c r="AB2" s="67" t="str">
        <f t="shared" ca="1" si="0"/>
        <v/>
      </c>
      <c r="AC2" s="67" t="str">
        <f t="shared" ca="1" si="0"/>
        <v/>
      </c>
      <c r="AD2" s="67" t="str">
        <f t="shared" ca="1" si="0"/>
        <v/>
      </c>
      <c r="AE2" s="67" t="str">
        <f t="shared" ca="1" si="0"/>
        <v/>
      </c>
      <c r="AF2" s="67" t="str">
        <f t="shared" ca="1" si="0"/>
        <v/>
      </c>
      <c r="AG2" s="67" t="str">
        <f t="shared" ca="1" si="0"/>
        <v/>
      </c>
      <c r="AH2" s="67" t="str">
        <f t="shared" ca="1" si="0"/>
        <v/>
      </c>
      <c r="AI2" s="67" t="str">
        <f t="shared" ca="1" si="0"/>
        <v/>
      </c>
      <c r="AJ2" s="67" t="str">
        <f t="shared" ca="1" si="0"/>
        <v/>
      </c>
      <c r="AK2" s="67" t="str">
        <f t="shared" ca="1" si="0"/>
        <v/>
      </c>
      <c r="AL2" s="67" t="str">
        <f t="shared" ca="1" si="0"/>
        <v/>
      </c>
      <c r="AM2" s="67" t="str">
        <f t="shared" ca="1" si="0"/>
        <v/>
      </c>
      <c r="AN2" s="67" t="str">
        <f t="shared" ca="1" si="0"/>
        <v/>
      </c>
      <c r="AO2" s="67" t="str">
        <f t="shared" ca="1" si="0"/>
        <v/>
      </c>
      <c r="AP2" s="67" t="str">
        <f t="shared" ca="1" si="0"/>
        <v/>
      </c>
      <c r="AQ2" s="67" t="str">
        <f t="shared" ca="1" si="0"/>
        <v/>
      </c>
      <c r="AR2" s="67" t="str">
        <f t="shared" ca="1" si="0"/>
        <v/>
      </c>
      <c r="AS2" s="67" t="str">
        <f t="shared" ca="1" si="0"/>
        <v/>
      </c>
      <c r="AT2" s="67" t="str">
        <f t="shared" ca="1" si="0"/>
        <v/>
      </c>
      <c r="AU2" s="67" t="str">
        <f t="shared" ca="1" si="0"/>
        <v/>
      </c>
      <c r="AV2" s="67" t="str">
        <f t="shared" ca="1" si="0"/>
        <v/>
      </c>
      <c r="AW2" s="67" t="str">
        <f t="shared" ca="1" si="0"/>
        <v/>
      </c>
      <c r="AX2" s="67" t="str">
        <f t="shared" ca="1" si="0"/>
        <v/>
      </c>
      <c r="AY2" s="67" t="str">
        <f t="shared" ca="1" si="0"/>
        <v/>
      </c>
      <c r="AZ2" s="67" t="str">
        <f t="shared" ca="1" si="0"/>
        <v/>
      </c>
      <c r="BA2" s="67" t="str">
        <f t="shared" ca="1" si="0"/>
        <v/>
      </c>
      <c r="BB2" s="67" t="str">
        <f t="shared" ca="1" si="0"/>
        <v/>
      </c>
      <c r="BC2" s="67" t="str">
        <f t="shared" ca="1" si="0"/>
        <v/>
      </c>
      <c r="BD2" s="67" t="str">
        <f t="shared" ca="1" si="0"/>
        <v/>
      </c>
      <c r="BE2" s="67" t="str">
        <f t="shared" ca="1" si="0"/>
        <v/>
      </c>
      <c r="BF2" s="67" t="str">
        <f t="shared" ca="1" si="0"/>
        <v/>
      </c>
      <c r="BG2" s="67" t="str">
        <f t="shared" ca="1" si="0"/>
        <v/>
      </c>
      <c r="BH2" s="67" t="str">
        <f t="shared" ca="1" si="0"/>
        <v/>
      </c>
      <c r="BI2" s="67" t="str">
        <f t="shared" ca="1" si="0"/>
        <v/>
      </c>
      <c r="BJ2" s="67" t="str">
        <f t="shared" ca="1" si="0"/>
        <v/>
      </c>
      <c r="BK2" s="67" t="str">
        <f t="shared" ca="1" si="0"/>
        <v/>
      </c>
      <c r="BL2" s="67" t="str">
        <f t="shared" ca="1" si="0"/>
        <v/>
      </c>
      <c r="BM2" s="67" t="str">
        <f t="shared" ca="1" si="0"/>
        <v/>
      </c>
      <c r="BN2" s="67" t="str">
        <f t="shared" ca="1" si="0"/>
        <v/>
      </c>
      <c r="BO2" s="67" t="str">
        <f t="shared" ca="1" si="0"/>
        <v/>
      </c>
      <c r="BP2" s="67" t="str">
        <f t="shared" ca="1" si="0"/>
        <v/>
      </c>
    </row>
    <row r="3" spans="1:70" x14ac:dyDescent="0.25">
      <c r="A3" s="9" t="str">
        <f>IF(ISBLANK('Signal Definition'!J3),"",'Signal Definition'!J3)</f>
        <v>RefSpdGenr_vRefSpd_CLD</v>
      </c>
      <c r="B3" s="9">
        <f t="array" ref="B3">COUNT(FIND("input",$D3:$CD3))</f>
        <v>1</v>
      </c>
      <c r="C3" s="9">
        <f t="array" ref="C3">COUNT(FIND("output",$D3:$CD3))</f>
        <v>1</v>
      </c>
      <c r="D3" t="s">
        <v>2663</v>
      </c>
      <c r="E3" t="s">
        <v>2683</v>
      </c>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row>
    <row r="4" spans="1:70" x14ac:dyDescent="0.25">
      <c r="A4" s="9" t="str">
        <f>IF(ISBLANK('Signal Definition'!J4),"",'Signal Definition'!J4)</f>
        <v>DrvrMdl_rAPedlPosn_CAN</v>
      </c>
      <c r="B4" s="9">
        <f t="array" ref="B4">COUNT(FIND("input",$D4:$CD4))</f>
        <v>0</v>
      </c>
      <c r="C4" s="9">
        <f t="array" ref="C4">COUNT(FIND("output",$D4:$CD4))</f>
        <v>1</v>
      </c>
      <c r="E4" t="s">
        <v>2663</v>
      </c>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row>
    <row r="5" spans="1:70" x14ac:dyDescent="0.25">
      <c r="A5" s="9" t="str">
        <f>IF(ISBLANK('Signal Definition'!J5),"",'Signal Definition'!J5)</f>
        <v>DrvrMdl_rBrkPedlPosn_CAN</v>
      </c>
      <c r="B5" s="9">
        <f t="array" ref="B5">COUNT(FIND("input",$D5:$CD5))</f>
        <v>4</v>
      </c>
      <c r="C5" s="9">
        <f t="array" ref="C5">COUNT(FIND("output",$D5:$CD5))</f>
        <v>1</v>
      </c>
      <c r="E5" t="s">
        <v>2663</v>
      </c>
      <c r="G5" t="s">
        <v>2683</v>
      </c>
      <c r="J5" t="s">
        <v>2683</v>
      </c>
      <c r="R5" t="s">
        <v>2683</v>
      </c>
      <c r="S5" s="9"/>
      <c r="T5" t="s">
        <v>2683</v>
      </c>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row>
    <row r="6" spans="1:70" x14ac:dyDescent="0.25">
      <c r="A6" s="9" t="str">
        <f>IF(ISBLANK('Signal Definition'!J6),"",'Signal Definition'!J6)</f>
        <v>DrvrMdl_swtCrsCtrlSwt_CAN</v>
      </c>
      <c r="B6" s="9">
        <f t="array" ref="B6">COUNT(FIND("input",$D6:$CD6))</f>
        <v>1</v>
      </c>
      <c r="C6" s="9">
        <f t="array" ref="C6">COUNT(FIND("output",$D6:$CD6))</f>
        <v>1</v>
      </c>
      <c r="E6" t="s">
        <v>2663</v>
      </c>
      <c r="J6" t="s">
        <v>2683</v>
      </c>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row>
    <row r="7" spans="1:70" x14ac:dyDescent="0.25">
      <c r="A7" s="9" t="str">
        <f>IF(ISBLANK('Signal Definition'!J7),"",'Signal Definition'!J7)</f>
        <v>EnvMdl_vWndSpd_PHY</v>
      </c>
      <c r="B7" s="9">
        <f t="array" ref="B7">COUNT(FIND("input",$D7:$CD7))</f>
        <v>1</v>
      </c>
      <c r="C7" s="9">
        <f t="array" ref="C7">COUNT(FIND("output",$D7:$CD7))</f>
        <v>1</v>
      </c>
      <c r="D7" s="49"/>
      <c r="E7" s="9"/>
      <c r="F7" s="9" t="s">
        <v>2663</v>
      </c>
      <c r="G7" s="9" t="s">
        <v>2683</v>
      </c>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row>
    <row r="8" spans="1:70" x14ac:dyDescent="0.25">
      <c r="A8" s="9" t="str">
        <f>IF(ISBLANK('Signal Definition'!J8),"",'Signal Definition'!J8)</f>
        <v>EnvMdl_phiRoadSlop_PHY</v>
      </c>
      <c r="B8" s="9">
        <f t="array" ref="B8">COUNT(FIND("input",$D8:$CD8))</f>
        <v>3</v>
      </c>
      <c r="C8" s="9">
        <f t="array" ref="C8">COUNT(FIND("output",$D8:$CD8))</f>
        <v>1</v>
      </c>
      <c r="F8" t="s">
        <v>2663</v>
      </c>
      <c r="G8" t="s">
        <v>2683</v>
      </c>
      <c r="H8" t="s">
        <v>2683</v>
      </c>
      <c r="R8" t="s">
        <v>2683</v>
      </c>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row>
    <row r="9" spans="1:70" x14ac:dyDescent="0.25">
      <c r="A9" s="9" t="str">
        <f>IF(ISBLANK('Signal Definition'!J9),"",'Signal Definition'!J9)</f>
        <v>LgtVehMdl_omegaWhlSpd_PHY</v>
      </c>
      <c r="B9" s="9">
        <f t="array" ref="B9">COUNT(FIND("input",$D9:$CD9))</f>
        <v>0</v>
      </c>
      <c r="C9" s="9">
        <f t="array" ref="C9">COUNT(FIND("output",$D9:$CD9))</f>
        <v>1</v>
      </c>
      <c r="G9" t="s">
        <v>2663</v>
      </c>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row>
    <row r="10" spans="1:70" x14ac:dyDescent="0.25">
      <c r="A10" s="9" t="str">
        <f>IF(ISBLANK('Signal Definition'!J10),"",'Signal Definition'!J10)</f>
        <v>LgtVehMdl_trqTotBrkRAtWhl_PHY</v>
      </c>
      <c r="B10" s="9">
        <f t="array" ref="B10">COUNT(FIND("input",$D10:$CD10))</f>
        <v>0</v>
      </c>
      <c r="C10" s="9">
        <f t="array" ref="C10">COUNT(FIND("output",$D10:$CD10))</f>
        <v>1</v>
      </c>
      <c r="D10" s="49"/>
      <c r="E10" s="9"/>
      <c r="F10" s="9"/>
      <c r="G10" s="9" t="s">
        <v>2663</v>
      </c>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row>
    <row r="11" spans="1:70" x14ac:dyDescent="0.25">
      <c r="A11" s="9" t="str">
        <f>IF(ISBLANK('Signal Definition'!J11),"",'Signal Definition'!J11)</f>
        <v>LgtVehMdl_vVehSpd_PHY</v>
      </c>
      <c r="B11" s="9">
        <f t="array" ref="B11">COUNT(FIND("input",$D11:$CD11))</f>
        <v>5</v>
      </c>
      <c r="C11" s="9">
        <f t="array" ref="C11">COUNT(FIND("output",$D11:$CD11))</f>
        <v>1</v>
      </c>
      <c r="E11" t="s">
        <v>2683</v>
      </c>
      <c r="G11" t="s">
        <v>2663</v>
      </c>
      <c r="H11" t="s">
        <v>2683</v>
      </c>
      <c r="I11" t="s">
        <v>2683</v>
      </c>
      <c r="J11" t="s">
        <v>2683</v>
      </c>
      <c r="R11" t="s">
        <v>2683</v>
      </c>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row>
    <row r="12" spans="1:70" x14ac:dyDescent="0.25">
      <c r="A12" s="9" t="str">
        <f>IF(ISBLANK('Signal Definition'!J12),"",'Signal Definition'!J12)</f>
        <v>LgtVehMdl_lDstTrvld_PHY</v>
      </c>
      <c r="B12" s="9">
        <f t="array" ref="B12">COUNT(FIND("input",$D12:$CD12))</f>
        <v>0</v>
      </c>
      <c r="C12" s="9">
        <f t="array" ref="C12">COUNT(FIND("output",$D12:$CD12))</f>
        <v>1</v>
      </c>
      <c r="D12" s="9"/>
      <c r="E12" s="9"/>
      <c r="F12" s="9"/>
      <c r="G12" s="9" t="s">
        <v>2663</v>
      </c>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row>
    <row r="13" spans="1:70" x14ac:dyDescent="0.25">
      <c r="A13" s="9" t="str">
        <f>IF(ISBLANK('Signal Definition'!J13),"",'Signal Definition'!J13)</f>
        <v>ECU_numOperModAct_CAN</v>
      </c>
      <c r="B13" s="9">
        <f t="array" ref="B13">COUNT(FIND("input",$D13:$CD13))</f>
        <v>1</v>
      </c>
      <c r="C13" s="9">
        <f t="array" ref="C13">COUNT(FIND("output",$D13:$CD13))</f>
        <v>1</v>
      </c>
      <c r="J13" t="s">
        <v>2663</v>
      </c>
      <c r="K13" t="s">
        <v>2683</v>
      </c>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row>
    <row r="14" spans="1:70" x14ac:dyDescent="0.25">
      <c r="A14" s="9" t="str">
        <f>IF(ISBLANK('Signal Definition'!J14),"",'Signal Definition'!J14)</f>
        <v>ECU_qInjTot_PHY</v>
      </c>
      <c r="B14" s="9">
        <f t="array" ref="B14">COUNT(FIND("input",$D14:$CD14))</f>
        <v>1</v>
      </c>
      <c r="C14" s="9">
        <f t="array" ref="C14">COUNT(FIND("output",$D14:$CD14))</f>
        <v>1</v>
      </c>
      <c r="J14" t="s">
        <v>2663</v>
      </c>
      <c r="P14" t="s">
        <v>2683</v>
      </c>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row>
    <row r="15" spans="1:70" x14ac:dyDescent="0.25">
      <c r="A15" s="9" t="str">
        <f>IF(ISBLANK('Signal Definition'!J15),"",'Signal Definition'!J15)</f>
        <v>ECU_qInjMai1_PHY</v>
      </c>
      <c r="B15" s="9">
        <f t="array" ref="B15">COUNT(FIND("input",$D15:$CD15))</f>
        <v>1</v>
      </c>
      <c r="C15" s="9">
        <f t="array" ref="C15">COUNT(FIND("output",$D15:$CD15))</f>
        <v>1</v>
      </c>
      <c r="J15" t="s">
        <v>2663</v>
      </c>
      <c r="P15" t="s">
        <v>2683</v>
      </c>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row>
    <row r="16" spans="1:70" x14ac:dyDescent="0.25">
      <c r="A16" s="9" t="str">
        <f>IF(ISBLANK('Signal Definition'!J16),"",'Signal Definition'!J16)</f>
        <v>ECU_qInjPil1_PHY</v>
      </c>
      <c r="B16" s="9">
        <f t="array" ref="B16">COUNT(FIND("input",$D16:$CD16))</f>
        <v>1</v>
      </c>
      <c r="C16" s="9">
        <f t="array" ref="C16">COUNT(FIND("output",$D16:$CD16))</f>
        <v>1</v>
      </c>
      <c r="J16" t="s">
        <v>2663</v>
      </c>
      <c r="P16" t="s">
        <v>2683</v>
      </c>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row>
    <row r="17" spans="1:70" x14ac:dyDescent="0.25">
      <c r="A17" s="9" t="str">
        <f>IF(ISBLANK('Signal Definition'!J17),"",'Signal Definition'!J17)</f>
        <v>ECU_qInjPil2_PHY</v>
      </c>
      <c r="B17" s="9">
        <f t="array" ref="B17">COUNT(FIND("input",$D17:$CD17))</f>
        <v>1</v>
      </c>
      <c r="C17" s="9">
        <f t="array" ref="C17">COUNT(FIND("output",$D17:$CD17))</f>
        <v>1</v>
      </c>
      <c r="J17" t="s">
        <v>2663</v>
      </c>
      <c r="P17" t="s">
        <v>2683</v>
      </c>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row>
    <row r="18" spans="1:70" x14ac:dyDescent="0.25">
      <c r="A18" s="9" t="str">
        <f>IF(ISBLANK('Signal Definition'!J18),"",'Signal Definition'!J18)</f>
        <v>ECU_qInjPost1_PHY</v>
      </c>
      <c r="B18" s="9">
        <f t="array" ref="B18">COUNT(FIND("input",$D18:$CD18))</f>
        <v>1</v>
      </c>
      <c r="C18" s="9">
        <f t="array" ref="C18">COUNT(FIND("output",$D18:$CD18))</f>
        <v>1</v>
      </c>
      <c r="J18" t="s">
        <v>2663</v>
      </c>
      <c r="P18" t="s">
        <v>2683</v>
      </c>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row>
    <row r="19" spans="1:70" x14ac:dyDescent="0.25">
      <c r="A19" s="9" t="str">
        <f>IF(ISBLANK('Signal Definition'!J19),"",'Signal Definition'!J19)</f>
        <v>ECU_qInjPost2_PHY</v>
      </c>
      <c r="B19" s="9">
        <f t="array" ref="B19">COUNT(FIND("input",$D19:$CD19))</f>
        <v>1</v>
      </c>
      <c r="C19" s="9">
        <f t="array" ref="C19">COUNT(FIND("output",$D19:$CD19))</f>
        <v>1</v>
      </c>
      <c r="J19" t="s">
        <v>2663</v>
      </c>
      <c r="P19" t="s">
        <v>2683</v>
      </c>
      <c r="R19" s="9"/>
      <c r="S19" s="9"/>
      <c r="T19" s="9"/>
      <c r="U19" s="9"/>
      <c r="V19" s="9"/>
      <c r="W19" s="9"/>
      <c r="X19" s="9"/>
      <c r="Y19" s="9"/>
      <c r="Z19" s="9"/>
      <c r="AA19" s="9"/>
      <c r="AB19" s="9"/>
      <c r="AC19" s="9"/>
      <c r="AD19" s="9"/>
      <c r="AE19" s="9"/>
      <c r="AF19" s="9"/>
      <c r="AG19" s="9"/>
      <c r="AH19" s="9"/>
      <c r="AI19" s="9"/>
      <c r="AJ19" s="9"/>
      <c r="AK19" s="9"/>
      <c r="AL19" s="9"/>
      <c r="AM19" s="9"/>
      <c r="AN19" s="9"/>
      <c r="AO19" s="9"/>
      <c r="AP19" s="9"/>
      <c r="AQ19" s="9"/>
      <c r="AR19" s="9"/>
      <c r="AS19" s="9"/>
      <c r="AT19" s="9"/>
      <c r="AU19" s="9"/>
      <c r="AV19" s="9"/>
      <c r="AW19" s="9"/>
      <c r="AX19" s="9"/>
      <c r="AY19" s="9"/>
      <c r="AZ19" s="9"/>
      <c r="BA19" s="9"/>
      <c r="BB19" s="9"/>
      <c r="BC19" s="9"/>
      <c r="BD19" s="9"/>
      <c r="BE19" s="9"/>
      <c r="BF19" s="9"/>
      <c r="BG19" s="9"/>
      <c r="BH19" s="9"/>
      <c r="BI19" s="9"/>
      <c r="BJ19" s="9"/>
      <c r="BK19" s="9"/>
      <c r="BL19" s="9"/>
      <c r="BM19" s="9"/>
      <c r="BN19" s="9"/>
      <c r="BO19" s="9"/>
      <c r="BP19" s="9"/>
      <c r="BQ19" s="9"/>
      <c r="BR19" s="9"/>
    </row>
    <row r="20" spans="1:70" x14ac:dyDescent="0.25">
      <c r="A20" s="9" t="str">
        <f>IF(ISBLANK('Signal Definition'!J20),"",'Signal Definition'!J20)</f>
        <v>ECU_phiInjMai1_PHY</v>
      </c>
      <c r="B20" s="9">
        <f t="array" ref="B20">COUNT(FIND("input",$D20:$CD20))</f>
        <v>1</v>
      </c>
      <c r="C20" s="9">
        <f t="array" ref="C20">COUNT(FIND("output",$D20:$CD20))</f>
        <v>1</v>
      </c>
      <c r="J20" t="s">
        <v>2663</v>
      </c>
      <c r="P20" t="s">
        <v>2683</v>
      </c>
      <c r="R20" s="9"/>
      <c r="S20" s="9"/>
      <c r="T20" s="9"/>
      <c r="U20" s="9"/>
      <c r="V20" s="9"/>
      <c r="W20" s="9"/>
      <c r="X20" s="9"/>
      <c r="Y20" s="9"/>
      <c r="Z20" s="9"/>
      <c r="AA20" s="9"/>
      <c r="AB20" s="9"/>
      <c r="AC20" s="9"/>
      <c r="AD20" s="9"/>
      <c r="AE20" s="9"/>
      <c r="AF20" s="9"/>
      <c r="AG20" s="9"/>
      <c r="AH20" s="9"/>
      <c r="AI20" s="9"/>
      <c r="AJ20" s="9"/>
      <c r="AK20" s="9"/>
      <c r="AL20" s="9"/>
      <c r="AM20" s="9"/>
      <c r="AN20" s="9"/>
      <c r="AO20" s="9"/>
      <c r="AP20" s="9"/>
      <c r="AQ20" s="9"/>
      <c r="AR20" s="9"/>
      <c r="AS20" s="9"/>
      <c r="AT20" s="9"/>
      <c r="AU20" s="9"/>
      <c r="AV20" s="9"/>
      <c r="AW20" s="9"/>
      <c r="AX20" s="9"/>
      <c r="AY20" s="9"/>
      <c r="AZ20" s="9"/>
      <c r="BA20" s="9"/>
      <c r="BB20" s="9"/>
      <c r="BC20" s="9"/>
      <c r="BD20" s="9"/>
      <c r="BE20" s="9"/>
      <c r="BF20" s="9"/>
      <c r="BG20" s="9"/>
      <c r="BH20" s="9"/>
      <c r="BI20" s="9"/>
      <c r="BJ20" s="9"/>
      <c r="BK20" s="9"/>
      <c r="BL20" s="9"/>
      <c r="BM20" s="9"/>
      <c r="BN20" s="9"/>
      <c r="BO20" s="9"/>
      <c r="BP20" s="9"/>
      <c r="BQ20" s="9"/>
      <c r="BR20" s="9"/>
    </row>
    <row r="21" spans="1:70" x14ac:dyDescent="0.25">
      <c r="A21" s="9" t="str">
        <f>IF(ISBLANK('Signal Definition'!J21),"",'Signal Definition'!J21)</f>
        <v>ECU_phiInjPil1_PHY</v>
      </c>
      <c r="B21" s="9">
        <f t="array" ref="B21">COUNT(FIND("input",$D21:$CD21))</f>
        <v>1</v>
      </c>
      <c r="C21" s="9">
        <f t="array" ref="C21">COUNT(FIND("output",$D21:$CD21))</f>
        <v>1</v>
      </c>
      <c r="J21" t="s">
        <v>2663</v>
      </c>
      <c r="P21" t="s">
        <v>2683</v>
      </c>
      <c r="R21" s="9"/>
      <c r="S21" s="9"/>
      <c r="T21" s="9"/>
      <c r="U21" s="9"/>
      <c r="V21" s="9"/>
      <c r="W21" s="9"/>
      <c r="X21" s="9"/>
      <c r="Y21" s="9"/>
      <c r="Z21" s="9"/>
      <c r="AA21" s="9"/>
      <c r="AB21" s="9"/>
      <c r="AC21" s="9"/>
      <c r="AD21" s="9"/>
      <c r="AE21" s="9"/>
      <c r="AF21" s="9"/>
      <c r="AG21" s="9"/>
      <c r="AH21" s="9"/>
      <c r="AI21" s="9"/>
      <c r="AJ21" s="9"/>
      <c r="AK21" s="9"/>
      <c r="AL21" s="9"/>
      <c r="AM21" s="9"/>
      <c r="AN21" s="9"/>
      <c r="AO21" s="9"/>
      <c r="AP21" s="9"/>
      <c r="AQ21" s="9"/>
      <c r="AR21" s="9"/>
      <c r="AS21" s="9"/>
      <c r="AT21" s="9"/>
      <c r="AU21" s="9"/>
      <c r="AV21" s="9"/>
      <c r="AW21" s="9"/>
      <c r="AX21" s="9"/>
      <c r="AY21" s="9"/>
      <c r="AZ21" s="9"/>
      <c r="BA21" s="9"/>
      <c r="BB21" s="9"/>
      <c r="BC21" s="9"/>
      <c r="BD21" s="9"/>
      <c r="BE21" s="9"/>
      <c r="BF21" s="9"/>
      <c r="BG21" s="9"/>
      <c r="BH21" s="9"/>
      <c r="BI21" s="9"/>
      <c r="BJ21" s="9"/>
      <c r="BK21" s="9"/>
      <c r="BL21" s="9"/>
      <c r="BM21" s="9"/>
      <c r="BN21" s="9"/>
      <c r="BO21" s="9"/>
      <c r="BP21" s="9"/>
      <c r="BQ21" s="9"/>
      <c r="BR21" s="9"/>
    </row>
    <row r="22" spans="1:70" x14ac:dyDescent="0.25">
      <c r="A22" s="9" t="str">
        <f>IF(ISBLANK('Signal Definition'!J22),"",'Signal Definition'!J22)</f>
        <v>ECU_phiInjPil2_PHY</v>
      </c>
      <c r="B22" s="9">
        <f t="array" ref="B22">COUNT(FIND("input",$D22:$CD22))</f>
        <v>1</v>
      </c>
      <c r="C22" s="9">
        <f t="array" ref="C22">COUNT(FIND("output",$D22:$CD22))</f>
        <v>1</v>
      </c>
      <c r="J22" t="s">
        <v>2663</v>
      </c>
      <c r="P22" t="s">
        <v>2683</v>
      </c>
      <c r="R22" s="9"/>
      <c r="S22" s="9"/>
      <c r="T22" s="9"/>
      <c r="U22" s="9"/>
      <c r="V22" s="9"/>
      <c r="W22" s="9"/>
      <c r="X22" s="9"/>
      <c r="Y22" s="9"/>
      <c r="Z22" s="9"/>
      <c r="AA22" s="9"/>
      <c r="AB22" s="9"/>
      <c r="AC22" s="9"/>
      <c r="AD22" s="9"/>
      <c r="AE22" s="9"/>
      <c r="AF22" s="9"/>
      <c r="AG22" s="9"/>
      <c r="AH22" s="9"/>
      <c r="AI22" s="9"/>
      <c r="AJ22" s="9"/>
      <c r="AK22" s="9"/>
      <c r="AL22" s="9"/>
      <c r="AM22" s="9"/>
      <c r="AN22" s="9"/>
      <c r="AO22" s="9"/>
      <c r="AP22" s="9"/>
      <c r="AQ22" s="9"/>
      <c r="AR22" s="9"/>
      <c r="AS22" s="9"/>
      <c r="AT22" s="9"/>
      <c r="AU22" s="9"/>
      <c r="AV22" s="9"/>
      <c r="AW22" s="9"/>
      <c r="AX22" s="9"/>
      <c r="AY22" s="9"/>
      <c r="AZ22" s="9"/>
      <c r="BA22" s="9"/>
      <c r="BB22" s="9"/>
      <c r="BC22" s="9"/>
      <c r="BD22" s="9"/>
      <c r="BE22" s="9"/>
      <c r="BF22" s="9"/>
      <c r="BG22" s="9"/>
      <c r="BH22" s="9"/>
      <c r="BI22" s="9"/>
      <c r="BJ22" s="9"/>
      <c r="BK22" s="9"/>
      <c r="BL22" s="9"/>
      <c r="BM22" s="9"/>
      <c r="BN22" s="9"/>
      <c r="BO22" s="9"/>
      <c r="BP22" s="9"/>
      <c r="BQ22" s="9"/>
      <c r="BR22" s="9"/>
    </row>
    <row r="23" spans="1:70" x14ac:dyDescent="0.25">
      <c r="A23" s="9" t="str">
        <f>IF(ISBLANK('Signal Definition'!J23),"",'Signal Definition'!J23)</f>
        <v>ECU_phiInjPost1_PHY</v>
      </c>
      <c r="B23" s="9">
        <f t="array" ref="B23">COUNT(FIND("input",$D23:$CD23))</f>
        <v>1</v>
      </c>
      <c r="C23" s="9">
        <f t="array" ref="C23">COUNT(FIND("output",$D23:$CD23))</f>
        <v>1</v>
      </c>
      <c r="J23" t="s">
        <v>2663</v>
      </c>
      <c r="P23" t="s">
        <v>2683</v>
      </c>
      <c r="R23" s="9"/>
      <c r="S23" s="9"/>
      <c r="T23" s="9"/>
      <c r="U23" s="9"/>
      <c r="V23" s="9"/>
      <c r="W23" s="9"/>
      <c r="X23" s="9"/>
      <c r="Y23" s="9"/>
      <c r="Z23" s="9"/>
      <c r="AA23" s="9"/>
      <c r="AB23" s="9"/>
      <c r="AC23" s="9"/>
      <c r="AD23" s="9"/>
      <c r="AE23" s="9"/>
      <c r="AF23" s="9"/>
      <c r="AG23" s="9"/>
      <c r="AH23" s="9"/>
      <c r="AI23" s="9"/>
      <c r="AJ23" s="9"/>
      <c r="AK23" s="9"/>
      <c r="AL23" s="9"/>
      <c r="AM23" s="9"/>
      <c r="AN23" s="9"/>
      <c r="AO23" s="9"/>
      <c r="AP23" s="9"/>
      <c r="AQ23" s="9"/>
      <c r="AR23" s="9"/>
      <c r="AS23" s="9"/>
      <c r="AT23" s="9"/>
      <c r="AU23" s="9"/>
      <c r="AV23" s="9"/>
      <c r="AW23" s="9"/>
      <c r="AX23" s="9"/>
      <c r="AY23" s="9"/>
      <c r="AZ23" s="9"/>
      <c r="BA23" s="9"/>
      <c r="BB23" s="9"/>
      <c r="BC23" s="9"/>
      <c r="BD23" s="9"/>
      <c r="BE23" s="9"/>
      <c r="BF23" s="9"/>
      <c r="BG23" s="9"/>
      <c r="BH23" s="9"/>
      <c r="BI23" s="9"/>
      <c r="BJ23" s="9"/>
      <c r="BK23" s="9"/>
      <c r="BL23" s="9"/>
      <c r="BM23" s="9"/>
      <c r="BN23" s="9"/>
      <c r="BO23" s="9"/>
      <c r="BP23" s="9"/>
      <c r="BQ23" s="9"/>
      <c r="BR23" s="9"/>
    </row>
    <row r="24" spans="1:70" x14ac:dyDescent="0.25">
      <c r="A24" s="9" t="str">
        <f>IF(ISBLANK('Signal Definition'!J24),"",'Signal Definition'!J24)</f>
        <v>ECU_phiInjPost2_PHY</v>
      </c>
      <c r="B24" s="9">
        <f t="array" ref="B24">COUNT(FIND("input",$D24:$CD24))</f>
        <v>1</v>
      </c>
      <c r="C24" s="9">
        <f t="array" ref="C24">COUNT(FIND("output",$D24:$CD24))</f>
        <v>1</v>
      </c>
      <c r="J24" t="s">
        <v>2663</v>
      </c>
      <c r="P24" t="s">
        <v>2683</v>
      </c>
      <c r="R24" s="9"/>
      <c r="S24" s="9"/>
      <c r="T24" s="9"/>
      <c r="U24" s="9"/>
      <c r="V24" s="9"/>
      <c r="W24" s="9"/>
      <c r="X24" s="9"/>
      <c r="Y24" s="9"/>
      <c r="Z24" s="9"/>
      <c r="AA24" s="9"/>
      <c r="AB24" s="9"/>
      <c r="AC24" s="9"/>
      <c r="AD24" s="9"/>
      <c r="AE24" s="9"/>
      <c r="AF24" s="9"/>
      <c r="AG24" s="9"/>
      <c r="AH24" s="9"/>
      <c r="AI24" s="9"/>
      <c r="AJ24" s="9"/>
      <c r="AK24" s="9"/>
      <c r="AL24" s="9"/>
      <c r="AM24" s="9"/>
      <c r="AN24" s="9"/>
      <c r="AO24" s="9"/>
      <c r="AP24" s="9"/>
      <c r="AQ24" s="9"/>
      <c r="AR24" s="9"/>
      <c r="AS24" s="9"/>
      <c r="AT24" s="9"/>
      <c r="AU24" s="9"/>
      <c r="AV24" s="9"/>
      <c r="AW24" s="9"/>
      <c r="AX24" s="9"/>
      <c r="AY24" s="9"/>
      <c r="AZ24" s="9"/>
      <c r="BA24" s="9"/>
      <c r="BB24" s="9"/>
      <c r="BC24" s="9"/>
      <c r="BD24" s="9"/>
      <c r="BE24" s="9"/>
      <c r="BF24" s="9"/>
      <c r="BG24" s="9"/>
      <c r="BH24" s="9"/>
      <c r="BI24" s="9"/>
      <c r="BJ24" s="9"/>
      <c r="BK24" s="9"/>
      <c r="BL24" s="9"/>
      <c r="BM24" s="9"/>
      <c r="BN24" s="9"/>
      <c r="BO24" s="9"/>
      <c r="BP24" s="9"/>
      <c r="BQ24" s="9"/>
      <c r="BR24" s="9"/>
    </row>
    <row r="25" spans="1:70" x14ac:dyDescent="0.25">
      <c r="A25" s="9" t="str">
        <f>IF(ISBLANK('Signal Definition'!J25),"",'Signal Definition'!J25)</f>
        <v>ECU_pFuRailDes_PHY</v>
      </c>
      <c r="B25" s="9">
        <f t="array" ref="B25">COUNT(FIND("input",$D25:$CD25))</f>
        <v>1</v>
      </c>
      <c r="C25" s="9">
        <f t="array" ref="C25">COUNT(FIND("output",$D25:$CD25))</f>
        <v>1</v>
      </c>
      <c r="J25" t="s">
        <v>2663</v>
      </c>
      <c r="P25" t="s">
        <v>2683</v>
      </c>
      <c r="R25" s="9"/>
      <c r="S25" s="9"/>
      <c r="T25" s="9"/>
      <c r="U25" s="9"/>
      <c r="V25" s="9"/>
      <c r="W25" s="9"/>
      <c r="X25" s="9"/>
      <c r="Y25" s="9"/>
      <c r="Z25" s="9"/>
      <c r="AA25" s="9"/>
      <c r="AB25" s="9"/>
      <c r="AC25" s="9"/>
      <c r="AD25" s="9"/>
      <c r="AE25" s="9"/>
      <c r="AF25" s="9"/>
      <c r="AG25" s="9"/>
      <c r="AH25" s="9"/>
      <c r="AI25" s="9"/>
      <c r="AJ25" s="9"/>
      <c r="AK25" s="9"/>
      <c r="AL25" s="9"/>
      <c r="AM25" s="9"/>
      <c r="AN25" s="9"/>
      <c r="AO25" s="9"/>
      <c r="AP25" s="9"/>
      <c r="AQ25" s="9"/>
      <c r="AR25" s="9"/>
      <c r="AS25" s="9"/>
      <c r="AT25" s="9"/>
      <c r="AU25" s="9"/>
      <c r="AV25" s="9"/>
      <c r="AW25" s="9"/>
      <c r="AX25" s="9"/>
      <c r="AY25" s="9"/>
      <c r="AZ25" s="9"/>
      <c r="BA25" s="9"/>
      <c r="BB25" s="9"/>
      <c r="BC25" s="9"/>
      <c r="BD25" s="9"/>
      <c r="BE25" s="9"/>
      <c r="BF25" s="9"/>
      <c r="BG25" s="9"/>
      <c r="BH25" s="9"/>
      <c r="BI25" s="9"/>
      <c r="BJ25" s="9"/>
      <c r="BK25" s="9"/>
      <c r="BL25" s="9"/>
      <c r="BM25" s="9"/>
      <c r="BN25" s="9"/>
      <c r="BO25" s="9"/>
      <c r="BP25" s="9"/>
      <c r="BQ25" s="9"/>
      <c r="BR25" s="9"/>
    </row>
    <row r="26" spans="1:70" x14ac:dyDescent="0.25">
      <c r="A26" s="9" t="str">
        <f>IF(ISBLANK('Signal Definition'!J26),"",'Signal Definition'!J26)</f>
        <v>EmiEstimrAndCnsOptmr_numEngOperMod_ETK</v>
      </c>
      <c r="B26" s="9">
        <f t="array" ref="B26">COUNT(FIND("input",$D26:$CD26))</f>
        <v>0</v>
      </c>
      <c r="C26" s="9">
        <f t="array" ref="C26">COUNT(FIND("output",$D26:$CD26))</f>
        <v>1</v>
      </c>
      <c r="K26" t="s">
        <v>2663</v>
      </c>
      <c r="S26" s="9"/>
      <c r="T26" s="9"/>
      <c r="U26" s="9"/>
      <c r="V26" s="9"/>
      <c r="W26" s="9"/>
      <c r="X26" s="9"/>
      <c r="Y26" s="9"/>
      <c r="Z26" s="9"/>
      <c r="AA26" s="9"/>
      <c r="AB26" s="9"/>
      <c r="AC26" s="9"/>
      <c r="AD26" s="9"/>
      <c r="AE26" s="9"/>
      <c r="AF26" s="9"/>
      <c r="AG26" s="9"/>
      <c r="AH26" s="9"/>
      <c r="AI26" s="9"/>
      <c r="AJ26" s="9"/>
      <c r="AK26" s="9"/>
      <c r="AL26" s="9"/>
      <c r="AM26" s="9"/>
      <c r="AN26" s="9"/>
      <c r="AO26" s="9"/>
      <c r="AP26" s="9"/>
      <c r="AQ26" s="9"/>
      <c r="AR26" s="9"/>
      <c r="AS26" s="9"/>
      <c r="AT26" s="9"/>
      <c r="AU26" s="9"/>
      <c r="AV26" s="9"/>
      <c r="AW26" s="9"/>
      <c r="AX26" s="9"/>
      <c r="AY26" s="9"/>
      <c r="AZ26" s="9"/>
      <c r="BA26" s="9"/>
      <c r="BB26" s="9"/>
      <c r="BC26" s="9"/>
      <c r="BD26" s="9"/>
      <c r="BE26" s="9"/>
      <c r="BF26" s="9"/>
      <c r="BG26" s="9"/>
      <c r="BH26" s="9"/>
      <c r="BI26" s="9"/>
      <c r="BJ26" s="9"/>
      <c r="BK26" s="9"/>
      <c r="BL26" s="9"/>
      <c r="BM26" s="9"/>
      <c r="BN26" s="9"/>
      <c r="BO26" s="9"/>
      <c r="BP26" s="9"/>
      <c r="BQ26" s="9"/>
      <c r="BR26" s="9"/>
    </row>
    <row r="27" spans="1:70" x14ac:dyDescent="0.25">
      <c r="A27" s="9" t="str">
        <f>IF(ISBLANK('Signal Definition'!J27),"",'Signal Definition'!J27)</f>
        <v>EngMdl_tExhT_PHY</v>
      </c>
      <c r="B27" s="9">
        <f t="array" ref="B27">COUNT(FIND("input",$D27:$CD27))</f>
        <v>1</v>
      </c>
      <c r="C27" s="9">
        <f t="array" ref="C27">COUNT(FIND("output",$D27:$CD27))</f>
        <v>1</v>
      </c>
      <c r="D27" s="9"/>
      <c r="E27" s="9"/>
      <c r="F27" s="9"/>
      <c r="G27" s="9"/>
      <c r="H27" s="9"/>
      <c r="I27" s="9"/>
      <c r="J27" s="9"/>
      <c r="K27" s="9"/>
      <c r="L27" s="9"/>
      <c r="M27" s="9"/>
      <c r="N27" s="9"/>
      <c r="O27" s="9"/>
      <c r="P27" s="9" t="s">
        <v>2663</v>
      </c>
      <c r="Q27" s="9" t="s">
        <v>2683</v>
      </c>
      <c r="R27" s="9"/>
      <c r="S27" s="9"/>
      <c r="T27" s="9"/>
      <c r="U27" s="9"/>
      <c r="V27" s="9"/>
      <c r="W27" s="9"/>
      <c r="X27" s="9"/>
      <c r="Y27" s="9"/>
      <c r="Z27" s="9"/>
      <c r="AA27" s="9"/>
      <c r="AB27" s="9"/>
      <c r="AC27" s="9"/>
      <c r="AD27" s="9"/>
      <c r="AE27" s="9"/>
      <c r="AF27" s="9"/>
      <c r="AG27" s="9"/>
      <c r="AH27" s="9"/>
      <c r="AI27" s="9"/>
      <c r="AJ27" s="9"/>
      <c r="AK27" s="9"/>
      <c r="AL27" s="9"/>
      <c r="AM27" s="9"/>
      <c r="AN27" s="9"/>
      <c r="AO27" s="9"/>
      <c r="AP27" s="9"/>
      <c r="AQ27" s="9"/>
      <c r="AR27" s="9"/>
      <c r="AS27" s="9"/>
      <c r="AT27" s="9"/>
      <c r="AU27" s="9"/>
      <c r="AV27" s="9"/>
      <c r="AW27" s="9"/>
      <c r="AX27" s="9"/>
      <c r="AY27" s="9"/>
      <c r="AZ27" s="9"/>
      <c r="BA27" s="9"/>
      <c r="BB27" s="9"/>
      <c r="BC27" s="9"/>
      <c r="BD27" s="9"/>
      <c r="BE27" s="9"/>
      <c r="BF27" s="9"/>
      <c r="BG27" s="9"/>
      <c r="BH27" s="9"/>
      <c r="BI27" s="9"/>
      <c r="BJ27" s="9"/>
      <c r="BK27" s="9"/>
      <c r="BL27" s="9"/>
      <c r="BM27" s="9"/>
      <c r="BN27" s="9"/>
      <c r="BO27" s="9"/>
      <c r="BP27" s="9"/>
      <c r="BQ27" s="9"/>
      <c r="BR27" s="9"/>
    </row>
    <row r="28" spans="1:70" x14ac:dyDescent="0.25">
      <c r="A28" s="9" t="str">
        <f>IF(ISBLANK('Signal Definition'!J28),"",'Signal Definition'!J28)</f>
        <v>EngMdl_pMaxCylP_PHY</v>
      </c>
      <c r="B28" s="9">
        <f t="array" ref="B28">COUNT(FIND("input",$D28:$CD28))</f>
        <v>0</v>
      </c>
      <c r="C28" s="9">
        <f t="array" ref="C28">COUNT(FIND("output",$D28:$CD28))</f>
        <v>1</v>
      </c>
      <c r="D28" s="9"/>
      <c r="E28" s="9"/>
      <c r="F28" s="9"/>
      <c r="G28" s="9"/>
      <c r="H28" s="9"/>
      <c r="I28" s="9"/>
      <c r="J28" s="9"/>
      <c r="K28" s="9"/>
      <c r="L28" s="9"/>
      <c r="M28" s="9"/>
      <c r="N28" s="9"/>
      <c r="O28" s="9"/>
      <c r="P28" s="9" t="s">
        <v>2663</v>
      </c>
      <c r="Q28" s="9"/>
      <c r="R28" s="9"/>
      <c r="S28" s="9"/>
      <c r="T28" s="9"/>
      <c r="U28" s="9"/>
      <c r="V28" s="9"/>
      <c r="W28" s="9"/>
      <c r="X28" s="9"/>
      <c r="Y28" s="9"/>
      <c r="Z28" s="9"/>
      <c r="AA28" s="9"/>
      <c r="AB28" s="9"/>
      <c r="AC28" s="9"/>
      <c r="AD28" s="9"/>
      <c r="AE28" s="9"/>
      <c r="AF28" s="9"/>
      <c r="AG28" s="9"/>
      <c r="AH28" s="9"/>
      <c r="AI28" s="9"/>
      <c r="AJ28" s="9"/>
      <c r="AK28" s="9"/>
      <c r="AL28" s="9"/>
      <c r="AM28" s="9"/>
      <c r="AN28" s="9"/>
      <c r="AO28" s="9"/>
      <c r="AP28" s="9"/>
      <c r="AQ28" s="9"/>
      <c r="AR28" s="9"/>
      <c r="AS28" s="9"/>
      <c r="AT28" s="9"/>
      <c r="AU28" s="9"/>
      <c r="AV28" s="9"/>
      <c r="AW28" s="9"/>
      <c r="AX28" s="9"/>
      <c r="AY28" s="9"/>
      <c r="AZ28" s="9"/>
      <c r="BA28" s="9"/>
      <c r="BB28" s="9"/>
      <c r="BC28" s="9"/>
      <c r="BD28" s="9"/>
      <c r="BE28" s="9"/>
      <c r="BF28" s="9"/>
      <c r="BG28" s="9"/>
      <c r="BH28" s="9"/>
      <c r="BI28" s="9"/>
      <c r="BJ28" s="9"/>
      <c r="BK28" s="9"/>
      <c r="BL28" s="9"/>
      <c r="BM28" s="9"/>
      <c r="BN28" s="9"/>
      <c r="BO28" s="9"/>
      <c r="BP28" s="9"/>
      <c r="BQ28" s="9"/>
      <c r="BR28" s="9"/>
    </row>
    <row r="29" spans="1:70" x14ac:dyDescent="0.25">
      <c r="A29" s="9" t="str">
        <f>IF(ISBLANK('Signal Definition'!J29),"",'Signal Definition'!J29)</f>
        <v>EngMdl_mPM_PHY</v>
      </c>
      <c r="B29" s="9">
        <f t="array" ref="B29">COUNT(FIND("input",$D29:$CD29))</f>
        <v>1</v>
      </c>
      <c r="C29" s="9">
        <f t="array" ref="C29">COUNT(FIND("output",$D29:$CD29))</f>
        <v>1</v>
      </c>
      <c r="D29" s="9"/>
      <c r="E29" s="9"/>
      <c r="F29" s="9"/>
      <c r="G29" s="9"/>
      <c r="H29" s="9"/>
      <c r="I29" s="9"/>
      <c r="J29" s="9"/>
      <c r="K29" s="9"/>
      <c r="L29" s="9"/>
      <c r="M29" s="9"/>
      <c r="N29" s="9"/>
      <c r="O29" s="9"/>
      <c r="P29" s="9" t="s">
        <v>2663</v>
      </c>
      <c r="Q29" s="9" t="s">
        <v>2683</v>
      </c>
      <c r="R29" s="9"/>
      <c r="S29" s="9"/>
      <c r="T29" s="9"/>
      <c r="U29" s="9"/>
      <c r="V29" s="9"/>
      <c r="W29" s="9"/>
      <c r="X29" s="9"/>
      <c r="Y29" s="9"/>
      <c r="Z29" s="9"/>
      <c r="AA29" s="9"/>
      <c r="AB29" s="9"/>
      <c r="AC29" s="9"/>
      <c r="AD29" s="9"/>
      <c r="AE29" s="9"/>
      <c r="AF29" s="9"/>
      <c r="AG29" s="9"/>
      <c r="AH29" s="9"/>
      <c r="AI29" s="9"/>
      <c r="AJ29" s="9"/>
      <c r="AK29" s="9"/>
      <c r="AL29" s="9"/>
      <c r="AM29" s="9"/>
      <c r="AN29" s="9"/>
      <c r="AO29" s="9"/>
      <c r="AP29" s="9"/>
      <c r="AQ29" s="9"/>
      <c r="AR29" s="9"/>
      <c r="AS29" s="9"/>
      <c r="AT29" s="9"/>
      <c r="AU29" s="9"/>
      <c r="AV29" s="9"/>
      <c r="AW29" s="9"/>
      <c r="AX29" s="9"/>
      <c r="AY29" s="9"/>
      <c r="AZ29" s="9"/>
      <c r="BA29" s="9"/>
      <c r="BB29" s="9"/>
      <c r="BC29" s="9"/>
      <c r="BD29" s="9"/>
      <c r="BE29" s="9"/>
      <c r="BF29" s="9"/>
      <c r="BG29" s="9"/>
      <c r="BH29" s="9"/>
      <c r="BI29" s="9"/>
      <c r="BJ29" s="9"/>
      <c r="BK29" s="9"/>
      <c r="BL29" s="9"/>
      <c r="BM29" s="9"/>
      <c r="BN29" s="9"/>
      <c r="BO29" s="9"/>
      <c r="BP29" s="9"/>
      <c r="BQ29" s="9"/>
      <c r="BR29" s="9"/>
    </row>
    <row r="30" spans="1:70" x14ac:dyDescent="0.25">
      <c r="A30" s="9" t="str">
        <f>IF(ISBLANK('Signal Definition'!J30),"",'Signal Definition'!J30)</f>
        <v>EngMdl_numPN_PHY</v>
      </c>
      <c r="B30" s="9">
        <f t="array" ref="B30">COUNT(FIND("input",$D30:$CD30))</f>
        <v>0</v>
      </c>
      <c r="C30" s="9">
        <f t="array" ref="C30">COUNT(FIND("output",$D30:$CD30))</f>
        <v>1</v>
      </c>
      <c r="D30" s="9"/>
      <c r="E30" s="9"/>
      <c r="F30" s="9"/>
      <c r="G30" s="9"/>
      <c r="H30" s="9"/>
      <c r="I30" s="9"/>
      <c r="J30" s="9"/>
      <c r="K30" s="9"/>
      <c r="L30" s="9"/>
      <c r="M30" s="9"/>
      <c r="N30" s="9"/>
      <c r="O30" s="9"/>
      <c r="P30" s="9" t="s">
        <v>2663</v>
      </c>
      <c r="Q30" s="9"/>
      <c r="R30" s="9"/>
      <c r="S30" s="9"/>
      <c r="T30" s="9"/>
      <c r="U30" s="9"/>
      <c r="V30" s="9"/>
      <c r="W30" s="9"/>
      <c r="X30" s="9"/>
      <c r="Y30" s="9"/>
      <c r="Z30" s="9"/>
      <c r="AA30" s="9"/>
      <c r="AB30" s="9"/>
      <c r="AC30" s="9"/>
      <c r="AD30" s="9"/>
      <c r="AE30" s="9"/>
      <c r="AF30" s="9"/>
      <c r="AG30" s="9"/>
      <c r="AH30" s="9"/>
      <c r="AI30" s="9"/>
      <c r="AJ30" s="9"/>
      <c r="AK30" s="9"/>
      <c r="AL30" s="9"/>
      <c r="AM30" s="9"/>
      <c r="AN30" s="9"/>
      <c r="AO30" s="9"/>
      <c r="AP30" s="9"/>
      <c r="AQ30" s="9"/>
      <c r="AR30" s="9"/>
      <c r="AS30" s="9"/>
      <c r="AT30" s="9"/>
      <c r="AU30" s="9"/>
      <c r="AV30" s="9"/>
      <c r="AW30" s="9"/>
      <c r="AX30" s="9"/>
      <c r="AY30" s="9"/>
      <c r="AZ30" s="9"/>
      <c r="BA30" s="9"/>
      <c r="BB30" s="9"/>
      <c r="BC30" s="9"/>
      <c r="BD30" s="9"/>
      <c r="BE30" s="9"/>
      <c r="BF30" s="9"/>
      <c r="BG30" s="9"/>
      <c r="BH30" s="9"/>
      <c r="BI30" s="9"/>
      <c r="BJ30" s="9"/>
      <c r="BK30" s="9"/>
      <c r="BL30" s="9"/>
      <c r="BM30" s="9"/>
      <c r="BN30" s="9"/>
      <c r="BO30" s="9"/>
      <c r="BP30" s="9"/>
      <c r="BQ30" s="9"/>
      <c r="BR30" s="9"/>
    </row>
    <row r="31" spans="1:70" x14ac:dyDescent="0.25">
      <c r="A31" s="9" t="str">
        <f>IF(ISBLANK('Signal Definition'!J31),"",'Signal Definition'!J31)</f>
        <v>EngMdl_prcExhGasRecircRate_PHY</v>
      </c>
      <c r="B31" s="9">
        <f t="array" ref="B31">COUNT(FIND("input",$D31:$CD31))</f>
        <v>1</v>
      </c>
      <c r="C31" s="9">
        <f t="array" ref="C31">COUNT(FIND("output",$D31:$CD31))</f>
        <v>1</v>
      </c>
      <c r="D31" s="9"/>
      <c r="E31" s="9"/>
      <c r="F31" s="9"/>
      <c r="G31" s="9"/>
      <c r="H31" s="9"/>
      <c r="I31" s="9"/>
      <c r="J31" s="9" t="s">
        <v>2683</v>
      </c>
      <c r="K31" s="9"/>
      <c r="L31" s="9"/>
      <c r="M31" s="9"/>
      <c r="N31" s="9"/>
      <c r="O31" s="9"/>
      <c r="P31" s="9" t="s">
        <v>2663</v>
      </c>
      <c r="Q31" s="9"/>
      <c r="R31" s="9"/>
      <c r="S31" s="9"/>
      <c r="T31" s="9"/>
      <c r="U31" s="9"/>
      <c r="V31" s="9"/>
      <c r="W31" s="9"/>
      <c r="X31" s="9"/>
      <c r="Y31" s="9"/>
      <c r="Z31" s="9"/>
      <c r="AA31" s="9"/>
      <c r="AB31" s="9"/>
      <c r="AC31" s="9"/>
      <c r="AD31" s="9"/>
      <c r="AE31" s="9"/>
      <c r="AF31" s="9"/>
      <c r="AG31" s="9"/>
      <c r="AH31" s="9"/>
      <c r="AI31" s="9"/>
      <c r="AJ31" s="9"/>
      <c r="AK31" s="9"/>
      <c r="AL31" s="9"/>
      <c r="AM31" s="9"/>
      <c r="AN31" s="9"/>
      <c r="AO31" s="9"/>
      <c r="AP31" s="9"/>
      <c r="AQ31" s="9"/>
      <c r="AR31" s="9"/>
      <c r="AS31" s="9"/>
      <c r="AT31" s="9"/>
      <c r="AU31" s="9"/>
      <c r="AV31" s="9"/>
      <c r="AW31" s="9"/>
      <c r="AX31" s="9"/>
      <c r="AY31" s="9"/>
      <c r="AZ31" s="9"/>
      <c r="BA31" s="9"/>
      <c r="BB31" s="9"/>
      <c r="BC31" s="9"/>
      <c r="BD31" s="9"/>
      <c r="BE31" s="9"/>
      <c r="BF31" s="9"/>
      <c r="BG31" s="9"/>
      <c r="BH31" s="9"/>
      <c r="BI31" s="9"/>
      <c r="BJ31" s="9"/>
      <c r="BK31" s="9"/>
      <c r="BL31" s="9"/>
      <c r="BM31" s="9"/>
      <c r="BN31" s="9"/>
      <c r="BO31" s="9"/>
      <c r="BP31" s="9"/>
      <c r="BQ31" s="9"/>
      <c r="BR31" s="9"/>
    </row>
    <row r="32" spans="1:70" x14ac:dyDescent="0.25">
      <c r="A32" s="9" t="str">
        <f>IF(ISBLANK('Signal Definition'!J32),"",'Signal Definition'!J32)</f>
        <v>EngMdl_mflChrgdAir_PHY</v>
      </c>
      <c r="B32" s="9">
        <f t="array" ref="B32">COUNT(FIND("input",$D32:$CD32))</f>
        <v>1</v>
      </c>
      <c r="C32" s="9">
        <f t="array" ref="C32">COUNT(FIND("output",$D32:$CD32))</f>
        <v>1</v>
      </c>
      <c r="D32" s="9"/>
      <c r="E32" s="9"/>
      <c r="F32" s="9"/>
      <c r="G32" s="9"/>
      <c r="H32" s="9"/>
      <c r="I32" s="9"/>
      <c r="J32" s="9" t="s">
        <v>2683</v>
      </c>
      <c r="K32" s="9"/>
      <c r="L32" s="9"/>
      <c r="M32" s="9"/>
      <c r="N32" s="9"/>
      <c r="O32" s="9"/>
      <c r="P32" s="9" t="s">
        <v>2663</v>
      </c>
      <c r="Q32" s="9"/>
      <c r="R32" s="9"/>
      <c r="S32" s="9"/>
      <c r="T32" s="9"/>
      <c r="U32" s="9"/>
      <c r="V32" s="9"/>
      <c r="W32" s="9"/>
      <c r="X32" s="9"/>
      <c r="Y32" s="9"/>
      <c r="Z32" s="9"/>
      <c r="AA32" s="9"/>
      <c r="AB32" s="9"/>
      <c r="AC32" s="9"/>
      <c r="AD32" s="9"/>
      <c r="AE32" s="9"/>
      <c r="AF32" s="9"/>
      <c r="AG32" s="9"/>
      <c r="AH32" s="9"/>
      <c r="AI32" s="9"/>
      <c r="AJ32" s="9"/>
      <c r="AK32" s="9"/>
      <c r="AL32" s="9"/>
      <c r="AM32" s="9"/>
      <c r="AN32" s="9"/>
      <c r="AO32" s="9"/>
      <c r="AP32" s="9"/>
      <c r="AQ32" s="9"/>
      <c r="AR32" s="9"/>
      <c r="AS32" s="9"/>
      <c r="AT32" s="9"/>
      <c r="AU32" s="9"/>
      <c r="AV32" s="9"/>
      <c r="AW32" s="9"/>
      <c r="AX32" s="9"/>
      <c r="AY32" s="9"/>
      <c r="AZ32" s="9"/>
      <c r="BA32" s="9"/>
      <c r="BB32" s="9"/>
      <c r="BC32" s="9"/>
      <c r="BD32" s="9"/>
      <c r="BE32" s="9"/>
      <c r="BF32" s="9"/>
      <c r="BG32" s="9"/>
      <c r="BH32" s="9"/>
      <c r="BI32" s="9"/>
      <c r="BJ32" s="9"/>
      <c r="BK32" s="9"/>
      <c r="BL32" s="9"/>
      <c r="BM32" s="9"/>
      <c r="BN32" s="9"/>
      <c r="BO32" s="9"/>
      <c r="BP32" s="9"/>
      <c r="BQ32" s="9"/>
      <c r="BR32" s="9"/>
    </row>
    <row r="33" spans="1:70" x14ac:dyDescent="0.25">
      <c r="A33" s="9" t="str">
        <f>IF(ISBLANK('Signal Definition'!J33),"",'Signal Definition'!J33)</f>
        <v>EngMdl_tTChrgdAir_PHY</v>
      </c>
      <c r="B33" s="9">
        <f t="array" ref="B33">COUNT(FIND("input",$D33:$CD33))</f>
        <v>1</v>
      </c>
      <c r="C33" s="9">
        <f t="array" ref="C33">COUNT(FIND("output",$D33:$CD33))</f>
        <v>1</v>
      </c>
      <c r="D33" s="9"/>
      <c r="E33" s="9"/>
      <c r="F33" s="9"/>
      <c r="G33" s="9"/>
      <c r="H33" s="9"/>
      <c r="I33" s="9"/>
      <c r="J33" s="9" t="s">
        <v>2683</v>
      </c>
      <c r="K33" s="9"/>
      <c r="L33" s="9"/>
      <c r="M33" s="9"/>
      <c r="N33" s="9"/>
      <c r="O33" s="9"/>
      <c r="P33" s="9" t="s">
        <v>2663</v>
      </c>
      <c r="Q33" s="9"/>
      <c r="R33" s="9"/>
      <c r="S33" s="9"/>
      <c r="T33" s="9"/>
      <c r="U33" s="9"/>
      <c r="V33" s="9"/>
      <c r="W33" s="9"/>
      <c r="X33" s="9"/>
      <c r="Y33" s="9"/>
      <c r="Z33" s="9"/>
      <c r="AA33" s="9"/>
      <c r="AB33" s="9"/>
      <c r="AC33" s="9"/>
      <c r="AD33" s="9"/>
      <c r="AE33" s="9"/>
      <c r="AF33" s="9"/>
      <c r="AG33" s="9"/>
      <c r="AH33" s="9"/>
      <c r="AI33" s="9"/>
      <c r="AJ33" s="9"/>
      <c r="AK33" s="9"/>
      <c r="AL33" s="9"/>
      <c r="AM33" s="9"/>
      <c r="AN33" s="9"/>
      <c r="AO33" s="9"/>
      <c r="AP33" s="9"/>
      <c r="AQ33" s="9"/>
      <c r="AR33" s="9"/>
      <c r="AS33" s="9"/>
      <c r="AT33" s="9"/>
      <c r="AU33" s="9"/>
      <c r="AV33" s="9"/>
      <c r="AW33" s="9"/>
      <c r="AX33" s="9"/>
      <c r="AY33" s="9"/>
      <c r="AZ33" s="9"/>
      <c r="BA33" s="9"/>
      <c r="BB33" s="9"/>
      <c r="BC33" s="9"/>
      <c r="BD33" s="9"/>
      <c r="BE33" s="9"/>
      <c r="BF33" s="9"/>
      <c r="BG33" s="9"/>
      <c r="BH33" s="9"/>
      <c r="BI33" s="9"/>
      <c r="BJ33" s="9"/>
      <c r="BK33" s="9"/>
      <c r="BL33" s="9"/>
      <c r="BM33" s="9"/>
      <c r="BN33" s="9"/>
      <c r="BO33" s="9"/>
      <c r="BP33" s="9"/>
      <c r="BQ33" s="9"/>
      <c r="BR33" s="9"/>
    </row>
    <row r="34" spans="1:70" x14ac:dyDescent="0.25">
      <c r="A34" s="9" t="str">
        <f>IF(ISBLANK('Signal Definition'!J34),"",'Signal Definition'!J34)</f>
        <v>EngMdl_pBoost_PHY</v>
      </c>
      <c r="B34" s="9">
        <f t="array" ref="B34">COUNT(FIND("input",$D34:$CD34))</f>
        <v>1</v>
      </c>
      <c r="C34" s="9">
        <f t="array" ref="C34">COUNT(FIND("output",$D34:$CD34))</f>
        <v>1</v>
      </c>
      <c r="D34" s="9"/>
      <c r="E34" s="9"/>
      <c r="F34" s="9"/>
      <c r="G34" s="9"/>
      <c r="H34" s="9"/>
      <c r="I34" s="9"/>
      <c r="J34" s="9" t="s">
        <v>2683</v>
      </c>
      <c r="K34" s="9"/>
      <c r="L34" s="9"/>
      <c r="M34" s="9"/>
      <c r="N34" s="9"/>
      <c r="O34" s="9"/>
      <c r="P34" s="9" t="s">
        <v>2663</v>
      </c>
      <c r="Q34" s="9"/>
      <c r="R34" s="9"/>
      <c r="S34" s="9"/>
      <c r="T34" s="9"/>
      <c r="U34" s="9"/>
      <c r="V34" s="9"/>
      <c r="W34" s="9"/>
      <c r="X34" s="9"/>
      <c r="Y34" s="9"/>
      <c r="Z34" s="9"/>
      <c r="AA34" s="9"/>
      <c r="AB34" s="9"/>
      <c r="AC34" s="9"/>
      <c r="AD34" s="9"/>
      <c r="AE34" s="9"/>
      <c r="AF34" s="9"/>
      <c r="AG34" s="9"/>
      <c r="AH34" s="9"/>
      <c r="AI34" s="9"/>
      <c r="AJ34" s="9"/>
      <c r="AK34" s="9"/>
      <c r="AL34" s="9"/>
      <c r="AM34" s="9"/>
      <c r="AN34" s="9"/>
      <c r="AO34" s="9"/>
      <c r="AP34" s="9"/>
      <c r="AQ34" s="9"/>
      <c r="AR34" s="9"/>
      <c r="AS34" s="9"/>
      <c r="AT34" s="9"/>
      <c r="AU34" s="9"/>
      <c r="AV34" s="9"/>
      <c r="AW34" s="9"/>
      <c r="AX34" s="9"/>
      <c r="AY34" s="9"/>
      <c r="AZ34" s="9"/>
      <c r="BA34" s="9"/>
      <c r="BB34" s="9"/>
      <c r="BC34" s="9"/>
      <c r="BD34" s="9"/>
      <c r="BE34" s="9"/>
      <c r="BF34" s="9"/>
      <c r="BG34" s="9"/>
      <c r="BH34" s="9"/>
      <c r="BI34" s="9"/>
      <c r="BJ34" s="9"/>
      <c r="BK34" s="9"/>
      <c r="BL34" s="9"/>
      <c r="BM34" s="9"/>
      <c r="BN34" s="9"/>
      <c r="BO34" s="9"/>
      <c r="BP34" s="9"/>
      <c r="BQ34" s="9"/>
      <c r="BR34" s="9"/>
    </row>
    <row r="35" spans="1:70" x14ac:dyDescent="0.25">
      <c r="A35" s="9" t="str">
        <f>IF(ISBLANK('Signal Definition'!J35),"",'Signal Definition'!J35)</f>
        <v>EngMdl_numLam_PHY</v>
      </c>
      <c r="B35" s="9">
        <f t="array" ref="B35">COUNT(FIND("input",$D35:$CD35))</f>
        <v>2</v>
      </c>
      <c r="C35" s="9">
        <f t="array" ref="C35">COUNT(FIND("output",$D35:$CD35))</f>
        <v>1</v>
      </c>
      <c r="J35" t="s">
        <v>2683</v>
      </c>
      <c r="P35" t="s">
        <v>2663</v>
      </c>
      <c r="Q35" t="s">
        <v>2683</v>
      </c>
      <c r="R35" s="9"/>
      <c r="S35" s="9"/>
      <c r="T35" s="9"/>
      <c r="U35" s="9"/>
      <c r="V35" s="9"/>
      <c r="W35" s="9"/>
      <c r="X35" s="9"/>
      <c r="Y35" s="9"/>
      <c r="Z35" s="9"/>
      <c r="AA35" s="9"/>
      <c r="AB35" s="9"/>
      <c r="AC35" s="9"/>
      <c r="AD35" s="9"/>
      <c r="AE35" s="9"/>
      <c r="AF35" s="9"/>
      <c r="AG35" s="9"/>
      <c r="AH35" s="9"/>
      <c r="AI35" s="9"/>
      <c r="AJ35" s="9"/>
      <c r="AK35" s="9"/>
      <c r="AL35" s="9"/>
      <c r="AM35" s="9"/>
      <c r="AN35" s="9"/>
      <c r="AO35" s="9"/>
      <c r="AP35" s="9"/>
      <c r="AQ35" s="9"/>
      <c r="AR35" s="9"/>
      <c r="AS35" s="9"/>
      <c r="AT35" s="9"/>
      <c r="AU35" s="9"/>
      <c r="AV35" s="9"/>
      <c r="AW35" s="9"/>
      <c r="AX35" s="9"/>
      <c r="AY35" s="9"/>
      <c r="AZ35" s="9"/>
      <c r="BA35" s="9"/>
      <c r="BB35" s="9"/>
      <c r="BC35" s="9"/>
      <c r="BD35" s="9"/>
      <c r="BE35" s="9"/>
      <c r="BF35" s="9"/>
      <c r="BG35" s="9"/>
      <c r="BH35" s="9"/>
      <c r="BI35" s="9"/>
      <c r="BJ35" s="9"/>
      <c r="BK35" s="9"/>
      <c r="BL35" s="9"/>
      <c r="BM35" s="9"/>
      <c r="BN35" s="9"/>
      <c r="BO35" s="9"/>
      <c r="BP35" s="9"/>
      <c r="BQ35" s="9"/>
      <c r="BR35" s="9"/>
    </row>
    <row r="36" spans="1:70" x14ac:dyDescent="0.25">
      <c r="A36" s="9" t="str">
        <f>IF(ISBLANK('Signal Definition'!J36),"",'Signal Definition'!J36)</f>
        <v>EngMdl_tExhGasRecircT_PHY</v>
      </c>
      <c r="B36" s="9">
        <f t="array" ref="B36">COUNT(FIND("input",$D36:$CD36))</f>
        <v>1</v>
      </c>
      <c r="C36" s="9">
        <f t="array" ref="C36">COUNT(FIND("output",$D36:$CD36))</f>
        <v>1</v>
      </c>
      <c r="J36" t="s">
        <v>2683</v>
      </c>
      <c r="P36" t="s">
        <v>2663</v>
      </c>
      <c r="R36" s="9"/>
      <c r="S36" s="9"/>
      <c r="T36" s="9"/>
      <c r="U36" s="9"/>
      <c r="V36" s="9"/>
      <c r="W36" s="9"/>
      <c r="X36" s="9"/>
      <c r="Y36" s="9"/>
      <c r="Z36" s="9"/>
      <c r="AA36" s="9"/>
      <c r="AB36" s="9"/>
      <c r="AC36" s="9"/>
      <c r="AD36" s="9"/>
      <c r="AE36" s="9"/>
      <c r="AF36" s="9"/>
      <c r="AG36" s="9"/>
      <c r="AH36" s="9"/>
      <c r="AI36" s="9"/>
      <c r="AJ36" s="9"/>
      <c r="AK36" s="9"/>
      <c r="AL36" s="9"/>
      <c r="AM36" s="9"/>
      <c r="AN36" s="9"/>
      <c r="AO36" s="9"/>
      <c r="AP36" s="9"/>
      <c r="AQ36" s="9"/>
      <c r="AR36" s="9"/>
      <c r="AS36" s="9"/>
      <c r="AT36" s="9"/>
      <c r="AU36" s="9"/>
      <c r="AV36" s="9"/>
      <c r="AW36" s="9"/>
      <c r="AX36" s="9"/>
      <c r="AY36" s="9"/>
      <c r="AZ36" s="9"/>
      <c r="BA36" s="9"/>
      <c r="BB36" s="9"/>
      <c r="BC36" s="9"/>
      <c r="BD36" s="9"/>
      <c r="BE36" s="9"/>
      <c r="BF36" s="9"/>
      <c r="BG36" s="9"/>
      <c r="BH36" s="9"/>
      <c r="BI36" s="9"/>
      <c r="BJ36" s="9"/>
      <c r="BK36" s="9"/>
      <c r="BL36" s="9"/>
      <c r="BM36" s="9"/>
      <c r="BN36" s="9"/>
      <c r="BO36" s="9"/>
      <c r="BP36" s="9"/>
      <c r="BQ36" s="9"/>
      <c r="BR36" s="9"/>
    </row>
    <row r="37" spans="1:70" x14ac:dyDescent="0.25">
      <c r="A37" s="9" t="str">
        <f>IF(ISBLANK('Signal Definition'!J37),"",'Signal Definition'!J37)</f>
        <v>VCU_vEstimdLgtVehSpd_CAN</v>
      </c>
      <c r="B37" s="9">
        <f t="array" ref="B37">COUNT(FIND("input",$D37:$CD37))</f>
        <v>0</v>
      </c>
      <c r="C37" s="9">
        <f t="array" ref="C37">COUNT(FIND("output",$D37:$CD37))</f>
        <v>1</v>
      </c>
      <c r="R37" s="9" t="s">
        <v>2663</v>
      </c>
      <c r="S37" s="9"/>
      <c r="T37" s="9"/>
      <c r="U37" s="9"/>
      <c r="V37" s="9"/>
      <c r="W37" s="9"/>
      <c r="X37" s="9"/>
      <c r="Y37" s="9"/>
      <c r="Z37" s="9"/>
      <c r="AA37" s="9"/>
      <c r="AB37" s="9"/>
      <c r="AC37" s="9"/>
      <c r="AD37" s="9"/>
      <c r="AE37" s="9"/>
      <c r="AF37" s="9"/>
      <c r="AG37" s="9"/>
      <c r="AH37" s="9"/>
      <c r="AI37" s="9"/>
      <c r="AJ37" s="9"/>
      <c r="AK37" s="9"/>
      <c r="AL37" s="9"/>
      <c r="AM37" s="9"/>
      <c r="AN37" s="9"/>
      <c r="AO37" s="9"/>
      <c r="AP37" s="9"/>
      <c r="AQ37" s="9"/>
      <c r="AR37" s="9"/>
      <c r="AS37" s="9"/>
      <c r="AT37" s="9"/>
      <c r="AU37" s="9"/>
      <c r="AV37" s="9"/>
      <c r="AW37" s="9"/>
      <c r="AX37" s="9"/>
      <c r="AY37" s="9"/>
      <c r="AZ37" s="9"/>
      <c r="BA37" s="9"/>
      <c r="BB37" s="9"/>
      <c r="BC37" s="9"/>
      <c r="BD37" s="9"/>
      <c r="BE37" s="9"/>
      <c r="BF37" s="9"/>
      <c r="BG37" s="9"/>
      <c r="BH37" s="9"/>
      <c r="BI37" s="9"/>
      <c r="BJ37" s="9"/>
      <c r="BK37" s="9"/>
      <c r="BL37" s="9"/>
      <c r="BM37" s="9"/>
      <c r="BN37" s="9"/>
      <c r="BO37" s="9"/>
      <c r="BP37" s="9"/>
      <c r="BQ37" s="9"/>
      <c r="BR37" s="9"/>
    </row>
    <row r="38" spans="1:70" x14ac:dyDescent="0.25">
      <c r="A38" s="9" t="str">
        <f>IF(ISBLANK('Signal Definition'!J38),"",'Signal Definition'!J38)</f>
        <v>VCU_ctEstimdRollgCoeff_CAN</v>
      </c>
      <c r="B38" s="9">
        <f t="array" ref="B38">COUNT(FIND("input",$D38:$CD38))</f>
        <v>0</v>
      </c>
      <c r="C38" s="9">
        <f t="array" ref="C38">COUNT(FIND("output",$D38:$CD38))</f>
        <v>1</v>
      </c>
      <c r="R38" s="9" t="s">
        <v>2663</v>
      </c>
      <c r="S38" s="9"/>
      <c r="T38" s="9"/>
      <c r="U38" s="9"/>
      <c r="V38" s="9"/>
      <c r="W38" s="9"/>
      <c r="X38" s="9"/>
      <c r="Y38" s="9"/>
      <c r="Z38" s="9"/>
      <c r="AA38" s="9"/>
      <c r="AB38" s="9"/>
      <c r="AC38" s="9"/>
      <c r="AD38" s="9"/>
      <c r="AE38" s="9"/>
      <c r="AF38" s="9"/>
      <c r="AG38" s="9"/>
      <c r="AH38" s="9"/>
      <c r="AI38" s="9"/>
      <c r="AJ38" s="9"/>
      <c r="AK38" s="9"/>
      <c r="AL38" s="9"/>
      <c r="AM38" s="9"/>
      <c r="AN38" s="9"/>
      <c r="AO38" s="9"/>
      <c r="AP38" s="9"/>
      <c r="AQ38" s="9"/>
      <c r="AR38" s="9"/>
      <c r="AS38" s="9"/>
      <c r="AT38" s="9"/>
      <c r="AU38" s="9"/>
      <c r="AV38" s="9"/>
      <c r="AW38" s="9"/>
      <c r="AX38" s="9"/>
      <c r="AY38" s="9"/>
      <c r="AZ38" s="9"/>
      <c r="BA38" s="9"/>
      <c r="BB38" s="9"/>
      <c r="BC38" s="9"/>
      <c r="BD38" s="9"/>
      <c r="BE38" s="9"/>
      <c r="BF38" s="9"/>
      <c r="BG38" s="9"/>
      <c r="BH38" s="9"/>
      <c r="BI38" s="9"/>
      <c r="BJ38" s="9"/>
      <c r="BK38" s="9"/>
      <c r="BL38" s="9"/>
      <c r="BM38" s="9"/>
      <c r="BN38" s="9"/>
      <c r="BO38" s="9"/>
      <c r="BP38" s="9"/>
      <c r="BQ38" s="9"/>
      <c r="BR38" s="9"/>
    </row>
    <row r="39" spans="1:70" x14ac:dyDescent="0.25">
      <c r="A39" s="9" t="str">
        <f>IF(ISBLANK('Signal Definition'!J39),"",'Signal Definition'!J39)</f>
        <v>VCU_ctEstimdDrgCoeff_CAN</v>
      </c>
      <c r="B39" s="9">
        <f t="array" ref="B39">COUNT(FIND("input",$D39:$CD39))</f>
        <v>0</v>
      </c>
      <c r="C39" s="9">
        <f t="array" ref="C39">COUNT(FIND("output",$D39:$CD39))</f>
        <v>1</v>
      </c>
      <c r="R39" s="9" t="s">
        <v>2663</v>
      </c>
      <c r="S39" s="9"/>
      <c r="T39" s="9"/>
      <c r="U39" s="9"/>
      <c r="V39" s="9"/>
      <c r="W39" s="9"/>
      <c r="X39" s="9"/>
      <c r="Y39" s="9"/>
      <c r="Z39" s="9"/>
      <c r="AA39" s="9"/>
      <c r="AB39" s="9"/>
      <c r="AC39" s="9"/>
      <c r="AD39" s="9"/>
      <c r="AE39" s="9"/>
      <c r="AF39" s="9"/>
      <c r="AG39" s="9"/>
      <c r="AH39" s="9"/>
      <c r="AI39" s="9"/>
      <c r="AJ39" s="9"/>
      <c r="AK39" s="9"/>
      <c r="AL39" s="9"/>
      <c r="AM39" s="9"/>
      <c r="AN39" s="9"/>
      <c r="AO39" s="9"/>
      <c r="AP39" s="9"/>
      <c r="AQ39" s="9"/>
      <c r="AR39" s="9"/>
      <c r="AS39" s="9"/>
      <c r="AT39" s="9"/>
      <c r="AU39" s="9"/>
      <c r="AV39" s="9"/>
      <c r="AW39" s="9"/>
      <c r="AX39" s="9"/>
      <c r="AY39" s="9"/>
      <c r="AZ39" s="9"/>
      <c r="BA39" s="9"/>
      <c r="BB39" s="9"/>
      <c r="BC39" s="9"/>
      <c r="BD39" s="9"/>
      <c r="BE39" s="9"/>
      <c r="BF39" s="9"/>
      <c r="BG39" s="9"/>
      <c r="BH39" s="9"/>
      <c r="BI39" s="9"/>
      <c r="BJ39" s="9"/>
      <c r="BK39" s="9"/>
      <c r="BL39" s="9"/>
      <c r="BM39" s="9"/>
      <c r="BN39" s="9"/>
      <c r="BO39" s="9"/>
      <c r="BP39" s="9"/>
      <c r="BQ39" s="9"/>
      <c r="BR39" s="9"/>
    </row>
    <row r="40" spans="1:70" x14ac:dyDescent="0.25">
      <c r="A40" s="9" t="str">
        <f>IF(ISBLANK('Signal Definition'!J40),"",'Signal Definition'!J40)</f>
        <v>VCU_mEstimdVehM_CAN</v>
      </c>
      <c r="B40" s="9">
        <f t="array" ref="B40">COUNT(FIND("input",$D40:$CD40))</f>
        <v>0</v>
      </c>
      <c r="C40" s="9">
        <f t="array" ref="C40">COUNT(FIND("output",$D40:$CD40))</f>
        <v>1</v>
      </c>
      <c r="R40" s="9" t="s">
        <v>2663</v>
      </c>
      <c r="S40" s="9"/>
      <c r="T40" s="9"/>
      <c r="U40" s="9"/>
      <c r="V40" s="9"/>
      <c r="W40" s="9"/>
      <c r="X40" s="9"/>
      <c r="Y40" s="9"/>
      <c r="Z40" s="9"/>
      <c r="AA40" s="9"/>
      <c r="AB40" s="9"/>
      <c r="AC40" s="9"/>
      <c r="AD40" s="9"/>
      <c r="AE40" s="9"/>
      <c r="AF40" s="9"/>
      <c r="AG40" s="9"/>
      <c r="AH40" s="9"/>
      <c r="AI40" s="9"/>
      <c r="AJ40" s="9"/>
      <c r="AK40" s="9"/>
      <c r="AL40" s="9"/>
      <c r="AM40" s="9"/>
      <c r="AN40" s="9"/>
      <c r="AO40" s="9"/>
      <c r="AP40" s="9"/>
      <c r="AQ40" s="9"/>
      <c r="AR40" s="9"/>
      <c r="AS40" s="9"/>
      <c r="AT40" s="9"/>
      <c r="AU40" s="9"/>
      <c r="AV40" s="9"/>
      <c r="AW40" s="9"/>
      <c r="AX40" s="9"/>
      <c r="AY40" s="9"/>
      <c r="AZ40" s="9"/>
      <c r="BA40" s="9"/>
      <c r="BB40" s="9"/>
      <c r="BC40" s="9"/>
      <c r="BD40" s="9"/>
      <c r="BE40" s="9"/>
      <c r="BF40" s="9"/>
      <c r="BG40" s="9"/>
      <c r="BH40" s="9"/>
      <c r="BI40" s="9"/>
      <c r="BJ40" s="9"/>
      <c r="BK40" s="9"/>
      <c r="BL40" s="9"/>
      <c r="BM40" s="9"/>
      <c r="BN40" s="9"/>
      <c r="BO40" s="9"/>
      <c r="BP40" s="9"/>
      <c r="BQ40" s="9"/>
      <c r="BR40" s="9"/>
    </row>
    <row r="41" spans="1:70" x14ac:dyDescent="0.25">
      <c r="A41" s="9" t="str">
        <f>IF(ISBLANK('Signal Definition'!J41),"",'Signal Definition'!J41)</f>
        <v>ExhATSysMdl_stNoxSnsrUs_CAN</v>
      </c>
      <c r="B41" s="9">
        <f t="array" ref="B41">COUNT(FIND("input",$D41:$CD41))</f>
        <v>0</v>
      </c>
      <c r="C41" s="9">
        <f t="array" ref="C41">COUNT(FIND("output",$D41:$CD41))</f>
        <v>1</v>
      </c>
      <c r="D41" s="9"/>
      <c r="E41" s="9"/>
      <c r="F41" s="9"/>
      <c r="G41" s="9"/>
      <c r="H41" s="9"/>
      <c r="I41" s="9"/>
      <c r="J41" s="9"/>
      <c r="K41" s="9"/>
      <c r="L41" s="9"/>
      <c r="M41" s="9"/>
      <c r="N41" s="9"/>
      <c r="O41" s="9"/>
      <c r="P41" s="9"/>
      <c r="Q41" s="9" t="s">
        <v>2663</v>
      </c>
      <c r="R41" s="9"/>
      <c r="S41" s="9"/>
      <c r="T41" s="9"/>
      <c r="U41" s="9"/>
      <c r="V41" s="9"/>
      <c r="W41" s="9"/>
      <c r="X41" s="9"/>
      <c r="Y41" s="9"/>
      <c r="Z41" s="9"/>
      <c r="AA41" s="9"/>
      <c r="AB41" s="9"/>
      <c r="AC41" s="9"/>
      <c r="AD41" s="9"/>
      <c r="AE41" s="9"/>
      <c r="AF41" s="9"/>
      <c r="AG41" s="9"/>
      <c r="AH41" s="9"/>
      <c r="AI41" s="9"/>
      <c r="AJ41" s="9"/>
      <c r="AK41" s="9"/>
      <c r="AL41" s="9"/>
      <c r="AM41" s="9"/>
      <c r="AN41" s="9"/>
      <c r="AO41" s="9"/>
      <c r="AP41" s="9"/>
      <c r="AQ41" s="9"/>
      <c r="AR41" s="9"/>
      <c r="AS41" s="9"/>
      <c r="AT41" s="9"/>
      <c r="AU41" s="9"/>
      <c r="AV41" s="9"/>
      <c r="AW41" s="9"/>
      <c r="AX41" s="9"/>
      <c r="AY41" s="9"/>
      <c r="AZ41" s="9"/>
      <c r="BA41" s="9"/>
      <c r="BB41" s="9"/>
      <c r="BC41" s="9"/>
      <c r="BD41" s="9"/>
      <c r="BE41" s="9"/>
      <c r="BF41" s="9"/>
      <c r="BG41" s="9"/>
      <c r="BH41" s="9"/>
      <c r="BI41" s="9"/>
      <c r="BJ41" s="9"/>
      <c r="BK41" s="9"/>
      <c r="BL41" s="9"/>
      <c r="BM41" s="9"/>
      <c r="BN41" s="9"/>
      <c r="BO41" s="9"/>
      <c r="BP41" s="9"/>
      <c r="BQ41" s="9"/>
      <c r="BR41" s="9"/>
    </row>
    <row r="42" spans="1:70" x14ac:dyDescent="0.25">
      <c r="A42" s="9" t="str">
        <f>IF(ISBLANK('Signal Definition'!J42),"",'Signal Definition'!J42)</f>
        <v>ExhATSysMdl_stNoxSnsrDs_CAN</v>
      </c>
      <c r="B42" s="9">
        <f t="array" ref="B42">COUNT(FIND("input",$D42:$CD42))</f>
        <v>0</v>
      </c>
      <c r="C42" s="9">
        <f t="array" ref="C42">COUNT(FIND("output",$D42:$CD42))</f>
        <v>1</v>
      </c>
      <c r="D42" s="9"/>
      <c r="E42" s="9"/>
      <c r="F42" s="9"/>
      <c r="G42" s="9"/>
      <c r="H42" s="9"/>
      <c r="I42" s="9"/>
      <c r="J42" s="9"/>
      <c r="K42" s="9"/>
      <c r="L42" s="9"/>
      <c r="M42" s="9"/>
      <c r="N42" s="9"/>
      <c r="O42" s="9"/>
      <c r="P42" s="9"/>
      <c r="Q42" s="9" t="s">
        <v>2663</v>
      </c>
      <c r="R42" s="9"/>
      <c r="S42" s="9"/>
      <c r="T42" s="9"/>
      <c r="U42" s="9"/>
      <c r="V42" s="9"/>
      <c r="W42" s="9"/>
      <c r="X42" s="9"/>
      <c r="Y42" s="9"/>
      <c r="Z42" s="9"/>
      <c r="AA42" s="9"/>
      <c r="AB42" s="9"/>
      <c r="AC42" s="9"/>
      <c r="AD42" s="9"/>
      <c r="AE42" s="9"/>
      <c r="AF42" s="9"/>
      <c r="AG42" s="9"/>
      <c r="AH42" s="9"/>
      <c r="AI42" s="9"/>
      <c r="AJ42" s="9"/>
      <c r="AK42" s="9"/>
      <c r="AL42" s="9"/>
      <c r="AM42" s="9"/>
      <c r="AN42" s="9"/>
      <c r="AO42" s="9"/>
      <c r="AP42" s="9"/>
      <c r="AQ42" s="9"/>
      <c r="AR42" s="9"/>
      <c r="AS42" s="9"/>
      <c r="AT42" s="9"/>
      <c r="AU42" s="9"/>
      <c r="AV42" s="9"/>
      <c r="AW42" s="9"/>
      <c r="AX42" s="9"/>
      <c r="AY42" s="9"/>
      <c r="AZ42" s="9"/>
      <c r="BA42" s="9"/>
      <c r="BB42" s="9"/>
      <c r="BC42" s="9"/>
      <c r="BD42" s="9"/>
      <c r="BE42" s="9"/>
      <c r="BF42" s="9"/>
      <c r="BG42" s="9"/>
      <c r="BH42" s="9"/>
      <c r="BI42" s="9"/>
      <c r="BJ42" s="9"/>
      <c r="BK42" s="9"/>
      <c r="BL42" s="9"/>
      <c r="BM42" s="9"/>
      <c r="BN42" s="9"/>
      <c r="BO42" s="9"/>
      <c r="BP42" s="9"/>
      <c r="BQ42" s="9"/>
      <c r="BR42" s="9"/>
    </row>
    <row r="43" spans="1:70" x14ac:dyDescent="0.25">
      <c r="A43" s="9" t="str">
        <f>IF(ISBLANK('Signal Definition'!J43),"",'Signal Definition'!J43)</f>
        <v>ExhATSysMdl_ratNoxSnsrUs_CAN</v>
      </c>
      <c r="B43" s="9">
        <f t="array" ref="B43">COUNT(FIND("input",$D43:$CD43))</f>
        <v>0</v>
      </c>
      <c r="C43" s="9">
        <f t="array" ref="C43">COUNT(FIND("output",$D43:$CD43))</f>
        <v>1</v>
      </c>
      <c r="D43" s="9"/>
      <c r="E43" s="9"/>
      <c r="F43" s="9"/>
      <c r="G43" s="9"/>
      <c r="H43" s="9"/>
      <c r="I43" s="9"/>
      <c r="J43" s="9"/>
      <c r="K43" s="9"/>
      <c r="L43" s="9"/>
      <c r="M43" s="9"/>
      <c r="N43" s="9"/>
      <c r="O43" s="9"/>
      <c r="P43" s="9"/>
      <c r="Q43" s="9" t="s">
        <v>2663</v>
      </c>
      <c r="R43" s="9"/>
      <c r="S43" s="9"/>
      <c r="T43" s="9"/>
      <c r="U43" s="9"/>
      <c r="V43" s="9"/>
      <c r="W43" s="9"/>
      <c r="X43" s="9"/>
      <c r="Y43" s="9"/>
      <c r="Z43" s="9"/>
      <c r="AA43" s="9"/>
      <c r="AB43" s="9"/>
      <c r="AC43" s="9"/>
      <c r="AD43" s="9"/>
      <c r="AE43" s="9"/>
      <c r="AF43" s="9"/>
      <c r="AG43" s="9"/>
      <c r="AH43" s="9"/>
      <c r="AI43" s="9"/>
      <c r="AJ43" s="9"/>
      <c r="AK43" s="9"/>
      <c r="AL43" s="9"/>
      <c r="AM43" s="9"/>
      <c r="AN43" s="9"/>
      <c r="AO43" s="9"/>
      <c r="AP43" s="9"/>
      <c r="AQ43" s="9"/>
      <c r="AR43" s="9"/>
      <c r="AS43" s="9"/>
      <c r="AT43" s="9"/>
      <c r="AU43" s="9"/>
      <c r="AV43" s="9"/>
      <c r="AW43" s="9"/>
      <c r="AX43" s="9"/>
      <c r="AY43" s="9"/>
      <c r="AZ43" s="9"/>
      <c r="BA43" s="9"/>
      <c r="BB43" s="9"/>
      <c r="BC43" s="9"/>
      <c r="BD43" s="9"/>
      <c r="BE43" s="9"/>
      <c r="BF43" s="9"/>
      <c r="BG43" s="9"/>
      <c r="BH43" s="9"/>
      <c r="BI43" s="9"/>
      <c r="BJ43" s="9"/>
      <c r="BK43" s="9"/>
      <c r="BL43" s="9"/>
      <c r="BM43" s="9"/>
      <c r="BN43" s="9"/>
      <c r="BO43" s="9"/>
      <c r="BP43" s="9"/>
      <c r="BQ43" s="9"/>
      <c r="BR43" s="9"/>
    </row>
    <row r="44" spans="1:70" x14ac:dyDescent="0.25">
      <c r="A44" s="9" t="str">
        <f>IF(ISBLANK('Signal Definition'!J44),"",'Signal Definition'!J44)</f>
        <v>ExhATSysMdl_ratNoxSnsrDs_CAN</v>
      </c>
      <c r="B44" s="9">
        <f t="array" ref="B44">COUNT(FIND("input",$D44:$CD44))</f>
        <v>0</v>
      </c>
      <c r="C44" s="9">
        <f t="array" ref="C44">COUNT(FIND("output",$D44:$CD44))</f>
        <v>1</v>
      </c>
      <c r="D44" s="9"/>
      <c r="E44" s="9"/>
      <c r="F44" s="9"/>
      <c r="G44" s="9"/>
      <c r="H44" s="9"/>
      <c r="I44" s="9"/>
      <c r="J44" s="9"/>
      <c r="K44" s="9"/>
      <c r="L44" s="9"/>
      <c r="M44" s="9"/>
      <c r="N44" s="9"/>
      <c r="O44" s="9"/>
      <c r="P44" s="9"/>
      <c r="Q44" s="9" t="s">
        <v>2663</v>
      </c>
      <c r="R44" s="9"/>
      <c r="S44" s="9"/>
      <c r="T44" s="9"/>
      <c r="U44" s="9"/>
      <c r="V44" s="9"/>
      <c r="W44" s="9"/>
      <c r="X44" s="9"/>
      <c r="Y44" s="9"/>
      <c r="Z44" s="9"/>
      <c r="AA44" s="9"/>
      <c r="AB44" s="9"/>
      <c r="AC44" s="9"/>
      <c r="AD44" s="9"/>
      <c r="AE44" s="9"/>
      <c r="AF44" s="9"/>
      <c r="AG44" s="9"/>
      <c r="AH44" s="9"/>
      <c r="AI44" s="9"/>
      <c r="AJ44" s="9"/>
      <c r="AK44" s="9"/>
      <c r="AL44" s="9"/>
      <c r="AM44" s="9"/>
      <c r="AN44" s="9"/>
      <c r="AO44" s="9"/>
      <c r="AP44" s="9"/>
      <c r="AQ44" s="9"/>
      <c r="AR44" s="9"/>
      <c r="AS44" s="9"/>
      <c r="AT44" s="9"/>
      <c r="AU44" s="9"/>
      <c r="AV44" s="9"/>
      <c r="AW44" s="9"/>
      <c r="AX44" s="9"/>
      <c r="AY44" s="9"/>
      <c r="AZ44" s="9"/>
      <c r="BA44" s="9"/>
      <c r="BB44" s="9"/>
      <c r="BC44" s="9"/>
      <c r="BD44" s="9"/>
      <c r="BE44" s="9"/>
      <c r="BF44" s="9"/>
      <c r="BG44" s="9"/>
      <c r="BH44" s="9"/>
      <c r="BI44" s="9"/>
      <c r="BJ44" s="9"/>
      <c r="BK44" s="9"/>
      <c r="BL44" s="9"/>
      <c r="BM44" s="9"/>
      <c r="BN44" s="9"/>
      <c r="BO44" s="9"/>
      <c r="BP44" s="9"/>
      <c r="BQ44" s="9"/>
      <c r="BR44" s="9"/>
    </row>
    <row r="45" spans="1:70" x14ac:dyDescent="0.25">
      <c r="A45" s="9" t="str">
        <f>IF(ISBLANK('Signal Definition'!J45),"",'Signal Definition'!J45)</f>
        <v>ExhATSysMdl_tOxdCatUs_PHY</v>
      </c>
      <c r="B45" s="9">
        <f t="array" ref="B45">COUNT(FIND("input",$D45:$CD45))</f>
        <v>1</v>
      </c>
      <c r="C45" s="9">
        <f t="array" ref="C45">COUNT(FIND("output",$D45:$CD45))</f>
        <v>1</v>
      </c>
      <c r="J45" t="s">
        <v>2683</v>
      </c>
      <c r="Q45" t="s">
        <v>2663</v>
      </c>
      <c r="S45" s="9"/>
      <c r="T45" s="9"/>
      <c r="U45" s="9"/>
      <c r="V45" s="9"/>
      <c r="W45" s="9"/>
      <c r="X45" s="9"/>
      <c r="Y45" s="9"/>
      <c r="Z45" s="9"/>
      <c r="AA45" s="9"/>
      <c r="AB45" s="9"/>
      <c r="AC45" s="9"/>
      <c r="AD45" s="9"/>
      <c r="AE45" s="9"/>
      <c r="AF45" s="9"/>
      <c r="AG45" s="9"/>
      <c r="AH45" s="9"/>
      <c r="AI45" s="9"/>
      <c r="AJ45" s="9"/>
      <c r="AK45" s="9"/>
      <c r="AL45" s="9"/>
      <c r="AM45" s="9"/>
      <c r="AN45" s="9"/>
      <c r="AO45" s="9"/>
      <c r="AP45" s="9"/>
      <c r="AQ45" s="9"/>
      <c r="AR45" s="9"/>
      <c r="AS45" s="9"/>
      <c r="AT45" s="9"/>
      <c r="AU45" s="9"/>
      <c r="AV45" s="9"/>
      <c r="AW45" s="9"/>
      <c r="AX45" s="9"/>
      <c r="AY45" s="9"/>
      <c r="AZ45" s="9"/>
      <c r="BA45" s="9"/>
      <c r="BB45" s="9"/>
      <c r="BC45" s="9"/>
      <c r="BD45" s="9"/>
      <c r="BE45" s="9"/>
      <c r="BF45" s="9"/>
      <c r="BG45" s="9"/>
      <c r="BH45" s="9"/>
      <c r="BI45" s="9"/>
      <c r="BJ45" s="9"/>
      <c r="BK45" s="9"/>
      <c r="BL45" s="9"/>
      <c r="BM45" s="9"/>
      <c r="BN45" s="9"/>
      <c r="BO45" s="9"/>
      <c r="BP45" s="9"/>
      <c r="BQ45" s="9"/>
      <c r="BR45" s="9"/>
    </row>
    <row r="46" spans="1:70" x14ac:dyDescent="0.25">
      <c r="A46" s="9" t="str">
        <f>IF(ISBLANK('Signal Definition'!J46),"",'Signal Definition'!J46)</f>
        <v>ExhATSysMdl_tPMFilUs_PHY</v>
      </c>
      <c r="B46" s="9">
        <f t="array" ref="B46">COUNT(FIND("input",$D46:$CD46))</f>
        <v>0</v>
      </c>
      <c r="C46" s="9">
        <f t="array" ref="C46">COUNT(FIND("output",$D46:$CD46))</f>
        <v>1</v>
      </c>
      <c r="D46" s="9"/>
      <c r="E46" s="9"/>
      <c r="F46" s="9"/>
      <c r="G46" s="9"/>
      <c r="H46" s="9"/>
      <c r="I46" s="9"/>
      <c r="J46" s="9"/>
      <c r="K46" s="9"/>
      <c r="L46" s="9"/>
      <c r="M46" s="9"/>
      <c r="N46" s="9"/>
      <c r="O46" s="9"/>
      <c r="P46" s="9"/>
      <c r="Q46" s="9" t="s">
        <v>2663</v>
      </c>
      <c r="R46" s="9"/>
      <c r="S46" s="9"/>
      <c r="T46" s="9"/>
      <c r="U46" s="9"/>
      <c r="V46" s="9"/>
      <c r="W46" s="9"/>
      <c r="X46" s="9"/>
      <c r="Y46" s="9"/>
      <c r="Z46" s="9"/>
      <c r="AA46" s="9"/>
      <c r="AB46" s="9"/>
      <c r="AC46" s="9"/>
      <c r="AD46" s="9"/>
      <c r="AE46" s="9"/>
      <c r="AF46" s="9"/>
      <c r="AG46" s="9"/>
      <c r="AH46" s="9"/>
      <c r="AI46" s="9"/>
      <c r="AJ46" s="9"/>
      <c r="AK46" s="9"/>
      <c r="AL46" s="9"/>
      <c r="AM46" s="9"/>
      <c r="AN46" s="9"/>
      <c r="AO46" s="9"/>
      <c r="AP46" s="9"/>
      <c r="AQ46" s="9"/>
      <c r="AR46" s="9"/>
      <c r="AS46" s="9"/>
      <c r="AT46" s="9"/>
      <c r="AU46" s="9"/>
      <c r="AV46" s="9"/>
      <c r="AW46" s="9"/>
      <c r="AX46" s="9"/>
      <c r="AY46" s="9"/>
      <c r="AZ46" s="9"/>
      <c r="BA46" s="9"/>
      <c r="BB46" s="9"/>
      <c r="BC46" s="9"/>
      <c r="BD46" s="9"/>
      <c r="BE46" s="9"/>
      <c r="BF46" s="9"/>
      <c r="BG46" s="9"/>
      <c r="BH46" s="9"/>
      <c r="BI46" s="9"/>
      <c r="BJ46" s="9"/>
      <c r="BK46" s="9"/>
      <c r="BL46" s="9"/>
      <c r="BM46" s="9"/>
      <c r="BN46" s="9"/>
      <c r="BO46" s="9"/>
      <c r="BP46" s="9"/>
      <c r="BQ46" s="9"/>
      <c r="BR46" s="9"/>
    </row>
    <row r="47" spans="1:70" x14ac:dyDescent="0.25">
      <c r="A47" s="9" t="str">
        <f>IF(ISBLANK('Signal Definition'!J47),"",'Signal Definition'!J47)</f>
        <v>ExhATSysMdl_tPMFilDs_PHY</v>
      </c>
      <c r="B47" s="9">
        <f t="array" ref="B47">COUNT(FIND("input",$D47:$CD47))</f>
        <v>1</v>
      </c>
      <c r="C47" s="9">
        <f t="array" ref="C47">COUNT(FIND("output",$D47:$CD47))</f>
        <v>1</v>
      </c>
      <c r="J47" t="s">
        <v>2683</v>
      </c>
      <c r="Q47" t="s">
        <v>2663</v>
      </c>
      <c r="S47" s="9"/>
      <c r="T47" s="9"/>
      <c r="U47" s="9"/>
      <c r="V47" s="9"/>
      <c r="W47" s="9"/>
      <c r="X47" s="9"/>
      <c r="Y47" s="9"/>
      <c r="Z47" s="9"/>
      <c r="AA47" s="9"/>
      <c r="AB47" s="9"/>
      <c r="AC47" s="9"/>
      <c r="AD47" s="9"/>
      <c r="AE47" s="9"/>
      <c r="AF47" s="9"/>
      <c r="AG47" s="9"/>
      <c r="AH47" s="9"/>
      <c r="AI47" s="9"/>
      <c r="AJ47" s="9"/>
      <c r="AK47" s="9"/>
      <c r="AL47" s="9"/>
      <c r="AM47" s="9"/>
      <c r="AN47" s="9"/>
      <c r="AO47" s="9"/>
      <c r="AP47" s="9"/>
      <c r="AQ47" s="9"/>
      <c r="AR47" s="9"/>
      <c r="AS47" s="9"/>
      <c r="AT47" s="9"/>
      <c r="AU47" s="9"/>
      <c r="AV47" s="9"/>
      <c r="AW47" s="9"/>
      <c r="AX47" s="9"/>
      <c r="AY47" s="9"/>
      <c r="AZ47" s="9"/>
      <c r="BA47" s="9"/>
      <c r="BB47" s="9"/>
      <c r="BC47" s="9"/>
      <c r="BD47" s="9"/>
      <c r="BE47" s="9"/>
      <c r="BF47" s="9"/>
      <c r="BG47" s="9"/>
      <c r="BH47" s="9"/>
      <c r="BI47" s="9"/>
      <c r="BJ47" s="9"/>
      <c r="BK47" s="9"/>
      <c r="BL47" s="9"/>
      <c r="BM47" s="9"/>
      <c r="BN47" s="9"/>
      <c r="BO47" s="9"/>
      <c r="BP47" s="9"/>
      <c r="BQ47" s="9"/>
      <c r="BR47" s="9"/>
    </row>
    <row r="48" spans="1:70" x14ac:dyDescent="0.25">
      <c r="A48" s="9" t="str">
        <f>IF(ISBLANK('Signal Definition'!J48),"",'Signal Definition'!J48)</f>
        <v>ExhATSysMdl_pDifPMFil_CAN</v>
      </c>
      <c r="B48" s="9">
        <f t="array" ref="B48">COUNT(FIND("input",$D48:$CD48))</f>
        <v>0</v>
      </c>
      <c r="C48" s="9">
        <f t="array" ref="C48">COUNT(FIND("output",$D48:$CD48))</f>
        <v>1</v>
      </c>
      <c r="D48" s="9"/>
      <c r="E48" s="9"/>
      <c r="F48" s="9"/>
      <c r="G48" s="9"/>
      <c r="H48" s="9"/>
      <c r="I48" s="9"/>
      <c r="J48" s="9"/>
      <c r="K48" s="9"/>
      <c r="L48" s="9"/>
      <c r="M48" s="9"/>
      <c r="N48" s="9"/>
      <c r="O48" s="9"/>
      <c r="P48" s="9"/>
      <c r="Q48" s="9" t="s">
        <v>2663</v>
      </c>
      <c r="R48" s="9"/>
      <c r="S48" s="9"/>
      <c r="T48" s="9"/>
      <c r="U48" s="9"/>
      <c r="V48" s="9"/>
      <c r="W48" s="9"/>
      <c r="X48" s="9"/>
      <c r="Y48" s="9"/>
      <c r="Z48" s="9"/>
      <c r="AA48" s="9"/>
      <c r="AB48" s="9"/>
      <c r="AC48" s="9"/>
      <c r="AD48" s="9"/>
      <c r="AE48" s="9"/>
      <c r="AF48" s="9"/>
      <c r="AG48" s="9"/>
      <c r="AH48" s="9"/>
      <c r="AI48" s="9"/>
      <c r="AJ48" s="9"/>
      <c r="AK48" s="9"/>
      <c r="AL48" s="9"/>
      <c r="AM48" s="9"/>
      <c r="AN48" s="9"/>
      <c r="AO48" s="9"/>
      <c r="AP48" s="9"/>
      <c r="AQ48" s="9"/>
      <c r="AR48" s="9"/>
      <c r="AS48" s="9"/>
      <c r="AT48" s="9"/>
      <c r="AU48" s="9"/>
      <c r="AV48" s="9"/>
      <c r="AW48" s="9"/>
      <c r="AX48" s="9"/>
      <c r="AY48" s="9"/>
      <c r="AZ48" s="9"/>
      <c r="BA48" s="9"/>
      <c r="BB48" s="9"/>
      <c r="BC48" s="9"/>
      <c r="BD48" s="9"/>
      <c r="BE48" s="9"/>
      <c r="BF48" s="9"/>
      <c r="BG48" s="9"/>
      <c r="BH48" s="9"/>
      <c r="BI48" s="9"/>
      <c r="BJ48" s="9"/>
      <c r="BK48" s="9"/>
      <c r="BL48" s="9"/>
      <c r="BM48" s="9"/>
      <c r="BN48" s="9"/>
      <c r="BO48" s="9"/>
      <c r="BP48" s="9"/>
      <c r="BQ48" s="9"/>
      <c r="BR48" s="9"/>
    </row>
    <row r="49" spans="1:70" x14ac:dyDescent="0.25">
      <c r="A49" s="9" t="str">
        <f>IF(ISBLANK('Signal Definition'!J49),"",'Signal Definition'!J49)</f>
        <v>ExhATSysMdl_tASCDs_PHY</v>
      </c>
      <c r="B49" s="9">
        <f t="array" ref="B49">COUNT(FIND("input",$D49:$CD49))</f>
        <v>0</v>
      </c>
      <c r="C49" s="9">
        <f t="array" ref="C49">COUNT(FIND("output",$D49:$CD49))</f>
        <v>1</v>
      </c>
      <c r="D49" s="9"/>
      <c r="E49" s="9"/>
      <c r="F49" s="9"/>
      <c r="G49" s="9"/>
      <c r="H49" s="9"/>
      <c r="I49" s="9"/>
      <c r="J49" s="9"/>
      <c r="K49" s="9"/>
      <c r="L49" s="9"/>
      <c r="M49" s="9"/>
      <c r="N49" s="9"/>
      <c r="O49" s="9"/>
      <c r="P49" s="9"/>
      <c r="Q49" s="9" t="s">
        <v>2663</v>
      </c>
      <c r="R49" s="9"/>
      <c r="S49" s="9"/>
      <c r="T49" s="9"/>
      <c r="U49" s="9"/>
      <c r="V49" s="9"/>
      <c r="W49" s="9"/>
      <c r="X49" s="9"/>
      <c r="Y49" s="9"/>
      <c r="Z49" s="9"/>
      <c r="AA49" s="9"/>
      <c r="AB49" s="9"/>
      <c r="AC49" s="9"/>
      <c r="AD49" s="9"/>
      <c r="AE49" s="9"/>
      <c r="AF49" s="9"/>
      <c r="AG49" s="9"/>
      <c r="AH49" s="9"/>
      <c r="AI49" s="9"/>
      <c r="AJ49" s="9"/>
      <c r="AK49" s="9"/>
      <c r="AL49" s="9"/>
      <c r="AM49" s="9"/>
      <c r="AN49" s="9"/>
      <c r="AO49" s="9"/>
      <c r="AP49" s="9"/>
      <c r="AQ49" s="9"/>
      <c r="AR49" s="9"/>
      <c r="AS49" s="9"/>
      <c r="AT49" s="9"/>
      <c r="AU49" s="9"/>
      <c r="AV49" s="9"/>
      <c r="AW49" s="9"/>
      <c r="AX49" s="9"/>
      <c r="AY49" s="9"/>
      <c r="AZ49" s="9"/>
      <c r="BA49" s="9"/>
      <c r="BB49" s="9"/>
      <c r="BC49" s="9"/>
      <c r="BD49" s="9"/>
      <c r="BE49" s="9"/>
      <c r="BF49" s="9"/>
      <c r="BG49" s="9"/>
      <c r="BH49" s="9"/>
      <c r="BI49" s="9"/>
      <c r="BJ49" s="9"/>
      <c r="BK49" s="9"/>
      <c r="BL49" s="9"/>
      <c r="BM49" s="9"/>
      <c r="BN49" s="9"/>
      <c r="BO49" s="9"/>
      <c r="BP49" s="9"/>
      <c r="BQ49" s="9"/>
      <c r="BR49" s="9"/>
    </row>
    <row r="50" spans="1:70" x14ac:dyDescent="0.25">
      <c r="A50" s="9" t="str">
        <f>IF(ISBLANK('Signal Definition'!J50),"",'Signal Definition'!J50)</f>
        <v>TCU_stVeh_PHY</v>
      </c>
      <c r="B50" s="9">
        <f t="array" ref="B50">COUNT(FIND("input",$D50:$CD50))</f>
        <v>0</v>
      </c>
      <c r="C50" s="9">
        <f t="array" ref="C50">COUNT(FIND("output",$D50:$CD50))</f>
        <v>1</v>
      </c>
      <c r="D50" s="9"/>
      <c r="E50" s="9"/>
      <c r="F50" s="9"/>
      <c r="G50" s="9"/>
      <c r="H50" s="9" t="s">
        <v>2663</v>
      </c>
      <c r="I50" s="9"/>
      <c r="J50" s="9"/>
      <c r="K50" s="9"/>
      <c r="L50" s="9"/>
      <c r="M50" s="9"/>
      <c r="N50" s="9"/>
      <c r="O50" s="9"/>
      <c r="P50" s="9"/>
      <c r="Q50" s="9"/>
      <c r="R50" s="9"/>
      <c r="S50" s="9"/>
      <c r="T50" s="9"/>
      <c r="U50" s="9"/>
      <c r="V50" s="9"/>
      <c r="W50" s="9"/>
      <c r="X50" s="9"/>
      <c r="Y50" s="9"/>
      <c r="Z50" s="9"/>
      <c r="AA50" s="9"/>
      <c r="AB50" s="9"/>
      <c r="AC50" s="9"/>
      <c r="AD50" s="9"/>
      <c r="AE50" s="9"/>
      <c r="AF50" s="9"/>
      <c r="AG50" s="9"/>
      <c r="AH50" s="9"/>
      <c r="AI50" s="9"/>
      <c r="AJ50" s="9"/>
      <c r="AK50" s="9"/>
      <c r="AL50" s="9"/>
      <c r="AM50" s="9"/>
      <c r="AN50" s="9"/>
      <c r="AO50" s="9"/>
      <c r="AP50" s="9"/>
      <c r="AQ50" s="9"/>
      <c r="AR50" s="9"/>
      <c r="AS50" s="9"/>
      <c r="AT50" s="9"/>
      <c r="AU50" s="9"/>
      <c r="AV50" s="9"/>
      <c r="AW50" s="9"/>
      <c r="AX50" s="9"/>
      <c r="AY50" s="9"/>
      <c r="AZ50" s="9"/>
      <c r="BA50" s="9"/>
      <c r="BB50" s="9"/>
      <c r="BC50" s="9"/>
      <c r="BD50" s="9"/>
      <c r="BE50" s="9"/>
      <c r="BF50" s="9"/>
      <c r="BG50" s="9"/>
      <c r="BH50" s="9"/>
      <c r="BI50" s="9"/>
      <c r="BJ50" s="9"/>
      <c r="BK50" s="9"/>
      <c r="BL50" s="9"/>
      <c r="BM50" s="9"/>
      <c r="BN50" s="9"/>
      <c r="BO50" s="9"/>
      <c r="BP50" s="9"/>
      <c r="BQ50" s="9"/>
      <c r="BR50" s="9"/>
    </row>
    <row r="51" spans="1:70" x14ac:dyDescent="0.25">
      <c r="A51" s="9" t="str">
        <f>IF(ISBLANK('Signal Definition'!J51),"",'Signal Definition'!J51)</f>
        <v>TCU_numLaunchGear_PHY</v>
      </c>
      <c r="B51" s="9">
        <f t="array" ref="B51">COUNT(FIND("input",$D51:$CD51))</f>
        <v>0</v>
      </c>
      <c r="C51" s="9">
        <f t="array" ref="C51">COUNT(FIND("output",$D51:$CD51))</f>
        <v>1</v>
      </c>
      <c r="D51" s="9"/>
      <c r="E51" s="9"/>
      <c r="F51" s="9"/>
      <c r="G51" s="9"/>
      <c r="H51" s="9" t="s">
        <v>2663</v>
      </c>
      <c r="I51" s="9"/>
      <c r="J51" s="9"/>
      <c r="K51" s="9"/>
      <c r="L51" s="9"/>
      <c r="M51" s="9"/>
      <c r="N51" s="9"/>
      <c r="O51" s="9"/>
      <c r="P51" s="9"/>
      <c r="Q51" s="9"/>
      <c r="R51" s="9"/>
      <c r="S51" s="9"/>
      <c r="T51" s="9"/>
      <c r="U51" s="9"/>
      <c r="V51" s="9"/>
      <c r="W51" s="9"/>
      <c r="X51" s="9"/>
      <c r="Y51" s="9"/>
      <c r="Z51" s="9"/>
      <c r="AA51" s="9"/>
      <c r="AB51" s="9"/>
      <c r="AC51" s="9"/>
      <c r="AD51" s="9"/>
      <c r="AE51" s="9"/>
      <c r="AF51" s="9"/>
      <c r="AG51" s="9"/>
      <c r="AH51" s="9"/>
      <c r="AI51" s="9"/>
      <c r="AJ51" s="9"/>
      <c r="AK51" s="9"/>
      <c r="AL51" s="9"/>
      <c r="AM51" s="9"/>
      <c r="AN51" s="9"/>
      <c r="AO51" s="9"/>
      <c r="AP51" s="9"/>
      <c r="AQ51" s="9"/>
      <c r="AR51" s="9"/>
      <c r="AS51" s="9"/>
      <c r="AT51" s="9"/>
      <c r="AU51" s="9"/>
      <c r="AV51" s="9"/>
      <c r="AW51" s="9"/>
      <c r="AX51" s="9"/>
      <c r="AY51" s="9"/>
      <c r="AZ51" s="9"/>
      <c r="BA51" s="9"/>
      <c r="BB51" s="9"/>
      <c r="BC51" s="9"/>
      <c r="BD51" s="9"/>
      <c r="BE51" s="9"/>
      <c r="BF51" s="9"/>
      <c r="BG51" s="9"/>
      <c r="BH51" s="9"/>
      <c r="BI51" s="9"/>
      <c r="BJ51" s="9"/>
      <c r="BK51" s="9"/>
      <c r="BL51" s="9"/>
      <c r="BM51" s="9"/>
      <c r="BN51" s="9"/>
      <c r="BO51" s="9"/>
      <c r="BP51" s="9"/>
      <c r="BQ51" s="9"/>
      <c r="BR51" s="9"/>
    </row>
    <row r="52" spans="1:70" x14ac:dyDescent="0.25">
      <c r="A52" s="9" t="str">
        <f>IF(ISBLANK('Signal Definition'!J52),"",'Signal Definition'!J52)</f>
        <v>TCU_numGearDmd_PHY</v>
      </c>
      <c r="B52" s="9">
        <f t="array" ref="B52">COUNT(FIND("input",$D52:$CD52))</f>
        <v>0</v>
      </c>
      <c r="C52" s="9">
        <f t="array" ref="C52">COUNT(FIND("output",$D52:$CD52))</f>
        <v>1</v>
      </c>
      <c r="D52" s="9"/>
      <c r="E52" s="9"/>
      <c r="F52" s="9"/>
      <c r="G52" s="9"/>
      <c r="H52" s="9" t="s">
        <v>2663</v>
      </c>
      <c r="I52" s="9"/>
      <c r="J52" s="9"/>
      <c r="K52" s="9"/>
      <c r="L52" s="9"/>
      <c r="M52" s="9"/>
      <c r="N52" s="9"/>
      <c r="O52" s="9"/>
      <c r="P52" s="9"/>
      <c r="Q52" s="9"/>
      <c r="R52" s="9"/>
      <c r="S52" s="9"/>
      <c r="T52" s="9"/>
      <c r="U52" s="9"/>
      <c r="V52" s="9"/>
      <c r="W52" s="9"/>
      <c r="X52" s="9"/>
      <c r="Y52" s="9"/>
      <c r="Z52" s="9"/>
      <c r="AA52" s="9"/>
      <c r="AB52" s="9"/>
      <c r="AC52" s="9"/>
      <c r="AD52" s="9"/>
      <c r="AE52" s="9"/>
      <c r="AF52" s="9"/>
      <c r="AG52" s="9"/>
      <c r="AH52" s="9"/>
      <c r="AI52" s="9"/>
      <c r="AJ52" s="9"/>
      <c r="AK52" s="9"/>
      <c r="AL52" s="9"/>
      <c r="AM52" s="9"/>
      <c r="AN52" s="9"/>
      <c r="AO52" s="9"/>
      <c r="AP52" s="9"/>
      <c r="AQ52" s="9"/>
      <c r="AR52" s="9"/>
      <c r="AS52" s="9"/>
      <c r="AT52" s="9"/>
      <c r="AU52" s="9"/>
      <c r="AV52" s="9"/>
      <c r="AW52" s="9"/>
      <c r="AX52" s="9"/>
      <c r="AY52" s="9"/>
      <c r="AZ52" s="9"/>
      <c r="BA52" s="9"/>
      <c r="BB52" s="9"/>
      <c r="BC52" s="9"/>
      <c r="BD52" s="9"/>
      <c r="BE52" s="9"/>
      <c r="BF52" s="9"/>
      <c r="BG52" s="9"/>
      <c r="BH52" s="9"/>
      <c r="BI52" s="9"/>
      <c r="BJ52" s="9"/>
      <c r="BK52" s="9"/>
      <c r="BL52" s="9"/>
      <c r="BM52" s="9"/>
      <c r="BN52" s="9"/>
      <c r="BO52" s="9"/>
      <c r="BP52" s="9"/>
      <c r="BQ52" s="9"/>
      <c r="BR52" s="9"/>
    </row>
    <row r="53" spans="1:70" x14ac:dyDescent="0.25">
      <c r="A53" s="9" t="str">
        <f>IF(ISBLANK('Signal Definition'!J53),"",'Signal Definition'!J53)</f>
        <v>TCU_numGear_PHY</v>
      </c>
      <c r="B53" s="9">
        <f t="array" ref="B53">COUNT(FIND("input",$D53:$CD53))</f>
        <v>3</v>
      </c>
      <c r="C53" s="9">
        <f t="array" ref="C53">COUNT(FIND("output",$D53:$CD53))</f>
        <v>1</v>
      </c>
      <c r="G53" t="s">
        <v>2683</v>
      </c>
      <c r="H53" t="s">
        <v>2663</v>
      </c>
      <c r="I53" t="s">
        <v>2683</v>
      </c>
      <c r="J53" t="s">
        <v>2683</v>
      </c>
      <c r="S53" s="9"/>
      <c r="T53" s="9"/>
      <c r="U53" s="9"/>
      <c r="V53" s="9"/>
      <c r="W53" s="9"/>
      <c r="X53" s="9"/>
      <c r="Y53" s="9"/>
      <c r="Z53" s="9"/>
      <c r="AA53" s="9"/>
      <c r="AB53" s="9"/>
      <c r="AC53" s="9"/>
      <c r="AD53" s="9"/>
      <c r="AE53" s="9"/>
      <c r="AF53" s="9"/>
      <c r="AG53" s="9"/>
      <c r="AH53" s="9"/>
      <c r="AI53" s="9"/>
      <c r="AJ53" s="9"/>
      <c r="AK53" s="9"/>
      <c r="AL53" s="9"/>
      <c r="AM53" s="9"/>
      <c r="AN53" s="9"/>
      <c r="AO53" s="9"/>
      <c r="AP53" s="9"/>
      <c r="AQ53" s="9"/>
      <c r="AR53" s="9"/>
      <c r="AS53" s="9"/>
      <c r="AT53" s="9"/>
      <c r="AU53" s="9"/>
      <c r="AV53" s="9"/>
      <c r="AW53" s="9"/>
      <c r="AX53" s="9"/>
      <c r="AY53" s="9"/>
      <c r="AZ53" s="9"/>
      <c r="BA53" s="9"/>
      <c r="BB53" s="9"/>
      <c r="BC53" s="9"/>
      <c r="BD53" s="9"/>
      <c r="BE53" s="9"/>
      <c r="BF53" s="9"/>
      <c r="BG53" s="9"/>
      <c r="BH53" s="9"/>
      <c r="BI53" s="9"/>
      <c r="BJ53" s="9"/>
      <c r="BK53" s="9"/>
      <c r="BL53" s="9"/>
      <c r="BM53" s="9"/>
      <c r="BN53" s="9"/>
      <c r="BO53" s="9"/>
      <c r="BP53" s="9"/>
      <c r="BQ53" s="9"/>
      <c r="BR53" s="9"/>
    </row>
    <row r="54" spans="1:70" x14ac:dyDescent="0.25">
      <c r="A54" s="9" t="str">
        <f>IF(ISBLANK('Signal Definition'!J54),"",'Signal Definition'!J54)</f>
        <v>TCU_prcTqReq_CAN</v>
      </c>
      <c r="B54" s="9">
        <f t="array" ref="B54">COUNT(FIND("input",$D54:$CD54))</f>
        <v>1</v>
      </c>
      <c r="C54" s="9">
        <f t="array" ref="C54">COUNT(FIND("output",$D54:$CD54))</f>
        <v>1</v>
      </c>
      <c r="H54" t="s">
        <v>2663</v>
      </c>
      <c r="J54" t="s">
        <v>2683</v>
      </c>
      <c r="S54" s="9"/>
      <c r="T54" s="9"/>
      <c r="U54" s="9"/>
      <c r="V54" s="9"/>
      <c r="W54" s="9"/>
      <c r="X54" s="9"/>
      <c r="Y54" s="9"/>
      <c r="Z54" s="9"/>
      <c r="AA54" s="9"/>
      <c r="AB54" s="9"/>
      <c r="AC54" s="9"/>
      <c r="AD54" s="9"/>
      <c r="AE54" s="9"/>
      <c r="AF54" s="9"/>
      <c r="AG54" s="9"/>
      <c r="AH54" s="9"/>
      <c r="AI54" s="9"/>
      <c r="AJ54" s="9"/>
      <c r="AK54" s="9"/>
      <c r="AL54" s="9"/>
      <c r="AM54" s="9"/>
      <c r="AN54" s="9"/>
      <c r="AO54" s="9"/>
      <c r="AP54" s="9"/>
      <c r="AQ54" s="9"/>
      <c r="AR54" s="9"/>
      <c r="AS54" s="9"/>
      <c r="AT54" s="9"/>
      <c r="AU54" s="9"/>
      <c r="AV54" s="9"/>
      <c r="AW54" s="9"/>
      <c r="AX54" s="9"/>
      <c r="AY54" s="9"/>
      <c r="AZ54" s="9"/>
      <c r="BA54" s="9"/>
      <c r="BB54" s="9"/>
      <c r="BC54" s="9"/>
      <c r="BD54" s="9"/>
      <c r="BE54" s="9"/>
      <c r="BF54" s="9"/>
      <c r="BG54" s="9"/>
      <c r="BH54" s="9"/>
      <c r="BI54" s="9"/>
      <c r="BJ54" s="9"/>
      <c r="BK54" s="9"/>
      <c r="BL54" s="9"/>
      <c r="BM54" s="9"/>
      <c r="BN54" s="9"/>
      <c r="BO54" s="9"/>
      <c r="BP54" s="9"/>
      <c r="BQ54" s="9"/>
      <c r="BR54" s="9"/>
    </row>
    <row r="55" spans="1:70" x14ac:dyDescent="0.25">
      <c r="A55" s="9" t="str">
        <f>IF(ISBLANK('Signal Definition'!J55),"",'Signal Definition'!J55)</f>
        <v>TCU_nEngSpdReq_CAN</v>
      </c>
      <c r="B55" s="9">
        <f t="array" ref="B55">COUNT(FIND("input",$D55:$CD55))</f>
        <v>1</v>
      </c>
      <c r="C55" s="9">
        <f t="array" ref="C55">COUNT(FIND("output",$D55:$CD55))</f>
        <v>1</v>
      </c>
      <c r="H55" t="s">
        <v>2663</v>
      </c>
      <c r="J55" t="s">
        <v>2683</v>
      </c>
      <c r="S55" s="9"/>
      <c r="T55" s="9"/>
      <c r="U55" s="9"/>
      <c r="V55" s="9"/>
      <c r="W55" s="9"/>
      <c r="X55" s="9"/>
      <c r="Y55" s="9"/>
      <c r="Z55" s="9"/>
      <c r="AA55" s="9"/>
      <c r="AB55" s="9"/>
      <c r="AC55" s="9"/>
      <c r="AD55" s="9"/>
      <c r="AE55" s="9"/>
      <c r="AF55" s="9"/>
      <c r="AG55" s="9"/>
      <c r="AH55" s="9"/>
      <c r="AI55" s="9"/>
      <c r="AJ55" s="9"/>
      <c r="AK55" s="9"/>
      <c r="AL55" s="9"/>
      <c r="AM55" s="9"/>
      <c r="AN55" s="9"/>
      <c r="AO55" s="9"/>
      <c r="AP55" s="9"/>
      <c r="AQ55" s="9"/>
      <c r="AR55" s="9"/>
      <c r="AS55" s="9"/>
      <c r="AT55" s="9"/>
      <c r="AU55" s="9"/>
      <c r="AV55" s="9"/>
      <c r="AW55" s="9"/>
      <c r="AX55" s="9"/>
      <c r="AY55" s="9"/>
      <c r="AZ55" s="9"/>
      <c r="BA55" s="9"/>
      <c r="BB55" s="9"/>
      <c r="BC55" s="9"/>
      <c r="BD55" s="9"/>
      <c r="BE55" s="9"/>
      <c r="BF55" s="9"/>
      <c r="BG55" s="9"/>
      <c r="BH55" s="9"/>
      <c r="BI55" s="9"/>
      <c r="BJ55" s="9"/>
      <c r="BK55" s="9"/>
      <c r="BL55" s="9"/>
      <c r="BM55" s="9"/>
      <c r="BN55" s="9"/>
      <c r="BO55" s="9"/>
      <c r="BP55" s="9"/>
      <c r="BQ55" s="9"/>
      <c r="BR55" s="9"/>
    </row>
    <row r="56" spans="1:70" x14ac:dyDescent="0.25">
      <c r="A56" s="9" t="str">
        <f>IF(ISBLANK('Signal Definition'!J56),"",'Signal Definition'!J56)</f>
        <v>TCU_numOverCtrl_CAN</v>
      </c>
      <c r="B56" s="9">
        <f t="array" ref="B56">COUNT(FIND("input",$D56:$CD56))</f>
        <v>1</v>
      </c>
      <c r="C56" s="9">
        <f t="array" ref="C56">COUNT(FIND("output",$D56:$CD56))</f>
        <v>1</v>
      </c>
      <c r="H56" t="s">
        <v>2663</v>
      </c>
      <c r="J56" t="s">
        <v>2683</v>
      </c>
      <c r="S56" s="9"/>
      <c r="T56" s="9"/>
      <c r="U56" s="9"/>
      <c r="V56" s="9"/>
      <c r="W56" s="9"/>
      <c r="X56" s="9"/>
      <c r="Y56" s="9"/>
      <c r="Z56" s="9"/>
      <c r="AA56" s="9"/>
      <c r="AB56" s="9"/>
      <c r="AC56" s="9"/>
      <c r="AD56" s="9"/>
      <c r="AE56" s="9"/>
      <c r="AF56" s="9"/>
      <c r="AG56" s="9"/>
      <c r="AH56" s="9"/>
      <c r="AI56" s="9"/>
      <c r="AJ56" s="9"/>
      <c r="AK56" s="9"/>
      <c r="AL56" s="9"/>
      <c r="AM56" s="9"/>
      <c r="AN56" s="9"/>
      <c r="AO56" s="9"/>
      <c r="AP56" s="9"/>
      <c r="AQ56" s="9"/>
      <c r="AR56" s="9"/>
      <c r="AS56" s="9"/>
      <c r="AT56" s="9"/>
      <c r="AU56" s="9"/>
      <c r="AV56" s="9"/>
      <c r="AW56" s="9"/>
      <c r="AX56" s="9"/>
      <c r="AY56" s="9"/>
      <c r="AZ56" s="9"/>
      <c r="BA56" s="9"/>
      <c r="BB56" s="9"/>
      <c r="BC56" s="9"/>
      <c r="BD56" s="9"/>
      <c r="BE56" s="9"/>
      <c r="BF56" s="9"/>
      <c r="BG56" s="9"/>
      <c r="BH56" s="9"/>
      <c r="BI56" s="9"/>
      <c r="BJ56" s="9"/>
      <c r="BK56" s="9"/>
      <c r="BL56" s="9"/>
      <c r="BM56" s="9"/>
      <c r="BN56" s="9"/>
      <c r="BO56" s="9"/>
      <c r="BP56" s="9"/>
      <c r="BQ56" s="9"/>
      <c r="BR56" s="9"/>
    </row>
    <row r="57" spans="1:70" x14ac:dyDescent="0.25">
      <c r="A57" s="9" t="str">
        <f>IF(ISBLANK('Signal Definition'!J57),"",'Signal Definition'!J57)</f>
        <v>TCU_prcCluPosn_PHY</v>
      </c>
      <c r="B57" s="9">
        <f t="array" ref="B57">COUNT(FIND("input",$D57:$CD57))</f>
        <v>1</v>
      </c>
      <c r="C57" s="9">
        <f t="array" ref="C57">COUNT(FIND("output",$D57:$CD57))</f>
        <v>1</v>
      </c>
      <c r="H57" t="s">
        <v>2663</v>
      </c>
      <c r="I57" t="s">
        <v>2683</v>
      </c>
      <c r="S57" s="9"/>
      <c r="T57" s="9"/>
      <c r="U57" s="9"/>
      <c r="V57" s="9"/>
      <c r="W57" s="9"/>
      <c r="X57" s="9"/>
      <c r="Y57" s="9"/>
      <c r="Z57" s="9"/>
      <c r="AA57" s="9"/>
      <c r="AB57" s="9"/>
      <c r="AC57" s="9"/>
      <c r="AD57" s="9"/>
      <c r="AE57" s="9"/>
      <c r="AF57" s="9"/>
      <c r="AG57" s="9"/>
      <c r="AH57" s="9"/>
      <c r="AI57" s="9"/>
      <c r="AJ57" s="9"/>
      <c r="AK57" s="9"/>
      <c r="AL57" s="9"/>
      <c r="AM57" s="9"/>
      <c r="AN57" s="9"/>
      <c r="AO57" s="9"/>
      <c r="AP57" s="9"/>
      <c r="AQ57" s="9"/>
      <c r="AR57" s="9"/>
      <c r="AS57" s="9"/>
      <c r="AT57" s="9"/>
      <c r="AU57" s="9"/>
      <c r="AV57" s="9"/>
      <c r="AW57" s="9"/>
      <c r="AX57" s="9"/>
      <c r="AY57" s="9"/>
      <c r="AZ57" s="9"/>
      <c r="BA57" s="9"/>
      <c r="BB57" s="9"/>
      <c r="BC57" s="9"/>
      <c r="BD57" s="9"/>
      <c r="BE57" s="9"/>
      <c r="BF57" s="9"/>
      <c r="BG57" s="9"/>
      <c r="BH57" s="9"/>
      <c r="BI57" s="9"/>
      <c r="BJ57" s="9"/>
      <c r="BK57" s="9"/>
      <c r="BL57" s="9"/>
      <c r="BM57" s="9"/>
      <c r="BN57" s="9"/>
      <c r="BO57" s="9"/>
      <c r="BP57" s="9"/>
      <c r="BQ57" s="9"/>
      <c r="BR57" s="9"/>
    </row>
    <row r="58" spans="1:70" x14ac:dyDescent="0.25">
      <c r="A58" s="9" t="str">
        <f>IF(ISBLANK('Signal Definition'!J58),"",'Signal Definition'!J58)</f>
        <v>TCU_stShiftInProgs_PHY</v>
      </c>
      <c r="B58" s="9">
        <f t="array" ref="B58">COUNT(FIND("input",$D58:$CD58))</f>
        <v>0</v>
      </c>
      <c r="C58" s="9">
        <f t="array" ref="C58">COUNT(FIND("output",$D58:$CD58))</f>
        <v>1</v>
      </c>
      <c r="D58" s="9"/>
      <c r="E58" s="9"/>
      <c r="F58" s="9"/>
      <c r="G58" s="9"/>
      <c r="H58" s="9" t="s">
        <v>2663</v>
      </c>
      <c r="I58" s="9"/>
      <c r="J58" s="9"/>
      <c r="K58" s="9"/>
      <c r="L58" s="9"/>
      <c r="M58" s="9"/>
      <c r="N58" s="9"/>
      <c r="O58" s="9"/>
      <c r="P58" s="9"/>
      <c r="Q58" s="9"/>
      <c r="R58" s="9"/>
      <c r="S58" s="9"/>
      <c r="T58" s="9"/>
      <c r="U58" s="9"/>
      <c r="V58" s="9"/>
      <c r="W58" s="9"/>
      <c r="X58" s="9"/>
      <c r="Y58" s="9"/>
      <c r="Z58" s="9"/>
      <c r="AA58" s="9"/>
      <c r="AB58" s="9"/>
      <c r="AC58" s="9"/>
      <c r="AD58" s="9"/>
      <c r="AE58" s="9"/>
      <c r="AF58" s="9"/>
      <c r="AG58" s="9"/>
      <c r="AH58" s="9"/>
      <c r="AI58" s="9"/>
      <c r="AJ58" s="9"/>
      <c r="AK58" s="9"/>
      <c r="AL58" s="9"/>
      <c r="AM58" s="9"/>
      <c r="AN58" s="9"/>
      <c r="AO58" s="9"/>
      <c r="AP58" s="9"/>
      <c r="AQ58" s="9"/>
      <c r="AR58" s="9"/>
      <c r="AS58" s="9"/>
      <c r="AT58" s="9"/>
      <c r="AU58" s="9"/>
      <c r="AV58" s="9"/>
      <c r="AW58" s="9"/>
      <c r="AX58" s="9"/>
      <c r="AY58" s="9"/>
      <c r="AZ58" s="9"/>
      <c r="BA58" s="9"/>
      <c r="BB58" s="9"/>
      <c r="BC58" s="9"/>
      <c r="BD58" s="9"/>
      <c r="BE58" s="9"/>
      <c r="BF58" s="9"/>
      <c r="BG58" s="9"/>
      <c r="BH58" s="9"/>
      <c r="BI58" s="9"/>
      <c r="BJ58" s="9"/>
      <c r="BK58" s="9"/>
      <c r="BL58" s="9"/>
      <c r="BM58" s="9"/>
      <c r="BN58" s="9"/>
      <c r="BO58" s="9"/>
      <c r="BP58" s="9"/>
      <c r="BQ58" s="9"/>
      <c r="BR58" s="9"/>
    </row>
    <row r="59" spans="1:70" x14ac:dyDescent="0.25">
      <c r="A59" s="9" t="str">
        <f>IF(ISBLANK('Signal Definition'!J59),"",'Signal Definition'!J59)</f>
        <v>TCU_stClu_PHY</v>
      </c>
      <c r="B59" s="9">
        <f t="array" ref="B59">COUNT(FIND("input",$D59:$CD59))</f>
        <v>1</v>
      </c>
      <c r="C59" s="9">
        <f t="array" ref="C59">COUNT(FIND("output",$D59:$CD59))</f>
        <v>1</v>
      </c>
      <c r="H59" t="s">
        <v>2663</v>
      </c>
      <c r="J59" t="s">
        <v>2683</v>
      </c>
      <c r="S59" s="9"/>
      <c r="T59" s="9"/>
      <c r="U59" s="9"/>
      <c r="V59" s="9"/>
      <c r="W59" s="9"/>
      <c r="X59" s="9"/>
      <c r="Y59" s="9"/>
      <c r="Z59" s="9"/>
      <c r="AA59" s="9"/>
      <c r="AB59" s="9"/>
      <c r="AC59" s="9"/>
      <c r="AD59" s="9"/>
      <c r="AE59" s="9"/>
      <c r="AF59" s="9"/>
      <c r="AG59" s="9"/>
      <c r="AH59" s="9"/>
      <c r="AI59" s="9"/>
      <c r="AJ59" s="9"/>
      <c r="AK59" s="9"/>
      <c r="AL59" s="9"/>
      <c r="AM59" s="9"/>
      <c r="AN59" s="9"/>
      <c r="AO59" s="9"/>
      <c r="AP59" s="9"/>
      <c r="AQ59" s="9"/>
      <c r="AR59" s="9"/>
      <c r="AS59" s="9"/>
      <c r="AT59" s="9"/>
      <c r="AU59" s="9"/>
      <c r="AV59" s="9"/>
      <c r="AW59" s="9"/>
      <c r="AX59" s="9"/>
      <c r="AY59" s="9"/>
      <c r="AZ59" s="9"/>
      <c r="BA59" s="9"/>
      <c r="BB59" s="9"/>
      <c r="BC59" s="9"/>
      <c r="BD59" s="9"/>
      <c r="BE59" s="9"/>
      <c r="BF59" s="9"/>
      <c r="BG59" s="9"/>
      <c r="BH59" s="9"/>
      <c r="BI59" s="9"/>
      <c r="BJ59" s="9"/>
      <c r="BK59" s="9"/>
      <c r="BL59" s="9"/>
      <c r="BM59" s="9"/>
      <c r="BN59" s="9"/>
      <c r="BO59" s="9"/>
      <c r="BP59" s="9"/>
      <c r="BQ59" s="9"/>
      <c r="BR59" s="9"/>
    </row>
    <row r="60" spans="1:70" x14ac:dyDescent="0.25">
      <c r="A60" s="9" t="str">
        <f>IF(ISBLANK('Signal Definition'!J60),"",'Signal Definition'!J60)</f>
        <v>TCU_stGearShiftMod_PHY</v>
      </c>
      <c r="B60" s="9">
        <f t="array" ref="B60">COUNT(FIND("input",$D60:$CD60))</f>
        <v>0</v>
      </c>
      <c r="C60" s="9">
        <f t="array" ref="C60">COUNT(FIND("output",$D60:$CD60))</f>
        <v>1</v>
      </c>
      <c r="D60" s="9"/>
      <c r="E60" s="9"/>
      <c r="F60" s="9"/>
      <c r="G60" s="9"/>
      <c r="H60" s="9" t="s">
        <v>2663</v>
      </c>
      <c r="I60" s="9"/>
      <c r="J60" s="9"/>
      <c r="K60" s="9"/>
      <c r="L60" s="9"/>
      <c r="M60" s="9"/>
      <c r="N60" s="9"/>
      <c r="O60" s="9"/>
      <c r="P60" s="9"/>
      <c r="Q60" s="9"/>
      <c r="R60" s="9"/>
      <c r="S60" s="9"/>
      <c r="T60" s="9"/>
      <c r="U60" s="9"/>
      <c r="V60" s="9"/>
      <c r="W60" s="9"/>
      <c r="X60" s="9"/>
      <c r="Y60" s="9"/>
      <c r="Z60" s="9"/>
      <c r="AA60" s="9"/>
      <c r="AB60" s="9"/>
      <c r="AC60" s="9"/>
      <c r="AD60" s="9"/>
      <c r="AE60" s="9"/>
      <c r="AF60" s="9"/>
      <c r="AG60" s="9"/>
      <c r="AH60" s="9"/>
      <c r="AI60" s="9"/>
      <c r="AJ60" s="9"/>
      <c r="AK60" s="9"/>
      <c r="AL60" s="9"/>
      <c r="AM60" s="9"/>
      <c r="AN60" s="9"/>
      <c r="AO60" s="9"/>
      <c r="AP60" s="9"/>
      <c r="AQ60" s="9"/>
      <c r="AR60" s="9"/>
      <c r="AS60" s="9"/>
      <c r="AT60" s="9"/>
      <c r="AU60" s="9"/>
      <c r="AV60" s="9"/>
      <c r="AW60" s="9"/>
      <c r="AX60" s="9"/>
      <c r="AY60" s="9"/>
      <c r="AZ60" s="9"/>
      <c r="BA60" s="9"/>
      <c r="BB60" s="9"/>
      <c r="BC60" s="9"/>
      <c r="BD60" s="9"/>
      <c r="BE60" s="9"/>
      <c r="BF60" s="9"/>
      <c r="BG60" s="9"/>
      <c r="BH60" s="9"/>
      <c r="BI60" s="9"/>
      <c r="BJ60" s="9"/>
      <c r="BK60" s="9"/>
      <c r="BL60" s="9"/>
      <c r="BM60" s="9"/>
      <c r="BN60" s="9"/>
      <c r="BO60" s="9"/>
      <c r="BP60" s="9"/>
      <c r="BQ60" s="9"/>
      <c r="BR60" s="9"/>
    </row>
    <row r="61" spans="1:70" x14ac:dyDescent="0.25">
      <c r="A61" s="9" t="str">
        <f>IF(ISBLANK('Signal Definition'!J61),"",'Signal Definition'!J61)</f>
        <v>TCU_trqTrsmIntvReq_PHY</v>
      </c>
      <c r="B61" s="9">
        <f t="array" ref="B61">COUNT(FIND("input",$D61:$CD61))</f>
        <v>0</v>
      </c>
      <c r="C61" s="9">
        <f t="array" ref="C61">COUNT(FIND("output",$D61:$CD61))</f>
        <v>1</v>
      </c>
      <c r="D61" s="9"/>
      <c r="E61" s="9"/>
      <c r="F61" s="9"/>
      <c r="G61" s="9"/>
      <c r="H61" s="9" t="s">
        <v>2663</v>
      </c>
      <c r="I61" s="9"/>
      <c r="J61" s="9"/>
      <c r="K61" s="9"/>
      <c r="L61" s="9"/>
      <c r="M61" s="9"/>
      <c r="N61" s="9"/>
      <c r="O61" s="9"/>
      <c r="P61" s="9"/>
      <c r="Q61" s="9"/>
      <c r="R61" s="9"/>
      <c r="S61" s="9"/>
      <c r="T61" s="9"/>
      <c r="U61" s="9"/>
      <c r="V61" s="9"/>
      <c r="W61" s="9"/>
      <c r="X61" s="9"/>
      <c r="Y61" s="9"/>
      <c r="Z61" s="9"/>
      <c r="AA61" s="9"/>
      <c r="AB61" s="9"/>
      <c r="AC61" s="9"/>
      <c r="AD61" s="9"/>
      <c r="AE61" s="9"/>
      <c r="AF61" s="9"/>
      <c r="AG61" s="9"/>
      <c r="AH61" s="9"/>
      <c r="AI61" s="9"/>
      <c r="AJ61" s="9"/>
      <c r="AK61" s="9"/>
      <c r="AL61" s="9"/>
      <c r="AM61" s="9"/>
      <c r="AN61" s="9"/>
      <c r="AO61" s="9"/>
      <c r="AP61" s="9"/>
      <c r="AQ61" s="9"/>
      <c r="AR61" s="9"/>
      <c r="AS61" s="9"/>
      <c r="AT61" s="9"/>
      <c r="AU61" s="9"/>
      <c r="AV61" s="9"/>
      <c r="AW61" s="9"/>
      <c r="AX61" s="9"/>
      <c r="AY61" s="9"/>
      <c r="AZ61" s="9"/>
      <c r="BA61" s="9"/>
      <c r="BB61" s="9"/>
      <c r="BC61" s="9"/>
      <c r="BD61" s="9"/>
      <c r="BE61" s="9"/>
      <c r="BF61" s="9"/>
      <c r="BG61" s="9"/>
      <c r="BH61" s="9"/>
      <c r="BI61" s="9"/>
      <c r="BJ61" s="9"/>
      <c r="BK61" s="9"/>
      <c r="BL61" s="9"/>
      <c r="BM61" s="9"/>
      <c r="BN61" s="9"/>
      <c r="BO61" s="9"/>
      <c r="BP61" s="9"/>
      <c r="BQ61" s="9"/>
      <c r="BR61" s="9"/>
    </row>
    <row r="62" spans="1:70" x14ac:dyDescent="0.25">
      <c r="A62" s="9" t="str">
        <f>IF(ISBLANK('Signal Definition'!J62),"",'Signal Definition'!J62)</f>
        <v>TrsmMdl_trqClu_PHY</v>
      </c>
      <c r="B62" s="9">
        <f t="array" ref="B62">COUNT(FIND("input",$D62:$CD62))</f>
        <v>0</v>
      </c>
      <c r="C62" s="9">
        <f t="array" ref="C62">COUNT(FIND("output",$D62:$CD62))</f>
        <v>1</v>
      </c>
      <c r="D62" s="9"/>
      <c r="E62" s="9"/>
      <c r="F62" s="9"/>
      <c r="G62" s="9"/>
      <c r="H62" s="9"/>
      <c r="I62" s="9" t="s">
        <v>2663</v>
      </c>
      <c r="J62" s="9"/>
      <c r="K62" s="9"/>
      <c r="L62" s="9"/>
      <c r="M62" s="9"/>
      <c r="N62" s="9"/>
      <c r="O62" s="9"/>
      <c r="P62" s="9"/>
      <c r="Q62" s="9"/>
      <c r="R62" s="9"/>
      <c r="S62" s="9"/>
      <c r="T62" s="9"/>
      <c r="U62" s="9"/>
      <c r="V62" s="9"/>
      <c r="W62" s="9"/>
      <c r="X62" s="9"/>
      <c r="Y62" s="9"/>
      <c r="Z62" s="9"/>
      <c r="AA62" s="9"/>
      <c r="AB62" s="9"/>
      <c r="AC62" s="9"/>
      <c r="AD62" s="9"/>
      <c r="AE62" s="9"/>
      <c r="AF62" s="9"/>
      <c r="AG62" s="9"/>
      <c r="AH62" s="9"/>
      <c r="AI62" s="9"/>
      <c r="AJ62" s="9"/>
      <c r="AK62" s="9"/>
      <c r="AL62" s="9"/>
      <c r="AM62" s="9"/>
      <c r="AN62" s="9"/>
      <c r="AO62" s="9"/>
      <c r="AP62" s="9"/>
      <c r="AQ62" s="9"/>
      <c r="AR62" s="9"/>
      <c r="AS62" s="9"/>
      <c r="AT62" s="9"/>
      <c r="AU62" s="9"/>
      <c r="AV62" s="9"/>
      <c r="AW62" s="9"/>
      <c r="AX62" s="9"/>
      <c r="AY62" s="9"/>
      <c r="AZ62" s="9"/>
      <c r="BA62" s="9"/>
      <c r="BB62" s="9"/>
      <c r="BC62" s="9"/>
      <c r="BD62" s="9"/>
      <c r="BE62" s="9"/>
      <c r="BF62" s="9"/>
      <c r="BG62" s="9"/>
      <c r="BH62" s="9"/>
      <c r="BI62" s="9"/>
      <c r="BJ62" s="9"/>
      <c r="BK62" s="9"/>
      <c r="BL62" s="9"/>
      <c r="BM62" s="9"/>
      <c r="BN62" s="9"/>
      <c r="BO62" s="9"/>
      <c r="BP62" s="9"/>
      <c r="BQ62" s="9"/>
      <c r="BR62" s="9"/>
    </row>
    <row r="63" spans="1:70" x14ac:dyDescent="0.25">
      <c r="A63" s="9" t="str">
        <f>IF(ISBLANK('Signal Definition'!J63),"",'Signal Definition'!J63)</f>
        <v>TrsmMdl_nCrksft_PHY</v>
      </c>
      <c r="B63" s="9">
        <f t="array" ref="B63">COUNT(FIND("input",$D63:$CD63))</f>
        <v>4</v>
      </c>
      <c r="C63" s="9">
        <f t="array" ref="C63">COUNT(FIND("output",$D63:$CD63))</f>
        <v>1</v>
      </c>
      <c r="H63" t="s">
        <v>2683</v>
      </c>
      <c r="I63" t="s">
        <v>2663</v>
      </c>
      <c r="J63" t="s">
        <v>2683</v>
      </c>
      <c r="S63" s="9"/>
      <c r="T63" t="s">
        <v>2683</v>
      </c>
      <c r="U63" s="9"/>
      <c r="V63" s="9"/>
      <c r="W63" s="9"/>
      <c r="X63" s="9"/>
      <c r="Y63" t="s">
        <v>2683</v>
      </c>
      <c r="Z63" s="9"/>
      <c r="AA63" s="9"/>
      <c r="AB63" s="9"/>
      <c r="AC63" s="9"/>
      <c r="AD63" s="9"/>
      <c r="AE63" s="9"/>
      <c r="AF63" s="9"/>
      <c r="AG63" s="9"/>
      <c r="AH63" s="9"/>
      <c r="AI63" s="9"/>
      <c r="AJ63" s="9"/>
      <c r="AK63" s="9"/>
      <c r="AL63" s="9"/>
      <c r="AM63" s="9"/>
      <c r="AN63" s="9"/>
      <c r="AO63" s="9"/>
      <c r="AP63" s="9"/>
      <c r="AQ63" s="9"/>
      <c r="AR63" s="9"/>
      <c r="AS63" s="9"/>
      <c r="AT63" s="9"/>
      <c r="AU63" s="9"/>
      <c r="AV63" s="9"/>
      <c r="AW63" s="9"/>
      <c r="AX63" s="9"/>
      <c r="AY63" s="9"/>
      <c r="AZ63" s="9"/>
      <c r="BA63" s="9"/>
      <c r="BB63" s="9"/>
      <c r="BC63" s="9"/>
      <c r="BD63" s="9"/>
      <c r="BE63" s="9"/>
      <c r="BF63" s="9"/>
      <c r="BG63" s="9"/>
      <c r="BH63" s="9"/>
      <c r="BI63" s="9"/>
      <c r="BJ63" s="9"/>
      <c r="BK63" s="9"/>
      <c r="BL63" s="9"/>
      <c r="BM63" s="9"/>
      <c r="BN63" s="9"/>
      <c r="BO63" s="9"/>
      <c r="BP63" s="9"/>
      <c r="BQ63" s="9"/>
      <c r="BR63" s="9"/>
    </row>
    <row r="64" spans="1:70" x14ac:dyDescent="0.25">
      <c r="A64" s="9" t="str">
        <f>IF(ISBLANK('Signal Definition'!J64),"",'Signal Definition'!J64)</f>
        <v>TrsmMdl_trqCluReactn_PHY</v>
      </c>
      <c r="B64" s="9">
        <f t="array" ref="B64">COUNT(FIND("input",$D64:$CD64))</f>
        <v>0</v>
      </c>
      <c r="C64" s="9">
        <f t="array" ref="C64">COUNT(FIND("output",$D64:$CD64))</f>
        <v>1</v>
      </c>
      <c r="D64" s="9"/>
      <c r="E64" s="9"/>
      <c r="F64" s="9"/>
      <c r="G64" s="9"/>
      <c r="H64" s="9"/>
      <c r="I64" s="9" t="s">
        <v>2663</v>
      </c>
      <c r="J64" s="9"/>
      <c r="K64" s="9"/>
      <c r="L64" s="9"/>
      <c r="M64" s="9"/>
      <c r="N64" s="9"/>
      <c r="O64" s="9"/>
      <c r="P64" s="9"/>
      <c r="Q64" s="9"/>
      <c r="R64" s="9"/>
      <c r="S64" s="9"/>
      <c r="T64" s="9"/>
      <c r="U64" s="9"/>
      <c r="V64" s="9"/>
      <c r="W64" s="9"/>
      <c r="X64" s="9"/>
      <c r="Y64" s="9"/>
      <c r="Z64" s="9"/>
      <c r="AA64" s="9"/>
      <c r="AB64" s="9"/>
      <c r="AC64" s="9"/>
      <c r="AD64" s="9"/>
      <c r="AE64" s="9"/>
      <c r="AF64" s="9"/>
      <c r="AG64" s="9"/>
      <c r="AH64" s="9"/>
      <c r="AI64" s="9"/>
      <c r="AJ64" s="9"/>
      <c r="AK64" s="9"/>
      <c r="AL64" s="9"/>
      <c r="AM64" s="9"/>
      <c r="AN64" s="9"/>
      <c r="AO64" s="9"/>
      <c r="AP64" s="9"/>
      <c r="AQ64" s="9"/>
      <c r="AR64" s="9"/>
      <c r="AS64" s="9"/>
      <c r="AT64" s="9"/>
      <c r="AU64" s="9"/>
      <c r="AV64" s="9"/>
      <c r="AW64" s="9"/>
      <c r="AX64" s="9"/>
      <c r="AY64" s="9"/>
      <c r="AZ64" s="9"/>
      <c r="BA64" s="9"/>
      <c r="BB64" s="9"/>
      <c r="BC64" s="9"/>
      <c r="BD64" s="9"/>
      <c r="BE64" s="9"/>
      <c r="BF64" s="9"/>
      <c r="BG64" s="9"/>
      <c r="BH64" s="9"/>
      <c r="BI64" s="9"/>
      <c r="BJ64" s="9"/>
      <c r="BK64" s="9"/>
      <c r="BL64" s="9"/>
      <c r="BM64" s="9"/>
      <c r="BN64" s="9"/>
      <c r="BO64" s="9"/>
      <c r="BP64" s="9"/>
      <c r="BQ64" s="9"/>
      <c r="BR64" s="9"/>
    </row>
    <row r="65" spans="1:70" x14ac:dyDescent="0.25">
      <c r="A65" s="9" t="str">
        <f>IF(ISBLANK('Signal Definition'!J65),"",'Signal Definition'!J65)</f>
        <v>TrsmMdl_trqInpShaft_PHY</v>
      </c>
      <c r="B65" s="9">
        <f t="array" ref="B65">COUNT(FIND("input",$D65:$CD65))</f>
        <v>2</v>
      </c>
      <c r="C65" s="9">
        <f t="array" ref="C65">COUNT(FIND("output",$D65:$CD65))</f>
        <v>1</v>
      </c>
      <c r="G65" t="s">
        <v>2683</v>
      </c>
      <c r="I65" t="s">
        <v>2663</v>
      </c>
      <c r="R65" t="s">
        <v>2683</v>
      </c>
      <c r="S65" s="9"/>
      <c r="T65" s="9"/>
      <c r="U65" s="9"/>
      <c r="V65" s="9"/>
      <c r="W65" s="9"/>
      <c r="X65" s="9"/>
      <c r="Y65" s="9"/>
      <c r="Z65" s="9"/>
      <c r="AA65" s="9"/>
      <c r="AB65" s="9"/>
      <c r="AC65" s="9"/>
      <c r="AD65" s="9"/>
      <c r="AE65" s="9"/>
      <c r="AF65" s="9"/>
      <c r="AG65" s="9"/>
      <c r="AH65" s="9"/>
      <c r="AI65" s="9"/>
      <c r="AJ65" s="9"/>
      <c r="AK65" s="9"/>
      <c r="AL65" s="9"/>
      <c r="AM65" s="9"/>
      <c r="AN65" s="9"/>
      <c r="AO65" s="9"/>
      <c r="AP65" s="9"/>
      <c r="AQ65" s="9"/>
      <c r="AR65" s="9"/>
      <c r="AS65" s="9"/>
      <c r="AT65" s="9"/>
      <c r="AU65" s="9"/>
      <c r="AV65" s="9"/>
      <c r="AW65" s="9"/>
      <c r="AX65" s="9"/>
      <c r="AY65" s="9"/>
      <c r="AZ65" s="9"/>
      <c r="BA65" s="9"/>
      <c r="BB65" s="9"/>
      <c r="BC65" s="9"/>
      <c r="BD65" s="9"/>
      <c r="BE65" s="9"/>
      <c r="BF65" s="9"/>
      <c r="BG65" s="9"/>
      <c r="BH65" s="9"/>
      <c r="BI65" s="9"/>
      <c r="BJ65" s="9"/>
      <c r="BK65" s="9"/>
      <c r="BL65" s="9"/>
      <c r="BM65" s="9"/>
      <c r="BN65" s="9"/>
      <c r="BO65" s="9"/>
      <c r="BP65" s="9"/>
      <c r="BQ65" s="9"/>
      <c r="BR65" s="9"/>
    </row>
    <row r="66" spans="1:70" x14ac:dyDescent="0.25">
      <c r="A66" s="9" t="str">
        <f>IF(ISBLANK('Signal Definition'!J66),"",'Signal Definition'!J66)</f>
        <v>TrsmMdl_trqCluFric_PHY</v>
      </c>
      <c r="B66" s="9">
        <f t="array" ref="B66">COUNT(FIND("input",$D66:$CD66))</f>
        <v>0</v>
      </c>
      <c r="C66" s="9">
        <f t="array" ref="C66">COUNT(FIND("output",$D66:$CD66))</f>
        <v>1</v>
      </c>
      <c r="D66" s="9"/>
      <c r="E66" s="9"/>
      <c r="F66" s="9"/>
      <c r="G66" s="9"/>
      <c r="H66" s="9"/>
      <c r="I66" s="9" t="s">
        <v>2663</v>
      </c>
      <c r="J66" s="9"/>
      <c r="K66" s="9"/>
      <c r="L66" s="9"/>
      <c r="M66" s="9"/>
      <c r="N66" s="9"/>
      <c r="O66" s="9"/>
      <c r="P66" s="9"/>
      <c r="Q66" s="9"/>
      <c r="R66" s="9"/>
      <c r="S66" s="9"/>
      <c r="T66" s="9"/>
      <c r="U66" s="9"/>
      <c r="V66" s="9"/>
      <c r="W66" s="9"/>
      <c r="X66" s="9"/>
      <c r="Y66" s="9"/>
      <c r="Z66" s="9"/>
      <c r="AA66" s="9"/>
      <c r="AB66" s="9"/>
      <c r="AC66" s="9"/>
      <c r="AD66" s="9"/>
      <c r="AE66" s="9"/>
      <c r="AF66" s="9"/>
      <c r="AG66" s="9"/>
      <c r="AH66" s="9"/>
      <c r="AI66" s="9"/>
      <c r="AJ66" s="9"/>
      <c r="AK66" s="9"/>
      <c r="AL66" s="9"/>
      <c r="AM66" s="9"/>
      <c r="AN66" s="9"/>
      <c r="AO66" s="9"/>
      <c r="AP66" s="9"/>
      <c r="AQ66" s="9"/>
      <c r="AR66" s="9"/>
      <c r="AS66" s="9"/>
      <c r="AT66" s="9"/>
      <c r="AU66" s="9"/>
      <c r="AV66" s="9"/>
      <c r="AW66" s="9"/>
      <c r="AX66" s="9"/>
      <c r="AY66" s="9"/>
      <c r="AZ66" s="9"/>
      <c r="BA66" s="9"/>
      <c r="BB66" s="9"/>
      <c r="BC66" s="9"/>
      <c r="BD66" s="9"/>
      <c r="BE66" s="9"/>
      <c r="BF66" s="9"/>
      <c r="BG66" s="9"/>
      <c r="BH66" s="9"/>
      <c r="BI66" s="9"/>
      <c r="BJ66" s="9"/>
      <c r="BK66" s="9"/>
      <c r="BL66" s="9"/>
      <c r="BM66" s="9"/>
      <c r="BN66" s="9"/>
      <c r="BO66" s="9"/>
      <c r="BP66" s="9"/>
      <c r="BQ66" s="9"/>
      <c r="BR66" s="9"/>
    </row>
    <row r="67" spans="1:70" x14ac:dyDescent="0.25">
      <c r="A67" s="9" t="str">
        <f>IF(ISBLANK('Signal Definition'!J67),"",'Signal Definition'!J67)</f>
        <v>TrsmMdl_stCluLock_PHY</v>
      </c>
      <c r="B67" s="9">
        <f t="array" ref="B67">COUNT(FIND("input",$D67:$CD67))</f>
        <v>1</v>
      </c>
      <c r="C67" s="9">
        <f t="array" ref="C67">COUNT(FIND("output",$D67:$CD67))</f>
        <v>1</v>
      </c>
      <c r="H67" t="s">
        <v>2683</v>
      </c>
      <c r="I67" t="s">
        <v>2663</v>
      </c>
      <c r="S67" s="9"/>
      <c r="T67" s="9"/>
      <c r="U67" s="9"/>
      <c r="V67" s="9"/>
      <c r="W67" s="9"/>
      <c r="X67" s="9"/>
      <c r="Y67" s="9"/>
      <c r="Z67" s="9"/>
      <c r="AA67" s="9"/>
      <c r="AB67" s="9"/>
      <c r="AC67" s="9"/>
      <c r="AD67" s="9"/>
      <c r="AE67" s="9"/>
      <c r="AF67" s="9"/>
      <c r="AG67" s="9"/>
      <c r="AH67" s="9"/>
      <c r="AI67" s="9"/>
      <c r="AJ67" s="9"/>
      <c r="AK67" s="9"/>
      <c r="AL67" s="9"/>
      <c r="AM67" s="9"/>
      <c r="AN67" s="9"/>
      <c r="AO67" s="9"/>
      <c r="AP67" s="9"/>
      <c r="AQ67" s="9"/>
      <c r="AR67" s="9"/>
      <c r="AS67" s="9"/>
      <c r="AT67" s="9"/>
      <c r="AU67" s="9"/>
      <c r="AV67" s="9"/>
      <c r="AW67" s="9"/>
      <c r="AX67" s="9"/>
      <c r="AY67" s="9"/>
      <c r="AZ67" s="9"/>
      <c r="BA67" s="9"/>
      <c r="BB67" s="9"/>
      <c r="BC67" s="9"/>
      <c r="BD67" s="9"/>
      <c r="BE67" s="9"/>
      <c r="BF67" s="9"/>
      <c r="BG67" s="9"/>
      <c r="BH67" s="9"/>
      <c r="BI67" s="9"/>
      <c r="BJ67" s="9"/>
      <c r="BK67" s="9"/>
      <c r="BL67" s="9"/>
      <c r="BM67" s="9"/>
      <c r="BN67" s="9"/>
      <c r="BO67" s="9"/>
      <c r="BP67" s="9"/>
      <c r="BQ67" s="9"/>
      <c r="BR67" s="9"/>
    </row>
    <row r="68" spans="1:70" x14ac:dyDescent="0.25">
      <c r="A68" s="9" t="str">
        <f>IF(ISBLANK('Signal Definition'!J68),"",'Signal Definition'!J68)</f>
        <v>TrsmMdl_nOutpShaft_PHY</v>
      </c>
      <c r="B68" s="9">
        <f t="array" ref="B68">COUNT(FIND("input",$D68:$CD68))</f>
        <v>1</v>
      </c>
      <c r="C68" s="9">
        <f t="array" ref="C68">COUNT(FIND("output",$D68:$CD68))</f>
        <v>1</v>
      </c>
      <c r="H68" t="s">
        <v>2683</v>
      </c>
      <c r="I68" t="s">
        <v>2663</v>
      </c>
      <c r="S68" s="9"/>
      <c r="T68" s="9"/>
      <c r="U68" s="9"/>
      <c r="V68" s="9"/>
      <c r="W68" s="9"/>
      <c r="X68" s="9"/>
      <c r="Y68" s="9"/>
      <c r="Z68" s="9"/>
      <c r="AA68" s="9"/>
      <c r="AB68" s="9"/>
      <c r="AC68" s="9"/>
      <c r="AD68" s="9"/>
      <c r="AE68" s="9"/>
      <c r="AF68" s="9"/>
      <c r="AG68" s="9"/>
      <c r="AH68" s="9"/>
      <c r="AI68" s="9"/>
      <c r="AJ68" s="9"/>
      <c r="AK68" s="9"/>
      <c r="AL68" s="9"/>
      <c r="AM68" s="9"/>
      <c r="AN68" s="9"/>
      <c r="AO68" s="9"/>
      <c r="AP68" s="9"/>
      <c r="AQ68" s="9"/>
      <c r="AR68" s="9"/>
      <c r="AS68" s="9"/>
      <c r="AT68" s="9"/>
      <c r="AU68" s="9"/>
      <c r="AV68" s="9"/>
      <c r="AW68" s="9"/>
      <c r="AX68" s="9"/>
      <c r="AY68" s="9"/>
      <c r="AZ68" s="9"/>
      <c r="BA68" s="9"/>
      <c r="BB68" s="9"/>
      <c r="BC68" s="9"/>
      <c r="BD68" s="9"/>
      <c r="BE68" s="9"/>
      <c r="BF68" s="9"/>
      <c r="BG68" s="9"/>
      <c r="BH68" s="9"/>
      <c r="BI68" s="9"/>
      <c r="BJ68" s="9"/>
      <c r="BK68" s="9"/>
      <c r="BL68" s="9"/>
      <c r="BM68" s="9"/>
      <c r="BN68" s="9"/>
      <c r="BO68" s="9"/>
      <c r="BP68" s="9"/>
      <c r="BQ68" s="9"/>
      <c r="BR68" s="9"/>
    </row>
    <row r="69" spans="1:70" x14ac:dyDescent="0.25">
      <c r="A69" s="9" t="str">
        <f>IF(ISBLANK('Signal Definition'!J69),"",'Signal Definition'!J69)</f>
        <v>TrsmMdl_trqOutpShaft_PHY</v>
      </c>
      <c r="B69" s="9">
        <f t="array" ref="B69">COUNT(FIND("input",$D69:$CD69))</f>
        <v>0</v>
      </c>
      <c r="C69" s="9">
        <f t="array" ref="C69">COUNT(FIND("output",$D69:$CD69))</f>
        <v>1</v>
      </c>
      <c r="D69" s="9"/>
      <c r="E69" s="9"/>
      <c r="F69" s="9"/>
      <c r="G69" s="9"/>
      <c r="H69" s="9"/>
      <c r="I69" s="9" t="s">
        <v>2663</v>
      </c>
      <c r="J69" s="9"/>
      <c r="K69" s="9"/>
      <c r="L69" s="9"/>
      <c r="M69" s="9"/>
      <c r="N69" s="9"/>
      <c r="O69" s="9"/>
      <c r="P69" s="9"/>
      <c r="Q69" s="9"/>
      <c r="R69" s="9"/>
      <c r="S69" s="9"/>
      <c r="T69" s="9"/>
      <c r="U69" s="9"/>
      <c r="V69" s="9"/>
      <c r="W69" s="9"/>
      <c r="X69" s="9"/>
      <c r="Y69" s="9"/>
      <c r="Z69" s="9"/>
      <c r="AA69" s="9"/>
      <c r="AB69" s="9"/>
      <c r="AC69" s="9"/>
      <c r="AD69" s="9"/>
      <c r="AE69" s="9"/>
      <c r="AF69" s="9"/>
      <c r="AG69" s="9"/>
      <c r="AH69" s="9"/>
      <c r="AI69" s="9"/>
      <c r="AJ69" s="9"/>
      <c r="AK69" s="9"/>
      <c r="AL69" s="9"/>
      <c r="AM69" s="9"/>
      <c r="AN69" s="9"/>
      <c r="AO69" s="9"/>
      <c r="AP69" s="9"/>
      <c r="AQ69" s="9"/>
      <c r="AR69" s="9"/>
      <c r="AS69" s="9"/>
      <c r="AT69" s="9"/>
      <c r="AU69" s="9"/>
      <c r="AV69" s="9"/>
      <c r="AW69" s="9"/>
      <c r="AX69" s="9"/>
      <c r="AY69" s="9"/>
      <c r="AZ69" s="9"/>
      <c r="BA69" s="9"/>
      <c r="BB69" s="9"/>
      <c r="BC69" s="9"/>
      <c r="BD69" s="9"/>
      <c r="BE69" s="9"/>
      <c r="BF69" s="9"/>
      <c r="BG69" s="9"/>
      <c r="BH69" s="9"/>
      <c r="BI69" s="9"/>
      <c r="BJ69" s="9"/>
      <c r="BK69" s="9"/>
      <c r="BL69" s="9"/>
      <c r="BM69" s="9"/>
      <c r="BN69" s="9"/>
      <c r="BO69" s="9"/>
      <c r="BP69" s="9"/>
      <c r="BQ69" s="9"/>
      <c r="BR69" s="9"/>
    </row>
    <row r="70" spans="1:70" x14ac:dyDescent="0.25">
      <c r="A70" s="9" t="str">
        <f>IF(ISBLANK('Signal Definition'!J70),"",'Signal Definition'!J70)</f>
        <v>TrsmMdl_ratCurrGear_PHY</v>
      </c>
      <c r="B70" s="9">
        <f t="array" ref="B70">COUNT(FIND("input",$D70:$CD70))</f>
        <v>5</v>
      </c>
      <c r="C70" s="9">
        <f t="array" ref="C70">COUNT(FIND("output",$D70:$CD70))</f>
        <v>1</v>
      </c>
      <c r="G70" t="s">
        <v>2683</v>
      </c>
      <c r="H70" t="s">
        <v>2683</v>
      </c>
      <c r="I70" t="s">
        <v>2663</v>
      </c>
      <c r="J70" t="s">
        <v>2683</v>
      </c>
      <c r="R70" t="s">
        <v>2683</v>
      </c>
      <c r="S70" s="9"/>
      <c r="T70" t="s">
        <v>2683</v>
      </c>
      <c r="U70" s="9"/>
      <c r="V70" s="9"/>
      <c r="W70" s="9"/>
      <c r="X70" s="9"/>
      <c r="Y70" s="9"/>
      <c r="Z70" s="9"/>
      <c r="AA70" s="9"/>
      <c r="AB70" s="9"/>
      <c r="AC70" s="9"/>
      <c r="AD70" s="9"/>
      <c r="AE70" s="9"/>
      <c r="AF70" s="9"/>
      <c r="AG70" s="9"/>
      <c r="AH70" s="9"/>
      <c r="AI70" s="9"/>
      <c r="AJ70" s="9"/>
      <c r="AK70" s="9"/>
      <c r="AL70" s="9"/>
      <c r="AM70" s="9"/>
      <c r="AN70" s="9"/>
      <c r="AO70" s="9"/>
      <c r="AP70" s="9"/>
      <c r="AQ70" s="9"/>
      <c r="AR70" s="9"/>
      <c r="AS70" s="9"/>
      <c r="AT70" s="9"/>
      <c r="AU70" s="9"/>
      <c r="AV70" s="9"/>
      <c r="AW70" s="9"/>
      <c r="AX70" s="9"/>
      <c r="AY70" s="9"/>
      <c r="AZ70" s="9"/>
      <c r="BA70" s="9"/>
      <c r="BB70" s="9"/>
      <c r="BC70" s="9"/>
      <c r="BD70" s="9"/>
      <c r="BE70" s="9"/>
      <c r="BF70" s="9"/>
      <c r="BG70" s="9"/>
      <c r="BH70" s="9"/>
      <c r="BI70" s="9"/>
      <c r="BJ70" s="9"/>
      <c r="BK70" s="9"/>
      <c r="BL70" s="9"/>
      <c r="BM70" s="9"/>
      <c r="BN70" s="9"/>
      <c r="BO70" s="9"/>
      <c r="BP70" s="9"/>
      <c r="BQ70" s="9"/>
      <c r="BR70" s="9"/>
    </row>
    <row r="71" spans="1:70" x14ac:dyDescent="0.25">
      <c r="A71" s="9" t="str">
        <f>IF(ISBLANK('Signal Definition'!J71),"",'Signal Definition'!J71)</f>
        <v>TrsmMdl_jCurrGear_PHY</v>
      </c>
      <c r="B71" s="9">
        <f t="array" ref="B71">COUNT(FIND("input",$D71:$CD71))</f>
        <v>0</v>
      </c>
      <c r="C71" s="9">
        <f t="array" ref="C71">COUNT(FIND("output",$D71:$CD71))</f>
        <v>1</v>
      </c>
      <c r="D71" s="9"/>
      <c r="E71" s="9"/>
      <c r="F71" s="9"/>
      <c r="G71" s="9"/>
      <c r="H71" s="9"/>
      <c r="I71" s="9" t="s">
        <v>2663</v>
      </c>
      <c r="J71" s="9"/>
      <c r="K71" s="9"/>
      <c r="L71" s="9"/>
      <c r="M71" s="9"/>
      <c r="N71" s="9"/>
      <c r="O71" s="9"/>
      <c r="P71" s="9"/>
      <c r="Q71" s="9"/>
      <c r="R71" s="9"/>
      <c r="S71" s="9"/>
      <c r="T71" s="9"/>
      <c r="U71" s="9"/>
      <c r="V71" s="9"/>
      <c r="W71" s="9"/>
      <c r="X71" s="9"/>
      <c r="Y71" s="9"/>
      <c r="Z71" s="9"/>
      <c r="AA71" s="9"/>
      <c r="AB71" s="9"/>
      <c r="AC71" s="9"/>
      <c r="AD71" s="9"/>
      <c r="AE71" s="9"/>
      <c r="AF71" s="9"/>
      <c r="AG71" s="9"/>
      <c r="AH71" s="9"/>
      <c r="AI71" s="9"/>
      <c r="AJ71" s="9"/>
      <c r="AK71" s="9"/>
      <c r="AL71" s="9"/>
      <c r="AM71" s="9"/>
      <c r="AN71" s="9"/>
      <c r="AO71" s="9"/>
      <c r="AP71" s="9"/>
      <c r="AQ71" s="9"/>
      <c r="AR71" s="9"/>
      <c r="AS71" s="9"/>
      <c r="AT71" s="9"/>
      <c r="AU71" s="9"/>
      <c r="AV71" s="9"/>
      <c r="AW71" s="9"/>
      <c r="AX71" s="9"/>
      <c r="AY71" s="9"/>
      <c r="AZ71" s="9"/>
      <c r="BA71" s="9"/>
      <c r="BB71" s="9"/>
      <c r="BC71" s="9"/>
      <c r="BD71" s="9"/>
      <c r="BE71" s="9"/>
      <c r="BF71" s="9"/>
      <c r="BG71" s="9"/>
      <c r="BH71" s="9"/>
      <c r="BI71" s="9"/>
      <c r="BJ71" s="9"/>
      <c r="BK71" s="9"/>
      <c r="BL71" s="9"/>
      <c r="BM71" s="9"/>
      <c r="BN71" s="9"/>
      <c r="BO71" s="9"/>
      <c r="BP71" s="9"/>
      <c r="BQ71" s="9"/>
      <c r="BR71" s="9"/>
    </row>
    <row r="72" spans="1:70" x14ac:dyDescent="0.25">
      <c r="A72" s="9" t="str">
        <f>IF(ISBLANK('Signal Definition'!J72),"",'Signal Definition'!J72)</f>
        <v>TrsmMdl_trqTrsmLoss_PHY</v>
      </c>
      <c r="B72" s="9">
        <f t="array" ref="B72">COUNT(FIND("input",$D72:$CD72))</f>
        <v>0</v>
      </c>
      <c r="C72" s="9">
        <f t="array" ref="C72">COUNT(FIND("output",$D72:$CD72))</f>
        <v>1</v>
      </c>
      <c r="D72" s="9"/>
      <c r="E72" s="9"/>
      <c r="F72" s="9"/>
      <c r="G72" s="9"/>
      <c r="H72" s="9"/>
      <c r="I72" s="9" t="s">
        <v>2663</v>
      </c>
      <c r="J72" s="9"/>
      <c r="K72" s="9"/>
      <c r="L72" s="9"/>
      <c r="M72" s="9"/>
      <c r="N72" s="9"/>
      <c r="O72" s="9"/>
      <c r="P72" s="9"/>
      <c r="Q72" s="9"/>
      <c r="R72" s="9"/>
      <c r="S72" s="9"/>
      <c r="T72" s="9"/>
      <c r="U72" s="9"/>
      <c r="V72" s="9"/>
      <c r="W72" s="9"/>
      <c r="X72" s="9"/>
      <c r="Y72" s="9"/>
      <c r="Z72" s="9"/>
      <c r="AA72" s="9"/>
      <c r="AB72" s="9"/>
      <c r="AC72" s="9"/>
      <c r="AD72" s="9"/>
      <c r="AE72" s="9"/>
      <c r="AF72" s="9"/>
      <c r="AG72" s="9"/>
      <c r="AH72" s="9"/>
      <c r="AI72" s="9"/>
      <c r="AJ72" s="9"/>
      <c r="AK72" s="9"/>
      <c r="AL72" s="9"/>
      <c r="AM72" s="9"/>
      <c r="AN72" s="9"/>
      <c r="AO72" s="9"/>
      <c r="AP72" s="9"/>
      <c r="AQ72" s="9"/>
      <c r="AR72" s="9"/>
      <c r="AS72" s="9"/>
      <c r="AT72" s="9"/>
      <c r="AU72" s="9"/>
      <c r="AV72" s="9"/>
      <c r="AW72" s="9"/>
      <c r="AX72" s="9"/>
      <c r="AY72" s="9"/>
      <c r="AZ72" s="9"/>
      <c r="BA72" s="9"/>
      <c r="BB72" s="9"/>
      <c r="BC72" s="9"/>
      <c r="BD72" s="9"/>
      <c r="BE72" s="9"/>
      <c r="BF72" s="9"/>
      <c r="BG72" s="9"/>
      <c r="BH72" s="9"/>
      <c r="BI72" s="9"/>
      <c r="BJ72" s="9"/>
      <c r="BK72" s="9"/>
      <c r="BL72" s="9"/>
      <c r="BM72" s="9"/>
      <c r="BN72" s="9"/>
      <c r="BO72" s="9"/>
      <c r="BP72" s="9"/>
      <c r="BQ72" s="9"/>
      <c r="BR72" s="9"/>
    </row>
    <row r="73" spans="1:70" x14ac:dyDescent="0.25">
      <c r="A73" s="9" t="str">
        <f>IF(ISBLANK('Signal Definition'!J73),"",'Signal Definition'!J73)</f>
        <v>TrsmMdl_trqDrvShaft_PHY</v>
      </c>
      <c r="B73" s="9">
        <f t="array" ref="B73">COUNT(FIND("input",$D73:$CD73))</f>
        <v>2</v>
      </c>
      <c r="C73" s="9">
        <f t="array" ref="C73">COUNT(FIND("output",$D73:$CD73))</f>
        <v>1</v>
      </c>
      <c r="G73" t="s">
        <v>2683</v>
      </c>
      <c r="I73" t="s">
        <v>2663</v>
      </c>
      <c r="R73" t="s">
        <v>2683</v>
      </c>
      <c r="S73" s="9"/>
      <c r="T73" s="9"/>
      <c r="U73" s="9"/>
      <c r="V73" s="9"/>
      <c r="W73" s="9"/>
      <c r="X73" s="9"/>
      <c r="Y73" s="9"/>
      <c r="Z73" s="9"/>
      <c r="AA73" s="9"/>
      <c r="AB73" s="9"/>
      <c r="AC73" s="9"/>
      <c r="AD73" s="9"/>
      <c r="AE73" s="9"/>
      <c r="AF73" s="9"/>
      <c r="AG73" s="9"/>
      <c r="AH73" s="9"/>
      <c r="AI73" s="9"/>
      <c r="AJ73" s="9"/>
      <c r="AK73" s="9"/>
      <c r="AL73" s="9"/>
      <c r="AM73" s="9"/>
      <c r="AN73" s="9"/>
      <c r="AO73" s="9"/>
      <c r="AP73" s="9"/>
      <c r="AQ73" s="9"/>
      <c r="AR73" s="9"/>
      <c r="AS73" s="9"/>
      <c r="AT73" s="9"/>
      <c r="AU73" s="9"/>
      <c r="AV73" s="9"/>
      <c r="AW73" s="9"/>
      <c r="AX73" s="9"/>
      <c r="AY73" s="9"/>
      <c r="AZ73" s="9"/>
      <c r="BA73" s="9"/>
      <c r="BB73" s="9"/>
      <c r="BC73" s="9"/>
      <c r="BD73" s="9"/>
      <c r="BE73" s="9"/>
      <c r="BF73" s="9"/>
      <c r="BG73" s="9"/>
      <c r="BH73" s="9"/>
      <c r="BI73" s="9"/>
      <c r="BJ73" s="9"/>
      <c r="BK73" s="9"/>
      <c r="BL73" s="9"/>
      <c r="BM73" s="9"/>
      <c r="BN73" s="9"/>
      <c r="BO73" s="9"/>
      <c r="BP73" s="9"/>
      <c r="BQ73" s="9"/>
      <c r="BR73" s="9"/>
    </row>
    <row r="74" spans="1:70" x14ac:dyDescent="0.25">
      <c r="A74" s="9" t="str">
        <f>IF(ISBLANK('Signal Definition'!J74),"",'Signal Definition'!J74)</f>
        <v>TrsmMdl_ratDftl_PHY</v>
      </c>
      <c r="B74" s="9">
        <f t="array" ref="B74">COUNT(FIND("input",$D74:$CD74))</f>
        <v>4</v>
      </c>
      <c r="C74" s="9">
        <f t="array" ref="C74">COUNT(FIND("output",$D74:$CD74))</f>
        <v>1</v>
      </c>
      <c r="G74" t="s">
        <v>2683</v>
      </c>
      <c r="H74" t="s">
        <v>2683</v>
      </c>
      <c r="I74" t="s">
        <v>2663</v>
      </c>
      <c r="J74" t="s">
        <v>2683</v>
      </c>
      <c r="R74" t="s">
        <v>2683</v>
      </c>
      <c r="S74" s="9"/>
      <c r="T74" s="9"/>
      <c r="U74" s="9"/>
      <c r="V74" s="9"/>
      <c r="W74" s="9"/>
      <c r="X74" s="9"/>
      <c r="Y74" s="9"/>
      <c r="Z74" s="9"/>
      <c r="AA74" s="9"/>
      <c r="AB74" s="9"/>
      <c r="AC74" s="9"/>
      <c r="AD74" s="9"/>
      <c r="AE74" s="9"/>
      <c r="AF74" s="9"/>
      <c r="AG74" s="9"/>
      <c r="AH74" s="9"/>
      <c r="AI74" s="9"/>
      <c r="AJ74" s="9"/>
      <c r="AK74" s="9"/>
      <c r="AL74" s="9"/>
      <c r="AM74" s="9"/>
      <c r="AN74" s="9"/>
      <c r="AO74" s="9"/>
      <c r="AP74" s="9"/>
      <c r="AQ74" s="9"/>
      <c r="AR74" s="9"/>
      <c r="AS74" s="9"/>
      <c r="AT74" s="9"/>
      <c r="AU74" s="9"/>
      <c r="AV74" s="9"/>
      <c r="AW74" s="9"/>
      <c r="AX74" s="9"/>
      <c r="AY74" s="9"/>
      <c r="AZ74" s="9"/>
      <c r="BA74" s="9"/>
      <c r="BB74" s="9"/>
      <c r="BC74" s="9"/>
      <c r="BD74" s="9"/>
      <c r="BE74" s="9"/>
      <c r="BF74" s="9"/>
      <c r="BG74" s="9"/>
      <c r="BH74" s="9"/>
      <c r="BI74" s="9"/>
      <c r="BJ74" s="9"/>
      <c r="BK74" s="9"/>
      <c r="BL74" s="9"/>
      <c r="BM74" s="9"/>
      <c r="BN74" s="9"/>
      <c r="BO74" s="9"/>
      <c r="BP74" s="9"/>
      <c r="BQ74" s="9"/>
      <c r="BR74" s="9"/>
    </row>
    <row r="75" spans="1:70" x14ac:dyDescent="0.25">
      <c r="A75" s="9" t="str">
        <f>IF(ISBLANK('Signal Definition'!J75),"",'Signal Definition'!J75)</f>
        <v>TrsmMdl_jDftl_PHY</v>
      </c>
      <c r="B75" s="9">
        <f t="array" ref="B75">COUNT(FIND("input",$D75:$CD75))</f>
        <v>0</v>
      </c>
      <c r="C75" s="9">
        <f t="array" ref="C75">COUNT(FIND("output",$D75:$CD75))</f>
        <v>1</v>
      </c>
      <c r="D75" s="9"/>
      <c r="E75" s="9"/>
      <c r="F75" s="9"/>
      <c r="G75" s="9"/>
      <c r="H75" s="9"/>
      <c r="I75" s="9" t="s">
        <v>2663</v>
      </c>
      <c r="J75" s="9"/>
      <c r="K75" s="9"/>
      <c r="L75" s="9"/>
      <c r="M75" s="9"/>
      <c r="N75" s="9"/>
      <c r="O75" s="9"/>
      <c r="P75" s="9"/>
      <c r="Q75" s="9"/>
      <c r="R75" s="9"/>
      <c r="S75" s="9"/>
      <c r="T75" s="9"/>
      <c r="U75" s="9"/>
      <c r="V75" s="9"/>
      <c r="W75" s="9"/>
      <c r="X75" s="9"/>
      <c r="Y75" s="9"/>
      <c r="Z75" s="9"/>
      <c r="AA75" s="9"/>
      <c r="AB75" s="9"/>
      <c r="AC75" s="9"/>
      <c r="AD75" s="9"/>
      <c r="AE75" s="9"/>
      <c r="AF75" s="9"/>
      <c r="AG75" s="9"/>
      <c r="AH75" s="9"/>
      <c r="AI75" s="9"/>
      <c r="AJ75" s="9"/>
      <c r="AK75" s="9"/>
      <c r="AL75" s="9"/>
      <c r="AM75" s="9"/>
      <c r="AN75" s="9"/>
      <c r="AO75" s="9"/>
      <c r="AP75" s="9"/>
      <c r="AQ75" s="9"/>
      <c r="AR75" s="9"/>
      <c r="AS75" s="9"/>
      <c r="AT75" s="9"/>
      <c r="AU75" s="9"/>
      <c r="AV75" s="9"/>
      <c r="AW75" s="9"/>
      <c r="AX75" s="9"/>
      <c r="AY75" s="9"/>
      <c r="AZ75" s="9"/>
      <c r="BA75" s="9"/>
      <c r="BB75" s="9"/>
      <c r="BC75" s="9"/>
      <c r="BD75" s="9"/>
      <c r="BE75" s="9"/>
      <c r="BF75" s="9"/>
      <c r="BG75" s="9"/>
      <c r="BH75" s="9"/>
      <c r="BI75" s="9"/>
      <c r="BJ75" s="9"/>
      <c r="BK75" s="9"/>
      <c r="BL75" s="9"/>
      <c r="BM75" s="9"/>
      <c r="BN75" s="9"/>
      <c r="BO75" s="9"/>
      <c r="BP75" s="9"/>
      <c r="BQ75" s="9"/>
      <c r="BR75" s="9"/>
    </row>
    <row r="76" spans="1:70" x14ac:dyDescent="0.25">
      <c r="A76" s="9" t="str">
        <f>IF(ISBLANK('Signal Definition'!J76),"",'Signal Definition'!J76)</f>
        <v>TrsmMdl_trqItdrLoss_PHY</v>
      </c>
      <c r="B76" s="9">
        <f t="array" ref="B76">COUNT(FIND("input",$D76:$CD76))</f>
        <v>0</v>
      </c>
      <c r="C76" s="9">
        <f t="array" ref="C76">COUNT(FIND("output",$D76:$CD76))</f>
        <v>1</v>
      </c>
      <c r="D76" s="9"/>
      <c r="E76" s="9"/>
      <c r="F76" s="9"/>
      <c r="G76" s="9"/>
      <c r="H76" s="9"/>
      <c r="I76" s="9" t="s">
        <v>2663</v>
      </c>
      <c r="J76" s="9"/>
      <c r="K76" s="9"/>
      <c r="L76" s="9"/>
      <c r="M76" s="9"/>
      <c r="N76" s="9"/>
      <c r="O76" s="9"/>
      <c r="P76" s="9"/>
      <c r="Q76" s="9"/>
      <c r="R76" s="9"/>
      <c r="S76" s="9"/>
      <c r="T76" s="9"/>
      <c r="U76" s="9"/>
      <c r="V76" s="9"/>
      <c r="W76" s="9"/>
      <c r="X76" s="9"/>
      <c r="Y76" s="9"/>
      <c r="Z76" s="9"/>
      <c r="AA76" s="9"/>
      <c r="AB76" s="9"/>
      <c r="AC76" s="9"/>
      <c r="AD76" s="9"/>
      <c r="AE76" s="9"/>
      <c r="AF76" s="9"/>
      <c r="AG76" s="9"/>
      <c r="AH76" s="9"/>
      <c r="AI76" s="9"/>
      <c r="AJ76" s="9"/>
      <c r="AK76" s="9"/>
      <c r="AL76" s="9"/>
      <c r="AM76" s="9"/>
      <c r="AN76" s="9"/>
      <c r="AO76" s="9"/>
      <c r="AP76" s="9"/>
      <c r="AQ76" s="9"/>
      <c r="AR76" s="9"/>
      <c r="AS76" s="9"/>
      <c r="AT76" s="9"/>
      <c r="AU76" s="9"/>
      <c r="AV76" s="9"/>
      <c r="AW76" s="9"/>
      <c r="AX76" s="9"/>
      <c r="AY76" s="9"/>
      <c r="AZ76" s="9"/>
      <c r="BA76" s="9"/>
      <c r="BB76" s="9"/>
      <c r="BC76" s="9"/>
      <c r="BD76" s="9"/>
      <c r="BE76" s="9"/>
      <c r="BF76" s="9"/>
      <c r="BG76" s="9"/>
      <c r="BH76" s="9"/>
      <c r="BI76" s="9"/>
      <c r="BJ76" s="9"/>
      <c r="BK76" s="9"/>
      <c r="BL76" s="9"/>
      <c r="BM76" s="9"/>
      <c r="BN76" s="9"/>
      <c r="BO76" s="9"/>
      <c r="BP76" s="9"/>
      <c r="BQ76" s="9"/>
      <c r="BR76" s="9"/>
    </row>
    <row r="77" spans="1:70" x14ac:dyDescent="0.25">
      <c r="A77" s="9" t="str">
        <f>IF(ISBLANK('Signal Definition'!J77),"",'Signal Definition'!J77)</f>
        <v>TrsmMdl_trqDftlLoss_PHY</v>
      </c>
      <c r="B77" s="9">
        <f t="array" ref="B77">COUNT(FIND("input",$D77:$CD77))</f>
        <v>0</v>
      </c>
      <c r="C77" s="9">
        <f t="array" ref="C77">COUNT(FIND("output",$D77:$CD77))</f>
        <v>1</v>
      </c>
      <c r="I77" t="s">
        <v>2663</v>
      </c>
      <c r="S77" s="9"/>
      <c r="T77" s="9"/>
      <c r="U77" s="9"/>
      <c r="V77" s="9"/>
      <c r="W77" s="9"/>
      <c r="X77" s="9"/>
      <c r="Y77" s="9"/>
      <c r="Z77" s="9"/>
      <c r="AA77" s="9"/>
      <c r="AB77" s="9"/>
      <c r="AC77" s="9"/>
      <c r="AD77" s="9"/>
      <c r="AE77" s="9"/>
      <c r="AF77" s="9"/>
      <c r="AG77" s="9"/>
      <c r="AH77" s="9"/>
      <c r="AI77" s="9"/>
      <c r="AJ77" s="9"/>
      <c r="AK77" s="9"/>
      <c r="AL77" s="9"/>
      <c r="AM77" s="9"/>
      <c r="AN77" s="9"/>
      <c r="AO77" s="9"/>
      <c r="AP77" s="9"/>
      <c r="AQ77" s="9"/>
      <c r="AR77" s="9"/>
      <c r="AS77" s="9"/>
      <c r="AT77" s="9"/>
      <c r="AU77" s="9"/>
      <c r="AV77" s="9"/>
      <c r="AW77" s="9"/>
      <c r="AX77" s="9"/>
      <c r="AY77" s="9"/>
      <c r="AZ77" s="9"/>
      <c r="BA77" s="9"/>
      <c r="BB77" s="9"/>
      <c r="BC77" s="9"/>
      <c r="BD77" s="9"/>
      <c r="BE77" s="9"/>
      <c r="BF77" s="9"/>
      <c r="BG77" s="9"/>
      <c r="BH77" s="9"/>
      <c r="BI77" s="9"/>
      <c r="BJ77" s="9"/>
      <c r="BK77" s="9"/>
      <c r="BL77" s="9"/>
      <c r="BM77" s="9"/>
      <c r="BN77" s="9"/>
      <c r="BO77" s="9"/>
      <c r="BP77" s="9"/>
      <c r="BQ77" s="9"/>
      <c r="BR77" s="9"/>
    </row>
    <row r="78" spans="1:70" x14ac:dyDescent="0.25">
      <c r="A78" s="9" t="str">
        <f>IF(ISBLANK('Signal Definition'!J78),"",'Signal Definition'!J78)</f>
        <v>TrsmMdl_nInpShaft_PHY</v>
      </c>
      <c r="B78" s="9">
        <f t="array" ref="B78">COUNT(FIND("input",$D78:$CD78))</f>
        <v>1</v>
      </c>
      <c r="C78" s="9">
        <f t="array" ref="C78">COUNT(FIND("output",$D78:$CD78))</f>
        <v>1</v>
      </c>
      <c r="H78" t="s">
        <v>2683</v>
      </c>
      <c r="I78" t="s">
        <v>2663</v>
      </c>
      <c r="S78" s="9"/>
      <c r="T78" s="9"/>
      <c r="U78" s="9"/>
      <c r="V78" s="9"/>
      <c r="W78" s="9"/>
      <c r="X78" s="9"/>
      <c r="Y78" s="9"/>
      <c r="Z78" s="9"/>
      <c r="AA78" s="9"/>
      <c r="AB78" s="9"/>
      <c r="AC78" s="9"/>
      <c r="AD78" s="9"/>
      <c r="AE78" s="9"/>
      <c r="AF78" s="9"/>
      <c r="AG78" s="9"/>
      <c r="AH78" s="9"/>
      <c r="AI78" s="9"/>
      <c r="AJ78" s="9"/>
      <c r="AK78" s="9"/>
      <c r="AL78" s="9"/>
      <c r="AM78" s="9"/>
      <c r="AN78" s="9"/>
      <c r="AO78" s="9"/>
      <c r="AP78" s="9"/>
      <c r="AQ78" s="9"/>
      <c r="AR78" s="9"/>
      <c r="AS78" s="9"/>
      <c r="AT78" s="9"/>
      <c r="AU78" s="9"/>
      <c r="AV78" s="9"/>
      <c r="AW78" s="9"/>
      <c r="AX78" s="9"/>
      <c r="AY78" s="9"/>
      <c r="AZ78" s="9"/>
      <c r="BA78" s="9"/>
      <c r="BB78" s="9"/>
      <c r="BC78" s="9"/>
      <c r="BD78" s="9"/>
      <c r="BE78" s="9"/>
      <c r="BF78" s="9"/>
      <c r="BG78" s="9"/>
      <c r="BH78" s="9"/>
      <c r="BI78" s="9"/>
      <c r="BJ78" s="9"/>
      <c r="BK78" s="9"/>
      <c r="BL78" s="9"/>
      <c r="BM78" s="9"/>
      <c r="BN78" s="9"/>
      <c r="BO78" s="9"/>
      <c r="BP78" s="9"/>
      <c r="BQ78" s="9"/>
      <c r="BR78" s="9"/>
    </row>
    <row r="79" spans="1:70" x14ac:dyDescent="0.25">
      <c r="A79" s="9" t="str">
        <f>IF(ISBLANK('Signal Definition'!J79),"",'Signal Definition'!J79)</f>
        <v>ECU_nEngSetLo_CAN</v>
      </c>
      <c r="B79" s="9">
        <f t="array" ref="B79">COUNT(FIND("input",$D79:$CD79))</f>
        <v>1</v>
      </c>
      <c r="C79" s="9">
        <f t="array" ref="C79">COUNT(FIND("output",$D79:$CD79))</f>
        <v>1</v>
      </c>
      <c r="H79" t="s">
        <v>2683</v>
      </c>
      <c r="J79" t="s">
        <v>2663</v>
      </c>
      <c r="S79" s="9"/>
      <c r="T79" s="9"/>
      <c r="U79" s="9"/>
      <c r="V79" s="9"/>
      <c r="W79" s="9"/>
      <c r="X79" s="9"/>
      <c r="Y79" s="9"/>
      <c r="Z79" s="9"/>
      <c r="AA79" s="9"/>
      <c r="AB79" s="9"/>
      <c r="AC79" s="9"/>
      <c r="AD79" s="9"/>
      <c r="AE79" s="9"/>
      <c r="AF79" s="9"/>
      <c r="AG79" s="9"/>
      <c r="AH79" s="9"/>
      <c r="AI79" s="9"/>
      <c r="AJ79" s="9"/>
      <c r="AK79" s="9"/>
      <c r="AL79" s="9"/>
      <c r="AM79" s="9"/>
      <c r="AN79" s="9"/>
      <c r="AO79" s="9"/>
      <c r="AP79" s="9"/>
      <c r="AQ79" s="9"/>
      <c r="AR79" s="9"/>
      <c r="AS79" s="9"/>
      <c r="AT79" s="9"/>
      <c r="AU79" s="9"/>
      <c r="AV79" s="9"/>
      <c r="AW79" s="9"/>
      <c r="AX79" s="9"/>
      <c r="AY79" s="9"/>
      <c r="AZ79" s="9"/>
      <c r="BA79" s="9"/>
      <c r="BB79" s="9"/>
      <c r="BC79" s="9"/>
      <c r="BD79" s="9"/>
      <c r="BE79" s="9"/>
      <c r="BF79" s="9"/>
      <c r="BG79" s="9"/>
      <c r="BH79" s="9"/>
      <c r="BI79" s="9"/>
      <c r="BJ79" s="9"/>
      <c r="BK79" s="9"/>
      <c r="BL79" s="9"/>
      <c r="BM79" s="9"/>
      <c r="BN79" s="9"/>
      <c r="BO79" s="9"/>
      <c r="BP79" s="9"/>
      <c r="BQ79" s="9"/>
      <c r="BR79" s="9"/>
    </row>
    <row r="80" spans="1:70" x14ac:dyDescent="0.25">
      <c r="A80" s="9" t="str">
        <f>IF(ISBLANK('Signal Definition'!J80),"",'Signal Definition'!J80)</f>
        <v>ECU_trqEngMax_CAN</v>
      </c>
      <c r="B80" s="9">
        <f t="array" ref="B80">COUNT(FIND("input",$D80:$CD80))</f>
        <v>1</v>
      </c>
      <c r="C80" s="9">
        <f t="array" ref="C80">COUNT(FIND("output",$D80:$CD80))</f>
        <v>1</v>
      </c>
      <c r="H80" t="s">
        <v>2683</v>
      </c>
      <c r="J80" t="s">
        <v>2663</v>
      </c>
      <c r="S80" s="9"/>
      <c r="T80" s="9"/>
      <c r="U80" s="9"/>
      <c r="V80" s="9"/>
      <c r="W80" s="9"/>
      <c r="X80" s="9"/>
      <c r="Y80" s="9"/>
      <c r="Z80" s="9"/>
      <c r="AA80" s="9"/>
      <c r="AB80" s="9"/>
      <c r="AC80" s="9"/>
      <c r="AD80" s="9"/>
      <c r="AE80" s="9"/>
      <c r="AF80" s="9"/>
      <c r="AG80" s="9"/>
      <c r="AH80" s="9"/>
      <c r="AI80" s="9"/>
      <c r="AJ80" s="9"/>
      <c r="AK80" s="9"/>
      <c r="AL80" s="9"/>
      <c r="AM80" s="9"/>
      <c r="AN80" s="9"/>
      <c r="AO80" s="9"/>
      <c r="AP80" s="9"/>
      <c r="AQ80" s="9"/>
      <c r="AR80" s="9"/>
      <c r="AS80" s="9"/>
      <c r="AT80" s="9"/>
      <c r="AU80" s="9"/>
      <c r="AV80" s="9"/>
      <c r="AW80" s="9"/>
      <c r="AX80" s="9"/>
      <c r="AY80" s="9"/>
      <c r="AZ80" s="9"/>
      <c r="BA80" s="9"/>
      <c r="BB80" s="9"/>
      <c r="BC80" s="9"/>
      <c r="BD80" s="9"/>
      <c r="BE80" s="9"/>
      <c r="BF80" s="9"/>
      <c r="BG80" s="9"/>
      <c r="BH80" s="9"/>
      <c r="BI80" s="9"/>
      <c r="BJ80" s="9"/>
      <c r="BK80" s="9"/>
      <c r="BL80" s="9"/>
      <c r="BM80" s="9"/>
      <c r="BN80" s="9"/>
      <c r="BO80" s="9"/>
      <c r="BP80" s="9"/>
      <c r="BQ80" s="9"/>
      <c r="BR80" s="9"/>
    </row>
    <row r="81" spans="1:70" x14ac:dyDescent="0.25">
      <c r="A81" s="9" t="str">
        <f>IF(ISBLANK('Signal Definition'!J81),"",'Signal Definition'!J81)</f>
        <v>ECU_prcEngActTq_CAN</v>
      </c>
      <c r="B81" s="9">
        <f t="array" ref="B81">COUNT(FIND("input",$D81:$CD81))</f>
        <v>1</v>
      </c>
      <c r="C81" s="9">
        <f t="array" ref="C81">COUNT(FIND("output",$D81:$CD81))</f>
        <v>1</v>
      </c>
      <c r="H81" t="s">
        <v>2683</v>
      </c>
      <c r="J81" t="s">
        <v>2663</v>
      </c>
      <c r="S81" s="9"/>
      <c r="T81" s="9"/>
      <c r="U81" s="9"/>
      <c r="V81" s="9"/>
      <c r="W81" s="9"/>
      <c r="X81" s="9"/>
      <c r="Y81" s="9"/>
      <c r="Z81" s="9"/>
      <c r="AA81" s="9"/>
      <c r="AB81" s="9"/>
      <c r="AC81" s="9"/>
      <c r="AD81" s="9"/>
      <c r="AE81" s="9"/>
      <c r="AF81" s="9"/>
      <c r="AG81" s="9"/>
      <c r="AH81" s="9"/>
      <c r="AI81" s="9"/>
      <c r="AJ81" s="9"/>
      <c r="AK81" s="9"/>
      <c r="AL81" s="9"/>
      <c r="AM81" s="9"/>
      <c r="AN81" s="9"/>
      <c r="AO81" s="9"/>
      <c r="AP81" s="9"/>
      <c r="AQ81" s="9"/>
      <c r="AR81" s="9"/>
      <c r="AS81" s="9"/>
      <c r="AT81" s="9"/>
      <c r="AU81" s="9"/>
      <c r="AV81" s="9"/>
      <c r="AW81" s="9"/>
      <c r="AX81" s="9"/>
      <c r="AY81" s="9"/>
      <c r="AZ81" s="9"/>
      <c r="BA81" s="9"/>
      <c r="BB81" s="9"/>
      <c r="BC81" s="9"/>
      <c r="BD81" s="9"/>
      <c r="BE81" s="9"/>
      <c r="BF81" s="9"/>
      <c r="BG81" s="9"/>
      <c r="BH81" s="9"/>
      <c r="BI81" s="9"/>
      <c r="BJ81" s="9"/>
      <c r="BK81" s="9"/>
      <c r="BL81" s="9"/>
      <c r="BM81" s="9"/>
      <c r="BN81" s="9"/>
      <c r="BO81" s="9"/>
      <c r="BP81" s="9"/>
      <c r="BQ81" s="9"/>
      <c r="BR81" s="9"/>
    </row>
    <row r="82" spans="1:70" x14ac:dyDescent="0.25">
      <c r="A82" s="9" t="str">
        <f>IF(ISBLANK('Signal Definition'!J82),"",'Signal Definition'!J82)</f>
        <v>ECU_prcEngActTqFrac_CAN</v>
      </c>
      <c r="B82" s="9">
        <f t="array" ref="B82">COUNT(FIND("input",$D82:$CD82))</f>
        <v>1</v>
      </c>
      <c r="C82" s="9">
        <f t="array" ref="C82">COUNT(FIND("output",$D82:$CD82))</f>
        <v>1</v>
      </c>
      <c r="H82" t="s">
        <v>2683</v>
      </c>
      <c r="J82" t="s">
        <v>2663</v>
      </c>
      <c r="S82" s="9"/>
      <c r="T82" s="9"/>
      <c r="U82" s="9"/>
      <c r="V82" s="9"/>
      <c r="W82" s="9"/>
      <c r="X82" s="9"/>
      <c r="Y82" s="9"/>
      <c r="Z82" s="9"/>
      <c r="AA82" s="9"/>
      <c r="AB82" s="9"/>
      <c r="AC82" s="9"/>
      <c r="AD82" s="9"/>
      <c r="AE82" s="9"/>
      <c r="AF82" s="9"/>
      <c r="AG82" s="9"/>
      <c r="AH82" s="9"/>
      <c r="AI82" s="9"/>
      <c r="AJ82" s="9"/>
      <c r="AK82" s="9"/>
      <c r="AL82" s="9"/>
      <c r="AM82" s="9"/>
      <c r="AN82" s="9"/>
      <c r="AO82" s="9"/>
      <c r="AP82" s="9"/>
      <c r="AQ82" s="9"/>
      <c r="AR82" s="9"/>
      <c r="AS82" s="9"/>
      <c r="AT82" s="9"/>
      <c r="AU82" s="9"/>
      <c r="AV82" s="9"/>
      <c r="AW82" s="9"/>
      <c r="AX82" s="9"/>
      <c r="AY82" s="9"/>
      <c r="AZ82" s="9"/>
      <c r="BA82" s="9"/>
      <c r="BB82" s="9"/>
      <c r="BC82" s="9"/>
      <c r="BD82" s="9"/>
      <c r="BE82" s="9"/>
      <c r="BF82" s="9"/>
      <c r="BG82" s="9"/>
      <c r="BH82" s="9"/>
      <c r="BI82" s="9"/>
      <c r="BJ82" s="9"/>
      <c r="BK82" s="9"/>
      <c r="BL82" s="9"/>
      <c r="BM82" s="9"/>
      <c r="BN82" s="9"/>
      <c r="BO82" s="9"/>
      <c r="BP82" s="9"/>
      <c r="BQ82" s="9"/>
      <c r="BR82" s="9"/>
    </row>
    <row r="83" spans="1:70" x14ac:dyDescent="0.25">
      <c r="A83" s="9" t="str">
        <f>IF(ISBLANK('Signal Definition'!J83),"",'Signal Definition'!J83)</f>
        <v>ECU_prcEngFricTq_CAN</v>
      </c>
      <c r="B83" s="9">
        <f t="array" ref="B83">COUNT(FIND("input",$D83:$CD83))</f>
        <v>1</v>
      </c>
      <c r="C83" s="9">
        <f t="array" ref="C83">COUNT(FIND("output",$D83:$CD83))</f>
        <v>1</v>
      </c>
      <c r="H83" t="s">
        <v>2683</v>
      </c>
      <c r="J83" t="s">
        <v>2663</v>
      </c>
      <c r="S83" s="9"/>
      <c r="T83" s="9"/>
      <c r="U83" s="9"/>
      <c r="V83" s="9"/>
      <c r="W83" s="9"/>
      <c r="X83" s="9"/>
      <c r="Y83" s="9"/>
      <c r="Z83" s="9"/>
      <c r="AA83" s="9"/>
      <c r="AB83" s="9"/>
      <c r="AC83" s="9"/>
      <c r="AD83" s="9"/>
      <c r="AE83" s="9"/>
      <c r="AF83" s="9"/>
      <c r="AG83" s="9"/>
      <c r="AH83" s="9"/>
      <c r="AI83" s="9"/>
      <c r="AJ83" s="9"/>
      <c r="AK83" s="9"/>
      <c r="AL83" s="9"/>
      <c r="AM83" s="9"/>
      <c r="AN83" s="9"/>
      <c r="AO83" s="9"/>
      <c r="AP83" s="9"/>
      <c r="AQ83" s="9"/>
      <c r="AR83" s="9"/>
      <c r="AS83" s="9"/>
      <c r="AT83" s="9"/>
      <c r="AU83" s="9"/>
      <c r="AV83" s="9"/>
      <c r="AW83" s="9"/>
      <c r="AX83" s="9"/>
      <c r="AY83" s="9"/>
      <c r="AZ83" s="9"/>
      <c r="BA83" s="9"/>
      <c r="BB83" s="9"/>
      <c r="BC83" s="9"/>
      <c r="BD83" s="9"/>
      <c r="BE83" s="9"/>
      <c r="BF83" s="9"/>
      <c r="BG83" s="9"/>
      <c r="BH83" s="9"/>
      <c r="BI83" s="9"/>
      <c r="BJ83" s="9"/>
      <c r="BK83" s="9"/>
      <c r="BL83" s="9"/>
      <c r="BM83" s="9"/>
      <c r="BN83" s="9"/>
      <c r="BO83" s="9"/>
      <c r="BP83" s="9"/>
      <c r="BQ83" s="9"/>
      <c r="BR83" s="9"/>
    </row>
    <row r="84" spans="1:70" x14ac:dyDescent="0.25">
      <c r="A84" s="9" t="str">
        <f>IF(ISBLANK('Signal Definition'!J84),"",'Signal Definition'!J84)</f>
        <v>ECU_mflUreaDes_PHY</v>
      </c>
      <c r="B84" s="9">
        <f t="array" ref="B84">COUNT(FIND("input",$D84:$CD84))</f>
        <v>0</v>
      </c>
      <c r="C84" s="9">
        <f t="array" ref="C84">COUNT(FIND("output",$D84:$CD84))</f>
        <v>1</v>
      </c>
      <c r="D84" s="9"/>
      <c r="E84" s="9"/>
      <c r="F84" s="9"/>
      <c r="G84" s="9"/>
      <c r="H84" s="9"/>
      <c r="I84" s="9"/>
      <c r="J84" s="9" t="s">
        <v>2663</v>
      </c>
      <c r="K84" s="9"/>
      <c r="L84" s="9"/>
      <c r="M84" s="9"/>
      <c r="N84" s="9"/>
      <c r="O84" s="9"/>
      <c r="P84" s="9"/>
      <c r="Q84" s="9"/>
      <c r="R84" s="9"/>
      <c r="S84" s="9"/>
      <c r="T84" s="9"/>
      <c r="U84" s="9"/>
      <c r="V84" s="9"/>
      <c r="W84" s="9"/>
      <c r="X84" s="9"/>
      <c r="Y84" s="9"/>
      <c r="Z84" s="9"/>
      <c r="AA84" s="9"/>
      <c r="AB84" s="9"/>
      <c r="AC84" s="9"/>
      <c r="AD84" s="9"/>
      <c r="AE84" s="9"/>
      <c r="AF84" s="9"/>
      <c r="AG84" s="9"/>
      <c r="AH84" s="9"/>
      <c r="AI84" s="9"/>
      <c r="AJ84" s="9"/>
      <c r="AK84" s="9"/>
      <c r="AL84" s="9"/>
      <c r="AM84" s="9"/>
      <c r="AN84" s="9"/>
      <c r="AO84" s="9"/>
      <c r="AP84" s="9"/>
      <c r="AQ84" s="9"/>
      <c r="AR84" s="9"/>
      <c r="AS84" s="9"/>
      <c r="AT84" s="9"/>
      <c r="AU84" s="9"/>
      <c r="AV84" s="9"/>
      <c r="AW84" s="9"/>
      <c r="AX84" s="9"/>
      <c r="AY84" s="9"/>
      <c r="AZ84" s="9"/>
      <c r="BA84" s="9"/>
      <c r="BB84" s="9"/>
      <c r="BC84" s="9"/>
      <c r="BD84" s="9"/>
      <c r="BE84" s="9"/>
      <c r="BF84" s="9"/>
      <c r="BG84" s="9"/>
      <c r="BH84" s="9"/>
      <c r="BI84" s="9"/>
      <c r="BJ84" s="9"/>
      <c r="BK84" s="9"/>
      <c r="BL84" s="9"/>
      <c r="BM84" s="9"/>
      <c r="BN84" s="9"/>
      <c r="BO84" s="9"/>
      <c r="BP84" s="9"/>
      <c r="BQ84" s="9"/>
      <c r="BR84" s="9"/>
    </row>
    <row r="85" spans="1:70" x14ac:dyDescent="0.25">
      <c r="A85" s="9" t="str">
        <f>IF(ISBLANK('Signal Definition'!J85),"",'Signal Definition'!J85)</f>
        <v>ECU_nFanDes_PHY</v>
      </c>
      <c r="B85" s="9">
        <f t="array" ref="B85">COUNT(FIND("input",$D85:$CD85))</f>
        <v>0</v>
      </c>
      <c r="C85" s="9">
        <f t="array" ref="C85">COUNT(FIND("output",$D85:$CD85))</f>
        <v>1</v>
      </c>
      <c r="D85" s="9"/>
      <c r="E85" s="9"/>
      <c r="F85" s="9"/>
      <c r="G85" s="9"/>
      <c r="H85" s="9"/>
      <c r="I85" s="9"/>
      <c r="J85" s="9" t="s">
        <v>2663</v>
      </c>
      <c r="K85" s="9"/>
      <c r="L85" s="9"/>
      <c r="M85" s="9"/>
      <c r="N85" s="9"/>
      <c r="O85" s="9"/>
      <c r="P85" s="9"/>
      <c r="Q85" s="9"/>
      <c r="R85" s="9"/>
      <c r="S85" s="9"/>
      <c r="T85" s="9"/>
      <c r="U85" s="9"/>
      <c r="V85" s="9"/>
      <c r="W85" s="9"/>
      <c r="X85" s="9"/>
      <c r="Y85" s="9"/>
      <c r="Z85" s="9"/>
      <c r="AA85" s="9"/>
      <c r="AB85" s="9"/>
      <c r="AC85" s="9"/>
      <c r="AD85" s="9"/>
      <c r="AE85" s="9"/>
      <c r="AF85" s="9"/>
      <c r="AG85" s="9"/>
      <c r="AH85" s="9"/>
      <c r="AI85" s="9"/>
      <c r="AJ85" s="9"/>
      <c r="AK85" s="9"/>
      <c r="AL85" s="9"/>
      <c r="AM85" s="9"/>
      <c r="AN85" s="9"/>
      <c r="AO85" s="9"/>
      <c r="AP85" s="9"/>
      <c r="AQ85" s="9"/>
      <c r="AR85" s="9"/>
      <c r="AS85" s="9"/>
      <c r="AT85" s="9"/>
      <c r="AU85" s="9"/>
      <c r="AV85" s="9"/>
      <c r="AW85" s="9"/>
      <c r="AX85" s="9"/>
      <c r="AY85" s="9"/>
      <c r="AZ85" s="9"/>
      <c r="BA85" s="9"/>
      <c r="BB85" s="9"/>
      <c r="BC85" s="9"/>
      <c r="BD85" s="9"/>
      <c r="BE85" s="9"/>
      <c r="BF85" s="9"/>
      <c r="BG85" s="9"/>
      <c r="BH85" s="9"/>
      <c r="BI85" s="9"/>
      <c r="BJ85" s="9"/>
      <c r="BK85" s="9"/>
      <c r="BL85" s="9"/>
      <c r="BM85" s="9"/>
      <c r="BN85" s="9"/>
      <c r="BO85" s="9"/>
      <c r="BP85" s="9"/>
      <c r="BQ85" s="9"/>
      <c r="BR85" s="9"/>
    </row>
    <row r="86" spans="1:70" x14ac:dyDescent="0.25">
      <c r="A86" s="9" t="str">
        <f>IF(ISBLANK('Signal Definition'!J86),"",'Signal Definition'!J86)</f>
        <v>ECU_prcEngDrvrDmdTq_CAN</v>
      </c>
      <c r="B86" s="9">
        <f t="array" ref="B86">COUNT(FIND("input",$D86:$CD86))</f>
        <v>1</v>
      </c>
      <c r="C86" s="9">
        <f t="array" ref="C86">COUNT(FIND("output",$D86:$CD86))</f>
        <v>1</v>
      </c>
      <c r="H86" t="s">
        <v>2683</v>
      </c>
      <c r="J86" t="s">
        <v>2663</v>
      </c>
      <c r="S86" s="9"/>
      <c r="T86" s="9"/>
      <c r="U86" s="9"/>
      <c r="V86" s="9"/>
      <c r="W86" s="9"/>
      <c r="X86" s="9"/>
      <c r="Y86" s="9"/>
      <c r="Z86" s="9"/>
      <c r="AA86" s="9"/>
      <c r="AB86" s="9"/>
      <c r="AC86" s="9"/>
      <c r="AD86" s="9"/>
      <c r="AE86" s="9"/>
      <c r="AF86" s="9"/>
      <c r="AG86" s="9"/>
      <c r="AH86" s="9"/>
      <c r="AI86" s="9"/>
      <c r="AJ86" s="9"/>
      <c r="AK86" s="9"/>
      <c r="AL86" s="9"/>
      <c r="AM86" s="9"/>
      <c r="AN86" s="9"/>
      <c r="AO86" s="9"/>
      <c r="AP86" s="9"/>
      <c r="AQ86" s="9"/>
      <c r="AR86" s="9"/>
      <c r="AS86" s="9"/>
      <c r="AT86" s="9"/>
      <c r="AU86" s="9"/>
      <c r="AV86" s="9"/>
      <c r="AW86" s="9"/>
      <c r="AX86" s="9"/>
      <c r="AY86" s="9"/>
      <c r="AZ86" s="9"/>
      <c r="BA86" s="9"/>
      <c r="BB86" s="9"/>
      <c r="BC86" s="9"/>
      <c r="BD86" s="9"/>
      <c r="BE86" s="9"/>
      <c r="BF86" s="9"/>
      <c r="BG86" s="9"/>
      <c r="BH86" s="9"/>
      <c r="BI86" s="9"/>
      <c r="BJ86" s="9"/>
      <c r="BK86" s="9"/>
      <c r="BL86" s="9"/>
      <c r="BM86" s="9"/>
      <c r="BN86" s="9"/>
      <c r="BO86" s="9"/>
      <c r="BP86" s="9"/>
      <c r="BQ86" s="9"/>
      <c r="BR86" s="9"/>
    </row>
    <row r="87" spans="1:70" x14ac:dyDescent="0.25">
      <c r="A87" s="9" t="str">
        <f>IF(ISBLANK('Signal Definition'!J87),"",'Signal Definition'!J87)</f>
        <v>ECU_trqEngSetInr_CAN</v>
      </c>
      <c r="B87" s="9">
        <f t="array" ref="B87">COUNT(FIND("input",$D87:$CD87))</f>
        <v>0</v>
      </c>
      <c r="C87" s="9">
        <f t="array" ref="C87">COUNT(FIND("output",$D87:$CD87))</f>
        <v>1</v>
      </c>
      <c r="J87" t="s">
        <v>2663</v>
      </c>
      <c r="S87" s="9"/>
      <c r="T87" s="9"/>
      <c r="U87" s="9"/>
      <c r="V87" s="9"/>
      <c r="W87" s="9"/>
      <c r="X87" s="9"/>
      <c r="Y87" s="9"/>
      <c r="Z87" s="9"/>
      <c r="AA87" s="9"/>
      <c r="AB87" s="9"/>
      <c r="AC87" s="9"/>
      <c r="AD87" s="9"/>
      <c r="AE87" s="9"/>
      <c r="AF87" s="9"/>
      <c r="AG87" s="9"/>
      <c r="AH87" s="9"/>
      <c r="AI87" s="9"/>
      <c r="AJ87" s="9"/>
      <c r="AK87" s="9"/>
      <c r="AL87" s="9"/>
      <c r="AM87" s="9"/>
      <c r="AN87" s="9"/>
      <c r="AO87" s="9"/>
      <c r="AP87" s="9"/>
      <c r="AQ87" s="9"/>
      <c r="AR87" s="9"/>
      <c r="AS87" s="9"/>
      <c r="AT87" s="9"/>
      <c r="AU87" s="9"/>
      <c r="AV87" s="9"/>
      <c r="AW87" s="9"/>
      <c r="AX87" s="9"/>
      <c r="AY87" s="9"/>
      <c r="AZ87" s="9"/>
      <c r="BA87" s="9"/>
      <c r="BB87" s="9"/>
      <c r="BC87" s="9"/>
      <c r="BD87" s="9"/>
      <c r="BE87" s="9"/>
      <c r="BF87" s="9"/>
      <c r="BG87" s="9"/>
      <c r="BH87" s="9"/>
      <c r="BI87" s="9"/>
      <c r="BJ87" s="9"/>
      <c r="BK87" s="9"/>
      <c r="BL87" s="9"/>
      <c r="BM87" s="9"/>
      <c r="BN87" s="9"/>
      <c r="BO87" s="9"/>
      <c r="BP87" s="9"/>
      <c r="BQ87" s="9"/>
      <c r="BR87" s="9"/>
    </row>
    <row r="88" spans="1:70" x14ac:dyDescent="0.25">
      <c r="A88" s="9" t="str">
        <f>IF(ISBLANK('Signal Definition'!J88),"",'Signal Definition'!J88)</f>
        <v>TrsmMdl_dnCrksft_PHY</v>
      </c>
      <c r="B88" s="9">
        <f t="array" ref="B88">COUNT(FIND("input",$D88:$CD88))</f>
        <v>1</v>
      </c>
      <c r="C88" s="9">
        <f t="array" ref="C88">COUNT(FIND("output",$D88:$CD88))</f>
        <v>1</v>
      </c>
      <c r="I88" t="s">
        <v>2663</v>
      </c>
      <c r="J88" t="s">
        <v>2683</v>
      </c>
      <c r="S88" s="9"/>
      <c r="T88" s="9"/>
      <c r="U88" s="9"/>
      <c r="V88" s="9"/>
      <c r="W88" s="9"/>
      <c r="X88" s="9"/>
      <c r="Y88" s="9"/>
      <c r="Z88" s="9"/>
      <c r="AA88" s="9"/>
      <c r="AB88" s="9"/>
      <c r="AC88" s="9"/>
      <c r="AD88" s="9"/>
      <c r="AE88" s="9"/>
      <c r="AF88" s="9"/>
      <c r="AG88" s="9"/>
      <c r="AH88" s="9"/>
      <c r="AI88" s="9"/>
      <c r="AJ88" s="9"/>
      <c r="AK88" s="9"/>
      <c r="AL88" s="9"/>
      <c r="AM88" s="9"/>
      <c r="AN88" s="9"/>
      <c r="AO88" s="9"/>
      <c r="AP88" s="9"/>
      <c r="AQ88" s="9"/>
      <c r="AR88" s="9"/>
      <c r="AS88" s="9"/>
      <c r="AT88" s="9"/>
      <c r="AU88" s="9"/>
      <c r="AV88" s="9"/>
      <c r="AW88" s="9"/>
      <c r="AX88" s="9"/>
      <c r="AY88" s="9"/>
      <c r="AZ88" s="9"/>
      <c r="BA88" s="9"/>
      <c r="BB88" s="9"/>
      <c r="BC88" s="9"/>
      <c r="BD88" s="9"/>
      <c r="BE88" s="9"/>
      <c r="BF88" s="9"/>
      <c r="BG88" s="9"/>
      <c r="BH88" s="9"/>
      <c r="BI88" s="9"/>
      <c r="BJ88" s="9"/>
      <c r="BK88" s="9"/>
      <c r="BL88" s="9"/>
      <c r="BM88" s="9"/>
      <c r="BN88" s="9"/>
      <c r="BO88" s="9"/>
      <c r="BP88" s="9"/>
      <c r="BQ88" s="9"/>
      <c r="BR88" s="9"/>
    </row>
    <row r="89" spans="1:70" x14ac:dyDescent="0.25">
      <c r="A89" s="9" t="str">
        <f>IF(ISBLANK('Signal Definition'!J89),"",'Signal Definition'!J89)</f>
        <v>ECU_prcTrbVlvDes_PHY</v>
      </c>
      <c r="B89" s="9">
        <f t="array" ref="B89">COUNT(FIND("input",$D89:$CD89))</f>
        <v>1</v>
      </c>
      <c r="C89" s="9">
        <f t="array" ref="C89">COUNT(FIND("output",$D89:$CD89))</f>
        <v>1</v>
      </c>
      <c r="J89" t="s">
        <v>2663</v>
      </c>
      <c r="P89" t="s">
        <v>2683</v>
      </c>
      <c r="S89" s="9"/>
      <c r="T89" s="9"/>
      <c r="U89" s="9"/>
      <c r="V89" s="9"/>
      <c r="W89" s="9"/>
      <c r="X89" s="9"/>
      <c r="Y89" s="9"/>
      <c r="Z89" s="9"/>
      <c r="AA89" s="9"/>
      <c r="AB89" s="9"/>
      <c r="AC89" s="9"/>
      <c r="AD89" s="9"/>
      <c r="AE89" s="9"/>
      <c r="AF89" s="9"/>
      <c r="AG89" s="9"/>
      <c r="AH89" s="9"/>
      <c r="AI89" s="9"/>
      <c r="AJ89" s="9"/>
      <c r="AK89" s="9"/>
      <c r="AL89" s="9"/>
      <c r="AM89" s="9"/>
      <c r="AN89" s="9"/>
      <c r="AO89" s="9"/>
      <c r="AP89" s="9"/>
      <c r="AQ89" s="9"/>
      <c r="AR89" s="9"/>
      <c r="AS89" s="9"/>
      <c r="AT89" s="9"/>
      <c r="AU89" s="9"/>
      <c r="AV89" s="9"/>
      <c r="AW89" s="9"/>
      <c r="AX89" s="9"/>
      <c r="AY89" s="9"/>
      <c r="AZ89" s="9"/>
      <c r="BA89" s="9"/>
      <c r="BB89" s="9"/>
      <c r="BC89" s="9"/>
      <c r="BD89" s="9"/>
      <c r="BE89" s="9"/>
      <c r="BF89" s="9"/>
      <c r="BG89" s="9"/>
      <c r="BH89" s="9"/>
      <c r="BI89" s="9"/>
      <c r="BJ89" s="9"/>
      <c r="BK89" s="9"/>
      <c r="BL89" s="9"/>
      <c r="BM89" s="9"/>
      <c r="BN89" s="9"/>
      <c r="BO89" s="9"/>
      <c r="BP89" s="9"/>
      <c r="BQ89" s="9"/>
      <c r="BR89" s="9"/>
    </row>
    <row r="90" spans="1:70" x14ac:dyDescent="0.25">
      <c r="A90" s="9" t="str">
        <f>IF(ISBLANK('Signal Definition'!J90),"",'Signal Definition'!J90)</f>
        <v>ECU_prcEgrVlvDes_PHY</v>
      </c>
      <c r="B90" s="9">
        <f t="array" ref="B90">COUNT(FIND("input",$D90:$CD90))</f>
        <v>1</v>
      </c>
      <c r="C90" s="9">
        <f t="array" ref="C90">COUNT(FIND("output",$D90:$CD90))</f>
        <v>1</v>
      </c>
      <c r="J90" t="s">
        <v>2663</v>
      </c>
      <c r="P90" t="s">
        <v>2683</v>
      </c>
      <c r="S90" s="9"/>
      <c r="T90" s="9"/>
      <c r="U90" s="9"/>
      <c r="V90" s="9"/>
      <c r="W90" s="9"/>
      <c r="X90" s="9"/>
      <c r="Y90" s="9"/>
      <c r="Z90" s="9"/>
      <c r="AA90" s="9"/>
      <c r="AB90" s="9"/>
      <c r="AC90" s="9"/>
      <c r="AD90" s="9"/>
      <c r="AE90" s="9"/>
      <c r="AF90" s="9"/>
      <c r="AG90" s="9"/>
      <c r="AH90" s="9"/>
      <c r="AI90" s="9"/>
      <c r="AJ90" s="9"/>
      <c r="AK90" s="9"/>
      <c r="AL90" s="9"/>
      <c r="AM90" s="9"/>
      <c r="AN90" s="9"/>
      <c r="AO90" s="9"/>
      <c r="AP90" s="9"/>
      <c r="AQ90" s="9"/>
      <c r="AR90" s="9"/>
      <c r="AS90" s="9"/>
      <c r="AT90" s="9"/>
      <c r="AU90" s="9"/>
      <c r="AV90" s="9"/>
      <c r="AW90" s="9"/>
      <c r="AX90" s="9"/>
      <c r="AY90" s="9"/>
      <c r="AZ90" s="9"/>
      <c r="BA90" s="9"/>
      <c r="BB90" s="9"/>
      <c r="BC90" s="9"/>
      <c r="BD90" s="9"/>
      <c r="BE90" s="9"/>
      <c r="BF90" s="9"/>
      <c r="BG90" s="9"/>
      <c r="BH90" s="9"/>
      <c r="BI90" s="9"/>
      <c r="BJ90" s="9"/>
      <c r="BK90" s="9"/>
      <c r="BL90" s="9"/>
      <c r="BM90" s="9"/>
      <c r="BN90" s="9"/>
      <c r="BO90" s="9"/>
      <c r="BP90" s="9"/>
      <c r="BQ90" s="9"/>
      <c r="BR90" s="9"/>
    </row>
    <row r="91" spans="1:70" x14ac:dyDescent="0.25">
      <c r="A91" s="9" t="str">
        <f>IF(ISBLANK('Signal Definition'!J91),"",'Signal Definition'!J91)</f>
        <v>ECU_prcThrVlvDes_PHY</v>
      </c>
      <c r="B91" s="9">
        <f t="array" ref="B91">COUNT(FIND("input",$D91:$CD91))</f>
        <v>1</v>
      </c>
      <c r="C91" s="9">
        <f t="array" ref="C91">COUNT(FIND("output",$D91:$CD91))</f>
        <v>1</v>
      </c>
      <c r="J91" t="s">
        <v>2663</v>
      </c>
      <c r="P91" t="s">
        <v>2683</v>
      </c>
      <c r="S91" s="9"/>
      <c r="T91" s="9"/>
      <c r="U91" s="9"/>
      <c r="V91" s="9"/>
      <c r="W91" s="9"/>
      <c r="X91" s="9"/>
      <c r="Y91" s="9"/>
      <c r="Z91" s="9"/>
      <c r="AA91" s="9"/>
      <c r="AB91" s="9"/>
      <c r="AC91" s="9"/>
      <c r="AD91" s="9"/>
      <c r="AE91" s="9"/>
      <c r="AF91" s="9"/>
      <c r="AG91" s="9"/>
      <c r="AH91" s="9"/>
      <c r="AI91" s="9"/>
      <c r="AJ91" s="9"/>
      <c r="AK91" s="9"/>
      <c r="AL91" s="9"/>
      <c r="AM91" s="9"/>
      <c r="AN91" s="9"/>
      <c r="AO91" s="9"/>
      <c r="AP91" s="9"/>
      <c r="AQ91" s="9"/>
      <c r="AR91" s="9"/>
      <c r="AS91" s="9"/>
      <c r="AT91" s="9"/>
      <c r="AU91" s="9"/>
      <c r="AV91" s="9"/>
      <c r="AW91" s="9"/>
      <c r="AX91" s="9"/>
      <c r="AY91" s="9"/>
      <c r="AZ91" s="9"/>
      <c r="BA91" s="9"/>
      <c r="BB91" s="9"/>
      <c r="BC91" s="9"/>
      <c r="BD91" s="9"/>
      <c r="BE91" s="9"/>
      <c r="BF91" s="9"/>
      <c r="BG91" s="9"/>
      <c r="BH91" s="9"/>
      <c r="BI91" s="9"/>
      <c r="BJ91" s="9"/>
      <c r="BK91" s="9"/>
      <c r="BL91" s="9"/>
      <c r="BM91" s="9"/>
      <c r="BN91" s="9"/>
      <c r="BO91" s="9"/>
      <c r="BP91" s="9"/>
      <c r="BQ91" s="9"/>
      <c r="BR91" s="9"/>
    </row>
    <row r="92" spans="1:70" x14ac:dyDescent="0.25">
      <c r="A92" s="9" t="str">
        <f>IF(ISBLANK('Signal Definition'!J92),"",'Signal Definition'!J92)</f>
        <v>EngMdl_pwrEgrClrHeatTrf_PHY</v>
      </c>
      <c r="B92" s="9">
        <f t="array" ref="B92">COUNT(FIND("input",$D92:$CD92))</f>
        <v>0</v>
      </c>
      <c r="C92" s="9">
        <f t="array" ref="C92">COUNT(FIND("output",$D92:$CD92))</f>
        <v>1</v>
      </c>
      <c r="D92" s="9"/>
      <c r="E92" s="9"/>
      <c r="F92" s="9"/>
      <c r="G92" s="9"/>
      <c r="H92" s="9"/>
      <c r="I92" s="9"/>
      <c r="J92" s="9"/>
      <c r="K92" s="9"/>
      <c r="L92" s="9"/>
      <c r="M92" s="9"/>
      <c r="N92" s="9"/>
      <c r="O92" s="9"/>
      <c r="P92" s="9" t="s">
        <v>2663</v>
      </c>
      <c r="Q92" s="9"/>
      <c r="R92" s="9"/>
      <c r="S92" s="9"/>
      <c r="T92" s="9"/>
      <c r="U92" s="9"/>
      <c r="V92" s="9"/>
      <c r="W92" s="9"/>
      <c r="X92" s="9"/>
      <c r="Y92" s="9"/>
      <c r="Z92" s="9"/>
      <c r="AA92" s="9"/>
      <c r="AB92" s="9"/>
      <c r="AC92" s="9"/>
      <c r="AD92" s="9"/>
      <c r="AE92" s="9"/>
      <c r="AF92" s="9"/>
      <c r="AG92" s="9"/>
      <c r="AH92" s="9"/>
      <c r="AI92" s="9"/>
      <c r="AJ92" s="9"/>
      <c r="AK92" s="9"/>
      <c r="AL92" s="9"/>
      <c r="AM92" s="9"/>
      <c r="AN92" s="9"/>
      <c r="AO92" s="9"/>
      <c r="AP92" s="9"/>
      <c r="AQ92" s="9"/>
      <c r="AR92" s="9"/>
      <c r="AS92" s="9"/>
      <c r="AT92" s="9"/>
      <c r="AU92" s="9"/>
      <c r="AV92" s="9"/>
      <c r="AW92" s="9"/>
      <c r="AX92" s="9"/>
      <c r="AY92" s="9"/>
      <c r="AZ92" s="9"/>
      <c r="BA92" s="9"/>
      <c r="BB92" s="9"/>
      <c r="BC92" s="9"/>
      <c r="BD92" s="9"/>
      <c r="BE92" s="9"/>
      <c r="BF92" s="9"/>
      <c r="BG92" s="9"/>
      <c r="BH92" s="9"/>
      <c r="BI92" s="9"/>
      <c r="BJ92" s="9"/>
      <c r="BK92" s="9"/>
      <c r="BL92" s="9"/>
      <c r="BM92" s="9"/>
      <c r="BN92" s="9"/>
      <c r="BO92" s="9"/>
      <c r="BP92" s="9"/>
      <c r="BQ92" s="9"/>
      <c r="BR92" s="9"/>
    </row>
    <row r="93" spans="1:70" x14ac:dyDescent="0.25">
      <c r="A93" s="9" t="str">
        <f>IF(ISBLANK('Signal Definition'!J93),"",'Signal Definition'!J93)</f>
        <v>EngMdl_pwrIcoHeatTrf_PHY</v>
      </c>
      <c r="B93" s="9">
        <f t="array" ref="B93">COUNT(FIND("input",$D93:$CD93))</f>
        <v>0</v>
      </c>
      <c r="C93" s="9">
        <f t="array" ref="C93">COUNT(FIND("output",$D93:$CD93))</f>
        <v>1</v>
      </c>
      <c r="D93" s="9"/>
      <c r="E93" s="9"/>
      <c r="F93" s="9"/>
      <c r="G93" s="9"/>
      <c r="H93" s="9"/>
      <c r="I93" s="9"/>
      <c r="J93" s="9"/>
      <c r="K93" s="9"/>
      <c r="L93" s="9"/>
      <c r="M93" s="9"/>
      <c r="N93" s="9"/>
      <c r="O93" s="9"/>
      <c r="P93" s="9" t="s">
        <v>2663</v>
      </c>
      <c r="Q93" s="9"/>
      <c r="R93" s="9"/>
      <c r="S93" s="9"/>
      <c r="T93" s="9"/>
      <c r="U93" s="9"/>
      <c r="V93" s="9"/>
      <c r="W93" s="9"/>
      <c r="X93" s="9"/>
      <c r="Y93" s="9"/>
      <c r="Z93" s="9"/>
      <c r="AA93" s="9"/>
      <c r="AB93" s="9"/>
      <c r="AC93" s="9"/>
      <c r="AD93" s="9"/>
      <c r="AE93" s="9"/>
      <c r="AF93" s="9"/>
      <c r="AG93" s="9"/>
      <c r="AH93" s="9"/>
      <c r="AI93" s="9"/>
      <c r="AJ93" s="9"/>
      <c r="AK93" s="9"/>
      <c r="AL93" s="9"/>
      <c r="AM93" s="9"/>
      <c r="AN93" s="9"/>
      <c r="AO93" s="9"/>
      <c r="AP93" s="9"/>
      <c r="AQ93" s="9"/>
      <c r="AR93" s="9"/>
      <c r="AS93" s="9"/>
      <c r="AT93" s="9"/>
      <c r="AU93" s="9"/>
      <c r="AV93" s="9"/>
      <c r="AW93" s="9"/>
      <c r="AX93" s="9"/>
      <c r="AY93" s="9"/>
      <c r="AZ93" s="9"/>
      <c r="BA93" s="9"/>
      <c r="BB93" s="9"/>
      <c r="BC93" s="9"/>
      <c r="BD93" s="9"/>
      <c r="BE93" s="9"/>
      <c r="BF93" s="9"/>
      <c r="BG93" s="9"/>
      <c r="BH93" s="9"/>
      <c r="BI93" s="9"/>
      <c r="BJ93" s="9"/>
      <c r="BK93" s="9"/>
      <c r="BL93" s="9"/>
      <c r="BM93" s="9"/>
      <c r="BN93" s="9"/>
      <c r="BO93" s="9"/>
      <c r="BP93" s="9"/>
      <c r="BQ93" s="9"/>
      <c r="BR93" s="9"/>
    </row>
    <row r="94" spans="1:70" x14ac:dyDescent="0.25">
      <c r="A94" s="9" t="str">
        <f>IF(ISBLANK('Signal Definition'!J94),"",'Signal Definition'!J94)</f>
        <v>EngMdl_pwrCylHeatTrfRate_PHY</v>
      </c>
      <c r="B94" s="9">
        <f t="array" ref="B94">COUNT(FIND("input",$D94:$CD94))</f>
        <v>0</v>
      </c>
      <c r="C94" s="9">
        <f t="array" ref="C94">COUNT(FIND("output",$D94:$CD94))</f>
        <v>1</v>
      </c>
      <c r="D94" s="9"/>
      <c r="E94" s="9"/>
      <c r="F94" s="9"/>
      <c r="G94" s="9"/>
      <c r="H94" s="9"/>
      <c r="I94" s="9"/>
      <c r="J94" s="9"/>
      <c r="K94" s="9"/>
      <c r="L94" s="9"/>
      <c r="M94" s="9"/>
      <c r="N94" s="9"/>
      <c r="O94" s="9"/>
      <c r="P94" s="9" t="s">
        <v>2663</v>
      </c>
      <c r="Q94" s="9"/>
      <c r="R94" s="9"/>
      <c r="S94" s="9"/>
      <c r="T94" s="9"/>
      <c r="U94" s="9"/>
      <c r="V94" s="9"/>
      <c r="W94" s="9"/>
      <c r="X94" s="9"/>
      <c r="Y94" s="9"/>
      <c r="Z94" s="9"/>
      <c r="AA94" s="9"/>
      <c r="AB94" s="9"/>
      <c r="AC94" s="9"/>
      <c r="AD94" s="9"/>
      <c r="AE94" s="9"/>
      <c r="AF94" s="9"/>
      <c r="AG94" s="9"/>
      <c r="AH94" s="9"/>
      <c r="AI94" s="9"/>
      <c r="AJ94" s="9"/>
      <c r="AK94" s="9"/>
      <c r="AL94" s="9"/>
      <c r="AM94" s="9"/>
      <c r="AN94" s="9"/>
      <c r="AO94" s="9"/>
      <c r="AP94" s="9"/>
      <c r="AQ94" s="9"/>
      <c r="AR94" s="9"/>
      <c r="AS94" s="9"/>
      <c r="AT94" s="9"/>
      <c r="AU94" s="9"/>
      <c r="AV94" s="9"/>
      <c r="AW94" s="9"/>
      <c r="AX94" s="9"/>
      <c r="AY94" s="9"/>
      <c r="AZ94" s="9"/>
      <c r="BA94" s="9"/>
      <c r="BB94" s="9"/>
      <c r="BC94" s="9"/>
      <c r="BD94" s="9"/>
      <c r="BE94" s="9"/>
      <c r="BF94" s="9"/>
      <c r="BG94" s="9"/>
      <c r="BH94" s="9"/>
      <c r="BI94" s="9"/>
      <c r="BJ94" s="9"/>
      <c r="BK94" s="9"/>
      <c r="BL94" s="9"/>
      <c r="BM94" s="9"/>
      <c r="BN94" s="9"/>
      <c r="BO94" s="9"/>
      <c r="BP94" s="9"/>
      <c r="BQ94" s="9"/>
      <c r="BR94" s="9"/>
    </row>
    <row r="95" spans="1:70" x14ac:dyDescent="0.25">
      <c r="A95" s="9" t="str">
        <f>IF(ISBLANK('Signal Definition'!J95),"",'Signal Definition'!J95)</f>
        <v>EngMdl_sfcBrkSpcFuCns_CAN</v>
      </c>
      <c r="B95" s="9">
        <f t="array" ref="B95">COUNT(FIND("input",$D95:$CD95))</f>
        <v>0</v>
      </c>
      <c r="C95" s="9">
        <f t="array" ref="C95">COUNT(FIND("output",$D95:$CD95))</f>
        <v>1</v>
      </c>
      <c r="D95" s="9"/>
      <c r="E95" s="9"/>
      <c r="F95" s="9"/>
      <c r="G95" s="9"/>
      <c r="H95" s="9"/>
      <c r="I95" s="9"/>
      <c r="J95" s="9"/>
      <c r="K95" s="9"/>
      <c r="L95" s="9"/>
      <c r="M95" s="9"/>
      <c r="N95" s="9"/>
      <c r="O95" s="9"/>
      <c r="P95" s="9" t="s">
        <v>2663</v>
      </c>
      <c r="Q95" s="9"/>
      <c r="R95" s="9"/>
      <c r="S95" s="9"/>
      <c r="T95" s="9"/>
      <c r="U95" s="9"/>
      <c r="V95" s="9"/>
      <c r="W95" s="9"/>
      <c r="X95" s="9"/>
      <c r="Y95" s="9"/>
      <c r="Z95" s="9"/>
      <c r="AA95" s="9"/>
      <c r="AB95" s="9"/>
      <c r="AC95" s="9"/>
      <c r="AD95" s="9"/>
      <c r="AE95" s="9"/>
      <c r="AF95" s="9"/>
      <c r="AG95" s="9"/>
      <c r="AH95" s="9"/>
      <c r="AI95" s="9"/>
      <c r="AJ95" s="9"/>
      <c r="AK95" s="9"/>
      <c r="AL95" s="9"/>
      <c r="AM95" s="9"/>
      <c r="AN95" s="9"/>
      <c r="AO95" s="9"/>
      <c r="AP95" s="9"/>
      <c r="AQ95" s="9"/>
      <c r="AR95" s="9"/>
      <c r="AS95" s="9"/>
      <c r="AT95" s="9"/>
      <c r="AU95" s="9"/>
      <c r="AV95" s="9"/>
      <c r="AW95" s="9"/>
      <c r="AX95" s="9"/>
      <c r="AY95" s="9"/>
      <c r="AZ95" s="9"/>
      <c r="BA95" s="9"/>
      <c r="BB95" s="9"/>
      <c r="BC95" s="9"/>
      <c r="BD95" s="9"/>
      <c r="BE95" s="9"/>
      <c r="BF95" s="9"/>
      <c r="BG95" s="9"/>
      <c r="BH95" s="9"/>
      <c r="BI95" s="9"/>
      <c r="BJ95" s="9"/>
      <c r="BK95" s="9"/>
      <c r="BL95" s="9"/>
      <c r="BM95" s="9"/>
      <c r="BN95" s="9"/>
      <c r="BO95" s="9"/>
      <c r="BP95" s="9"/>
      <c r="BQ95" s="9"/>
      <c r="BR95" s="9"/>
    </row>
    <row r="96" spans="1:70" x14ac:dyDescent="0.25">
      <c r="A96" s="9" t="str">
        <f>IF(ISBLANK('Signal Definition'!J96),"",'Signal Definition'!J96)</f>
        <v>EngMdl_trqEngTqOut_PHY</v>
      </c>
      <c r="B96" s="9">
        <f t="array" ref="B96">COUNT(FIND("input",$D96:$CD96))</f>
        <v>1</v>
      </c>
      <c r="C96" s="9">
        <f t="array" ref="C96">COUNT(FIND("output",$D96:$CD96))</f>
        <v>1</v>
      </c>
      <c r="D96" s="9"/>
      <c r="E96" s="9"/>
      <c r="F96" s="9"/>
      <c r="G96" s="9"/>
      <c r="H96" s="9"/>
      <c r="I96" s="9"/>
      <c r="J96" s="9"/>
      <c r="K96" s="9"/>
      <c r="L96" s="9"/>
      <c r="M96" s="9"/>
      <c r="N96" s="9"/>
      <c r="O96" s="9"/>
      <c r="P96" s="9" t="s">
        <v>2663</v>
      </c>
      <c r="Q96" s="9" t="s">
        <v>2683</v>
      </c>
      <c r="R96" s="9"/>
      <c r="S96" s="9"/>
      <c r="T96" s="9"/>
      <c r="U96" s="9"/>
      <c r="V96" s="9"/>
      <c r="W96" s="9"/>
      <c r="X96" s="9"/>
      <c r="Y96" s="9"/>
      <c r="Z96" s="9"/>
      <c r="AA96" s="9"/>
      <c r="AB96" s="9"/>
      <c r="AC96" s="9"/>
      <c r="AD96" s="9"/>
      <c r="AE96" s="9"/>
      <c r="AF96" s="9"/>
      <c r="AG96" s="9"/>
      <c r="AH96" s="9"/>
      <c r="AI96" s="9"/>
      <c r="AJ96" s="9"/>
      <c r="AK96" s="9"/>
      <c r="AL96" s="9"/>
      <c r="AM96" s="9"/>
      <c r="AN96" s="9"/>
      <c r="AO96" s="9"/>
      <c r="AP96" s="9"/>
      <c r="AQ96" s="9"/>
      <c r="AR96" s="9"/>
      <c r="AS96" s="9"/>
      <c r="AT96" s="9"/>
      <c r="AU96" s="9"/>
      <c r="AV96" s="9"/>
      <c r="AW96" s="9"/>
      <c r="AX96" s="9"/>
      <c r="AY96" s="9"/>
      <c r="AZ96" s="9"/>
      <c r="BA96" s="9"/>
      <c r="BB96" s="9"/>
      <c r="BC96" s="9"/>
      <c r="BD96" s="9"/>
      <c r="BE96" s="9"/>
      <c r="BF96" s="9"/>
      <c r="BG96" s="9"/>
      <c r="BH96" s="9"/>
      <c r="BI96" s="9"/>
      <c r="BJ96" s="9"/>
      <c r="BK96" s="9"/>
      <c r="BL96" s="9"/>
      <c r="BM96" s="9"/>
      <c r="BN96" s="9"/>
      <c r="BO96" s="9"/>
      <c r="BP96" s="9"/>
      <c r="BQ96" s="9"/>
      <c r="BR96" s="9"/>
    </row>
    <row r="97" spans="1:70" x14ac:dyDescent="0.25">
      <c r="A97" s="9" t="str">
        <f>IF(ISBLANK('Signal Definition'!J97),"",'Signal Definition'!J97)</f>
        <v>EngMdl_nEngSpdOut_PHY</v>
      </c>
      <c r="B97" s="9">
        <f t="array" ref="B97">COUNT(FIND("input",$D97:$CD97))</f>
        <v>1</v>
      </c>
      <c r="C97" s="9">
        <f t="array" ref="C97">COUNT(FIND("output",$D97:$CD97))</f>
        <v>1</v>
      </c>
      <c r="D97" s="9"/>
      <c r="E97" s="9"/>
      <c r="F97" s="9"/>
      <c r="G97" s="9"/>
      <c r="H97" s="9"/>
      <c r="I97" s="9"/>
      <c r="J97" s="9"/>
      <c r="K97" s="9"/>
      <c r="L97" s="9"/>
      <c r="M97" s="9"/>
      <c r="N97" s="9"/>
      <c r="O97" s="9"/>
      <c r="P97" s="9" t="s">
        <v>2663</v>
      </c>
      <c r="Q97" s="9" t="s">
        <v>2683</v>
      </c>
      <c r="R97" s="9"/>
      <c r="S97" s="9"/>
      <c r="T97" s="9"/>
      <c r="U97" s="9"/>
      <c r="V97" s="9"/>
      <c r="W97" s="9"/>
      <c r="X97" s="9"/>
      <c r="Y97" s="9"/>
      <c r="Z97" s="9"/>
      <c r="AA97" s="9"/>
      <c r="AB97" s="9"/>
      <c r="AC97" s="9"/>
      <c r="AD97" s="9"/>
      <c r="AE97" s="9"/>
      <c r="AF97" s="9"/>
      <c r="AG97" s="9"/>
      <c r="AH97" s="9"/>
      <c r="AI97" s="9"/>
      <c r="AJ97" s="9"/>
      <c r="AK97" s="9"/>
      <c r="AL97" s="9"/>
      <c r="AM97" s="9"/>
      <c r="AN97" s="9"/>
      <c r="AO97" s="9"/>
      <c r="AP97" s="9"/>
      <c r="AQ97" s="9"/>
      <c r="AR97" s="9"/>
      <c r="AS97" s="9"/>
      <c r="AT97" s="9"/>
      <c r="AU97" s="9"/>
      <c r="AV97" s="9"/>
      <c r="AW97" s="9"/>
      <c r="AX97" s="9"/>
      <c r="AY97" s="9"/>
      <c r="AZ97" s="9"/>
      <c r="BA97" s="9"/>
      <c r="BB97" s="9"/>
      <c r="BC97" s="9"/>
      <c r="BD97" s="9"/>
      <c r="BE97" s="9"/>
      <c r="BF97" s="9"/>
      <c r="BG97" s="9"/>
      <c r="BH97" s="9"/>
      <c r="BI97" s="9"/>
      <c r="BJ97" s="9"/>
      <c r="BK97" s="9"/>
      <c r="BL97" s="9"/>
      <c r="BM97" s="9"/>
      <c r="BN97" s="9"/>
      <c r="BO97" s="9"/>
      <c r="BP97" s="9"/>
      <c r="BQ97" s="9"/>
      <c r="BR97" s="9"/>
    </row>
    <row r="98" spans="1:70" x14ac:dyDescent="0.25">
      <c r="A98" s="9" t="str">
        <f>IF(ISBLANK('Signal Definition'!J98),"",'Signal Definition'!J98)</f>
        <v>EngMdl_ratNOx_PHY</v>
      </c>
      <c r="B98" s="9">
        <f t="array" ref="B98">COUNT(FIND("input",$D98:$CD98))</f>
        <v>1</v>
      </c>
      <c r="C98" s="9">
        <f t="array" ref="C98">COUNT(FIND("output",$D98:$CD98))</f>
        <v>1</v>
      </c>
      <c r="D98" s="9"/>
      <c r="E98" s="9"/>
      <c r="F98" s="9"/>
      <c r="G98" s="9"/>
      <c r="H98" s="9"/>
      <c r="I98" s="9"/>
      <c r="J98" s="9"/>
      <c r="K98" s="9"/>
      <c r="L98" s="9"/>
      <c r="M98" s="9"/>
      <c r="N98" s="9"/>
      <c r="O98" s="9"/>
      <c r="P98" s="9" t="s">
        <v>2663</v>
      </c>
      <c r="Q98" s="9" t="s">
        <v>2683</v>
      </c>
      <c r="R98" s="9"/>
      <c r="S98" s="9"/>
      <c r="T98" s="9"/>
      <c r="U98" s="9"/>
      <c r="V98" s="9"/>
      <c r="W98" s="9"/>
      <c r="X98" s="9"/>
      <c r="Y98" s="9"/>
      <c r="Z98" s="9"/>
      <c r="AA98" s="9"/>
      <c r="AB98" s="9"/>
      <c r="AC98" s="9"/>
      <c r="AD98" s="9"/>
      <c r="AE98" s="9"/>
      <c r="AF98" s="9"/>
      <c r="AG98" s="9"/>
      <c r="AH98" s="9"/>
      <c r="AI98" s="9"/>
      <c r="AJ98" s="9"/>
      <c r="AK98" s="9"/>
      <c r="AL98" s="9"/>
      <c r="AM98" s="9"/>
      <c r="AN98" s="9"/>
      <c r="AO98" s="9"/>
      <c r="AP98" s="9"/>
      <c r="AQ98" s="9"/>
      <c r="AR98" s="9"/>
      <c r="AS98" s="9"/>
      <c r="AT98" s="9"/>
      <c r="AU98" s="9"/>
      <c r="AV98" s="9"/>
      <c r="AW98" s="9"/>
      <c r="AX98" s="9"/>
      <c r="AY98" s="9"/>
      <c r="AZ98" s="9"/>
      <c r="BA98" s="9"/>
      <c r="BB98" s="9"/>
      <c r="BC98" s="9"/>
      <c r="BD98" s="9"/>
      <c r="BE98" s="9"/>
      <c r="BF98" s="9"/>
      <c r="BG98" s="9"/>
      <c r="BH98" s="9"/>
      <c r="BI98" s="9"/>
      <c r="BJ98" s="9"/>
      <c r="BK98" s="9"/>
      <c r="BL98" s="9"/>
      <c r="BM98" s="9"/>
      <c r="BN98" s="9"/>
      <c r="BO98" s="9"/>
      <c r="BP98" s="9"/>
      <c r="BQ98" s="9"/>
      <c r="BR98" s="9"/>
    </row>
    <row r="99" spans="1:70" x14ac:dyDescent="0.25">
      <c r="A99" s="9" t="str">
        <f>IF(ISBLANK('Signal Definition'!J99),"",'Signal Definition'!J99)</f>
        <v>EngMdl_ratNO2_PHY</v>
      </c>
      <c r="B99" s="9">
        <f t="array" ref="B99">COUNT(FIND("input",$D99:$CD99))</f>
        <v>0</v>
      </c>
      <c r="C99" s="9">
        <f t="array" ref="C99">COUNT(FIND("output",$D99:$CD99))</f>
        <v>1</v>
      </c>
      <c r="D99" s="9"/>
      <c r="E99" s="9"/>
      <c r="F99" s="9"/>
      <c r="G99" s="9"/>
      <c r="H99" s="9"/>
      <c r="I99" s="9"/>
      <c r="J99" s="9"/>
      <c r="K99" s="9"/>
      <c r="L99" s="9"/>
      <c r="M99" s="9"/>
      <c r="N99" s="9"/>
      <c r="O99" s="9"/>
      <c r="P99" s="9" t="s">
        <v>2663</v>
      </c>
      <c r="Q99" s="9"/>
      <c r="R99" s="9"/>
      <c r="S99" s="9"/>
      <c r="T99" s="9"/>
      <c r="U99" s="9"/>
      <c r="V99" s="9"/>
      <c r="W99" s="9"/>
      <c r="X99" s="9"/>
      <c r="Y99" s="9"/>
      <c r="Z99" s="9"/>
      <c r="AA99" s="9"/>
      <c r="AB99" s="9"/>
      <c r="AC99" s="9"/>
      <c r="AD99" s="9"/>
      <c r="AE99" s="9"/>
      <c r="AF99" s="9"/>
      <c r="AG99" s="9"/>
      <c r="AH99" s="9"/>
      <c r="AI99" s="9"/>
      <c r="AJ99" s="9"/>
      <c r="AK99" s="9"/>
      <c r="AL99" s="9"/>
      <c r="AM99" s="9"/>
      <c r="AN99" s="9"/>
      <c r="AO99" s="9"/>
      <c r="AP99" s="9"/>
      <c r="AQ99" s="9"/>
      <c r="AR99" s="9"/>
      <c r="AS99" s="9"/>
      <c r="AT99" s="9"/>
      <c r="AU99" s="9"/>
      <c r="AV99" s="9"/>
      <c r="AW99" s="9"/>
      <c r="AX99" s="9"/>
      <c r="AY99" s="9"/>
      <c r="AZ99" s="9"/>
      <c r="BA99" s="9"/>
      <c r="BB99" s="9"/>
      <c r="BC99" s="9"/>
      <c r="BD99" s="9"/>
      <c r="BE99" s="9"/>
      <c r="BF99" s="9"/>
      <c r="BG99" s="9"/>
      <c r="BH99" s="9"/>
      <c r="BI99" s="9"/>
      <c r="BJ99" s="9"/>
      <c r="BK99" s="9"/>
      <c r="BL99" s="9"/>
      <c r="BM99" s="9"/>
      <c r="BN99" s="9"/>
      <c r="BO99" s="9"/>
      <c r="BP99" s="9"/>
      <c r="BQ99" s="9"/>
      <c r="BR99" s="9"/>
    </row>
    <row r="100" spans="1:70" x14ac:dyDescent="0.25">
      <c r="A100" s="9" t="str">
        <f>IF(ISBLANK('Signal Definition'!J100),"",'Signal Definition'!J100)</f>
        <v>EngMdl_ratCO_PHY</v>
      </c>
      <c r="B100" s="9">
        <f t="array" ref="B100">COUNT(FIND("input",$D100:$CD100))</f>
        <v>0</v>
      </c>
      <c r="C100" s="9">
        <f t="array" ref="C100">COUNT(FIND("output",$D100:$CD100))</f>
        <v>1</v>
      </c>
      <c r="D100" s="9"/>
      <c r="E100" s="9"/>
      <c r="F100" s="9"/>
      <c r="G100" s="9"/>
      <c r="H100" s="9"/>
      <c r="I100" s="9"/>
      <c r="J100" s="9"/>
      <c r="K100" s="9"/>
      <c r="L100" s="9"/>
      <c r="M100" s="9"/>
      <c r="N100" s="9"/>
      <c r="O100" s="9"/>
      <c r="P100" s="9" t="s">
        <v>2663</v>
      </c>
      <c r="Q100" s="9"/>
      <c r="R100" s="9"/>
      <c r="S100" s="9"/>
      <c r="T100" s="9"/>
      <c r="U100" s="9"/>
      <c r="V100" s="9"/>
      <c r="W100" s="9"/>
      <c r="X100" s="9"/>
      <c r="Y100" s="9"/>
      <c r="Z100" s="9"/>
      <c r="AA100" s="9"/>
      <c r="AB100" s="9"/>
      <c r="AC100" s="9"/>
      <c r="AD100" s="9"/>
      <c r="AE100" s="9"/>
      <c r="AF100" s="9"/>
      <c r="AG100" s="9"/>
      <c r="AH100" s="9"/>
      <c r="AI100" s="9"/>
      <c r="AJ100" s="9"/>
      <c r="AK100" s="9"/>
      <c r="AL100" s="9"/>
      <c r="AM100" s="9"/>
      <c r="AN100" s="9"/>
      <c r="AO100" s="9"/>
      <c r="AP100" s="9"/>
      <c r="AQ100" s="9"/>
      <c r="AR100" s="9"/>
      <c r="AS100" s="9"/>
      <c r="AT100" s="9"/>
      <c r="AU100" s="9"/>
      <c r="AV100" s="9"/>
      <c r="AW100" s="9"/>
      <c r="AX100" s="9"/>
      <c r="AY100" s="9"/>
      <c r="AZ100" s="9"/>
      <c r="BA100" s="9"/>
      <c r="BB100" s="9"/>
      <c r="BC100" s="9"/>
      <c r="BD100" s="9"/>
      <c r="BE100" s="9"/>
      <c r="BF100" s="9"/>
      <c r="BG100" s="9"/>
      <c r="BH100" s="9"/>
      <c r="BI100" s="9"/>
      <c r="BJ100" s="9"/>
      <c r="BK100" s="9"/>
      <c r="BL100" s="9"/>
      <c r="BM100" s="9"/>
      <c r="BN100" s="9"/>
      <c r="BO100" s="9"/>
      <c r="BP100" s="9"/>
      <c r="BQ100" s="9"/>
      <c r="BR100" s="9"/>
    </row>
    <row r="101" spans="1:70" x14ac:dyDescent="0.25">
      <c r="A101" s="9" t="str">
        <f>IF(ISBLANK('Signal Definition'!J101),"",'Signal Definition'!J101)</f>
        <v>EngMdl_ratHC_PHY</v>
      </c>
      <c r="B101" s="9">
        <f t="array" ref="B101">COUNT(FIND("input",$D101:$CD101))</f>
        <v>0</v>
      </c>
      <c r="C101" s="9">
        <f t="array" ref="C101">COUNT(FIND("output",$D101:$CD101))</f>
        <v>1</v>
      </c>
      <c r="D101" s="9"/>
      <c r="E101" s="9"/>
      <c r="F101" s="9"/>
      <c r="G101" s="9"/>
      <c r="H101" s="9"/>
      <c r="I101" s="9"/>
      <c r="J101" s="9"/>
      <c r="K101" s="9"/>
      <c r="L101" s="9"/>
      <c r="M101" s="9"/>
      <c r="N101" s="9"/>
      <c r="O101" s="9"/>
      <c r="P101" s="9" t="s">
        <v>2663</v>
      </c>
      <c r="Q101" s="9"/>
      <c r="R101" s="9"/>
      <c r="S101" s="9"/>
      <c r="T101" s="9"/>
      <c r="U101" s="9"/>
      <c r="V101" s="9"/>
      <c r="W101" s="9"/>
      <c r="X101" s="9"/>
      <c r="Y101" s="9"/>
      <c r="Z101" s="9"/>
      <c r="AA101" s="9"/>
      <c r="AB101" s="9"/>
      <c r="AC101" s="9"/>
      <c r="AD101" s="9"/>
      <c r="AE101" s="9"/>
      <c r="AF101" s="9"/>
      <c r="AG101" s="9"/>
      <c r="AH101" s="9"/>
      <c r="AI101" s="9"/>
      <c r="AJ101" s="9"/>
      <c r="AK101" s="9"/>
      <c r="AL101" s="9"/>
      <c r="AM101" s="9"/>
      <c r="AN101" s="9"/>
      <c r="AO101" s="9"/>
      <c r="AP101" s="9"/>
      <c r="AQ101" s="9"/>
      <c r="AR101" s="9"/>
      <c r="AS101" s="9"/>
      <c r="AT101" s="9"/>
      <c r="AU101" s="9"/>
      <c r="AV101" s="9"/>
      <c r="AW101" s="9"/>
      <c r="AX101" s="9"/>
      <c r="AY101" s="9"/>
      <c r="AZ101" s="9"/>
      <c r="BA101" s="9"/>
      <c r="BB101" s="9"/>
      <c r="BC101" s="9"/>
      <c r="BD101" s="9"/>
      <c r="BE101" s="9"/>
      <c r="BF101" s="9"/>
      <c r="BG101" s="9"/>
      <c r="BH101" s="9"/>
      <c r="BI101" s="9"/>
      <c r="BJ101" s="9"/>
      <c r="BK101" s="9"/>
      <c r="BL101" s="9"/>
      <c r="BM101" s="9"/>
      <c r="BN101" s="9"/>
      <c r="BO101" s="9"/>
      <c r="BP101" s="9"/>
      <c r="BQ101" s="9"/>
      <c r="BR101" s="9"/>
    </row>
    <row r="102" spans="1:70" x14ac:dyDescent="0.25">
      <c r="A102" s="9" t="str">
        <f>IF(ISBLANK('Signal Definition'!J102),"",'Signal Definition'!J102)</f>
        <v>EngMdl_ratCO2_PHY</v>
      </c>
      <c r="B102" s="9">
        <f t="array" ref="B102">COUNT(FIND("input",$D102:$CD102))</f>
        <v>0</v>
      </c>
      <c r="C102" s="9">
        <f t="array" ref="C102">COUNT(FIND("output",$D102:$CD102))</f>
        <v>1</v>
      </c>
      <c r="D102" s="9"/>
      <c r="E102" s="9"/>
      <c r="F102" s="9"/>
      <c r="G102" s="9"/>
      <c r="H102" s="9"/>
      <c r="I102" s="9"/>
      <c r="J102" s="9"/>
      <c r="K102" s="9"/>
      <c r="L102" s="9"/>
      <c r="M102" s="9"/>
      <c r="N102" s="9"/>
      <c r="O102" s="9"/>
      <c r="P102" s="9" t="s">
        <v>2663</v>
      </c>
      <c r="Q102" s="9"/>
      <c r="R102" s="9"/>
      <c r="S102" s="9"/>
      <c r="T102" s="9"/>
      <c r="U102" s="9"/>
      <c r="V102" s="9"/>
      <c r="W102" s="9"/>
      <c r="X102" s="9"/>
      <c r="Y102" s="9"/>
      <c r="Z102" s="9"/>
      <c r="AA102" s="9"/>
      <c r="AB102" s="9"/>
      <c r="AC102" s="9"/>
      <c r="AD102" s="9"/>
      <c r="AE102" s="9"/>
      <c r="AF102" s="9"/>
      <c r="AG102" s="9"/>
      <c r="AH102" s="9"/>
      <c r="AI102" s="9"/>
      <c r="AJ102" s="9"/>
      <c r="AK102" s="9"/>
      <c r="AL102" s="9"/>
      <c r="AM102" s="9"/>
      <c r="AN102" s="9"/>
      <c r="AO102" s="9"/>
      <c r="AP102" s="9"/>
      <c r="AQ102" s="9"/>
      <c r="AR102" s="9"/>
      <c r="AS102" s="9"/>
      <c r="AT102" s="9"/>
      <c r="AU102" s="9"/>
      <c r="AV102" s="9"/>
      <c r="AW102" s="9"/>
      <c r="AX102" s="9"/>
      <c r="AY102" s="9"/>
      <c r="AZ102" s="9"/>
      <c r="BA102" s="9"/>
      <c r="BB102" s="9"/>
      <c r="BC102" s="9"/>
      <c r="BD102" s="9"/>
      <c r="BE102" s="9"/>
      <c r="BF102" s="9"/>
      <c r="BG102" s="9"/>
      <c r="BH102" s="9"/>
      <c r="BI102" s="9"/>
      <c r="BJ102" s="9"/>
      <c r="BK102" s="9"/>
      <c r="BL102" s="9"/>
      <c r="BM102" s="9"/>
      <c r="BN102" s="9"/>
      <c r="BO102" s="9"/>
      <c r="BP102" s="9"/>
      <c r="BQ102" s="9"/>
      <c r="BR102" s="9"/>
    </row>
    <row r="103" spans="1:70" x14ac:dyDescent="0.25">
      <c r="A103" s="9" t="str">
        <f>IF(ISBLANK('Signal Definition'!J103),"",'Signal Definition'!J103)</f>
        <v>EngMdl_ratO2ConcInExh_PHY</v>
      </c>
      <c r="B103" s="9">
        <f t="array" ref="B103">COUNT(FIND("input",$D103:$CD103))</f>
        <v>1</v>
      </c>
      <c r="C103" s="9">
        <f t="array" ref="C103">COUNT(FIND("output",$D103:$CD103))</f>
        <v>1</v>
      </c>
      <c r="D103" s="9"/>
      <c r="E103" s="9"/>
      <c r="F103" s="9"/>
      <c r="G103" s="9"/>
      <c r="H103" s="9"/>
      <c r="I103" s="9"/>
      <c r="J103" s="9"/>
      <c r="K103" s="9"/>
      <c r="L103" s="9"/>
      <c r="M103" s="9"/>
      <c r="N103" s="9"/>
      <c r="O103" s="9"/>
      <c r="P103" s="9" t="s">
        <v>2663</v>
      </c>
      <c r="Q103" s="9" t="s">
        <v>2683</v>
      </c>
      <c r="R103" s="9"/>
      <c r="S103" s="9"/>
      <c r="T103" s="9"/>
      <c r="U103" s="9"/>
      <c r="V103" s="9"/>
      <c r="W103" s="9"/>
      <c r="X103" s="9"/>
      <c r="Y103" s="9"/>
      <c r="Z103" s="9"/>
      <c r="AA103" s="9"/>
      <c r="AB103" s="9"/>
      <c r="AC103" s="9"/>
      <c r="AD103" s="9"/>
      <c r="AE103" s="9"/>
      <c r="AF103" s="9"/>
      <c r="AG103" s="9"/>
      <c r="AH103" s="9"/>
      <c r="AI103" s="9"/>
      <c r="AJ103" s="9"/>
      <c r="AK103" s="9"/>
      <c r="AL103" s="9"/>
      <c r="AM103" s="9"/>
      <c r="AN103" s="9"/>
      <c r="AO103" s="9"/>
      <c r="AP103" s="9"/>
      <c r="AQ103" s="9"/>
      <c r="AR103" s="9"/>
      <c r="AS103" s="9"/>
      <c r="AT103" s="9"/>
      <c r="AU103" s="9"/>
      <c r="AV103" s="9"/>
      <c r="AW103" s="9"/>
      <c r="AX103" s="9"/>
      <c r="AY103" s="9"/>
      <c r="AZ103" s="9"/>
      <c r="BA103" s="9"/>
      <c r="BB103" s="9"/>
      <c r="BC103" s="9"/>
      <c r="BD103" s="9"/>
      <c r="BE103" s="9"/>
      <c r="BF103" s="9"/>
      <c r="BG103" s="9"/>
      <c r="BH103" s="9"/>
      <c r="BI103" s="9"/>
      <c r="BJ103" s="9"/>
      <c r="BK103" s="9"/>
      <c r="BL103" s="9"/>
      <c r="BM103" s="9"/>
      <c r="BN103" s="9"/>
      <c r="BO103" s="9"/>
      <c r="BP103" s="9"/>
      <c r="BQ103" s="9"/>
      <c r="BR103" s="9"/>
    </row>
    <row r="104" spans="1:70" x14ac:dyDescent="0.25">
      <c r="A104" s="9" t="str">
        <f>IF(ISBLANK('Signal Definition'!J104),"",'Signal Definition'!J104)</f>
        <v>PnmSys_trqAirCmpr_PHY</v>
      </c>
      <c r="B104" s="9">
        <f t="array" ref="B104">COUNT(FIND("input",$D104:$CD104))</f>
        <v>0</v>
      </c>
      <c r="C104" s="9">
        <f t="array" ref="C104">COUNT(FIND("output",$D104:$CD104))</f>
        <v>1</v>
      </c>
      <c r="D104" s="9"/>
      <c r="E104" s="9"/>
      <c r="F104" s="9"/>
      <c r="G104" s="9"/>
      <c r="H104" s="9"/>
      <c r="I104" s="9"/>
      <c r="J104" s="9"/>
      <c r="K104" s="9"/>
      <c r="L104" s="9"/>
      <c r="M104" s="9"/>
      <c r="N104" s="9"/>
      <c r="O104" s="9"/>
      <c r="P104" s="9"/>
      <c r="Q104" s="9"/>
      <c r="R104" s="9"/>
      <c r="S104" s="9"/>
      <c r="T104" s="9" t="s">
        <v>2663</v>
      </c>
      <c r="U104" s="9"/>
      <c r="V104" s="9"/>
      <c r="W104" s="9"/>
      <c r="X104" s="9"/>
      <c r="Y104" s="9"/>
      <c r="Z104" s="9"/>
      <c r="AA104" s="9"/>
      <c r="AB104" s="9"/>
      <c r="AC104" s="9"/>
      <c r="AD104" s="9"/>
      <c r="AE104" s="9"/>
      <c r="AF104" s="9"/>
      <c r="AG104" s="9"/>
      <c r="AH104" s="9"/>
      <c r="AI104" s="9"/>
      <c r="AJ104" s="9"/>
      <c r="AK104" s="9"/>
      <c r="AL104" s="9"/>
      <c r="AM104" s="9"/>
      <c r="AN104" s="9"/>
      <c r="AO104" s="9"/>
      <c r="AP104" s="9"/>
      <c r="AQ104" s="9"/>
      <c r="AR104" s="9"/>
      <c r="AS104" s="9"/>
      <c r="AT104" s="9"/>
      <c r="AU104" s="9"/>
      <c r="AV104" s="9"/>
      <c r="AW104" s="9"/>
      <c r="AX104" s="9"/>
      <c r="AY104" s="9"/>
      <c r="AZ104" s="9"/>
      <c r="BA104" s="9"/>
      <c r="BB104" s="9"/>
      <c r="BC104" s="9"/>
      <c r="BD104" s="9"/>
      <c r="BE104" s="9"/>
      <c r="BF104" s="9"/>
      <c r="BG104" s="9"/>
      <c r="BH104" s="9"/>
      <c r="BI104" s="9"/>
      <c r="BJ104" s="9"/>
      <c r="BK104" s="9"/>
      <c r="BL104" s="9"/>
      <c r="BM104" s="9"/>
      <c r="BN104" s="9"/>
      <c r="BO104" s="9"/>
      <c r="BP104" s="9"/>
      <c r="BQ104" s="9"/>
      <c r="BR104" s="9"/>
    </row>
    <row r="105" spans="1:70" x14ac:dyDescent="0.25">
      <c r="A105" s="9" t="str">
        <f>IF(ISBLANK('Signal Definition'!J105),"",'Signal Definition'!J105)</f>
        <v>PnmSys_jAirCmpr_PHY</v>
      </c>
      <c r="B105" s="9">
        <f t="array" ref="B105">COUNT(FIND("input",$D105:$CD105))</f>
        <v>0</v>
      </c>
      <c r="C105" s="9">
        <f t="array" ref="C105">COUNT(FIND("output",$D105:$CD105))</f>
        <v>1</v>
      </c>
      <c r="D105" s="9"/>
      <c r="E105" s="9"/>
      <c r="F105" s="9"/>
      <c r="G105" s="9"/>
      <c r="H105" s="9"/>
      <c r="I105" s="9"/>
      <c r="J105" s="9"/>
      <c r="K105" s="9"/>
      <c r="L105" s="9"/>
      <c r="M105" s="9"/>
      <c r="N105" s="9"/>
      <c r="O105" s="9"/>
      <c r="P105" s="9"/>
      <c r="Q105" s="9"/>
      <c r="R105" s="9"/>
      <c r="S105" s="9"/>
      <c r="T105" s="9" t="s">
        <v>2663</v>
      </c>
      <c r="U105" s="9"/>
      <c r="V105" s="9"/>
      <c r="W105" s="9"/>
      <c r="X105" s="9"/>
      <c r="Y105" s="9"/>
      <c r="Z105" s="9"/>
      <c r="AA105" s="9"/>
      <c r="AB105" s="9"/>
      <c r="AC105" s="9"/>
      <c r="AD105" s="9"/>
      <c r="AE105" s="9"/>
      <c r="AF105" s="9"/>
      <c r="AG105" s="9"/>
      <c r="AH105" s="9"/>
      <c r="AI105" s="9"/>
      <c r="AJ105" s="9"/>
      <c r="AK105" s="9"/>
      <c r="AL105" s="9"/>
      <c r="AM105" s="9"/>
      <c r="AN105" s="9"/>
      <c r="AO105" s="9"/>
      <c r="AP105" s="9"/>
      <c r="AQ105" s="9"/>
      <c r="AR105" s="9"/>
      <c r="AS105" s="9"/>
      <c r="AT105" s="9"/>
      <c r="AU105" s="9"/>
      <c r="AV105" s="9"/>
      <c r="AW105" s="9"/>
      <c r="AX105" s="9"/>
      <c r="AY105" s="9"/>
      <c r="AZ105" s="9"/>
      <c r="BA105" s="9"/>
      <c r="BB105" s="9"/>
      <c r="BC105" s="9"/>
      <c r="BD105" s="9"/>
      <c r="BE105" s="9"/>
      <c r="BF105" s="9"/>
      <c r="BG105" s="9"/>
      <c r="BH105" s="9"/>
      <c r="BI105" s="9"/>
      <c r="BJ105" s="9"/>
      <c r="BK105" s="9"/>
      <c r="BL105" s="9"/>
      <c r="BM105" s="9"/>
      <c r="BN105" s="9"/>
      <c r="BO105" s="9"/>
      <c r="BP105" s="9"/>
      <c r="BQ105" s="9"/>
      <c r="BR105" s="9"/>
    </row>
    <row r="106" spans="1:70" x14ac:dyDescent="0.25">
      <c r="A106" s="9" t="str">
        <f>IF(ISBLANK('Signal Definition'!J106),"",'Signal Definition'!J106)</f>
        <v>CoolgSys_tCooltRadrOut_PHY</v>
      </c>
      <c r="B106" s="9">
        <f t="array" ref="B106">COUNT(FIND("input",$D106:$CD106))</f>
        <v>0</v>
      </c>
      <c r="C106" s="9">
        <f t="array" ref="C106">COUNT(FIND("output",$D106:$CD106))</f>
        <v>1</v>
      </c>
      <c r="D106" s="9"/>
      <c r="E106" s="9"/>
      <c r="F106" s="9"/>
      <c r="G106" s="9"/>
      <c r="H106" s="9"/>
      <c r="I106" s="9"/>
      <c r="J106" s="9"/>
      <c r="K106" s="9"/>
      <c r="L106" s="9"/>
      <c r="M106" s="9"/>
      <c r="N106" s="9"/>
      <c r="O106" s="9"/>
      <c r="P106" s="9"/>
      <c r="Q106" s="9"/>
      <c r="R106" s="9"/>
      <c r="S106" s="9"/>
      <c r="T106" s="9"/>
      <c r="U106" s="9" t="s">
        <v>2663</v>
      </c>
      <c r="V106" s="9"/>
      <c r="W106" s="9"/>
      <c r="X106" s="9"/>
      <c r="Y106" s="9"/>
      <c r="Z106" s="9"/>
      <c r="AA106" s="9"/>
      <c r="AB106" s="9"/>
      <c r="AC106" s="9"/>
      <c r="AD106" s="9"/>
      <c r="AE106" s="9"/>
      <c r="AF106" s="9"/>
      <c r="AG106" s="9"/>
      <c r="AH106" s="9"/>
      <c r="AI106" s="9"/>
      <c r="AJ106" s="9"/>
      <c r="AK106" s="9"/>
      <c r="AL106" s="9"/>
      <c r="AM106" s="9"/>
      <c r="AN106" s="9"/>
      <c r="AO106" s="9"/>
      <c r="AP106" s="9"/>
      <c r="AQ106" s="9"/>
      <c r="AR106" s="9"/>
      <c r="AS106" s="9"/>
      <c r="AT106" s="9"/>
      <c r="AU106" s="9"/>
      <c r="AV106" s="9"/>
      <c r="AW106" s="9"/>
      <c r="AX106" s="9"/>
      <c r="AY106" s="9"/>
      <c r="AZ106" s="9"/>
      <c r="BA106" s="9"/>
      <c r="BB106" s="9"/>
      <c r="BC106" s="9"/>
      <c r="BD106" s="9"/>
      <c r="BE106" s="9"/>
      <c r="BF106" s="9"/>
      <c r="BG106" s="9"/>
      <c r="BH106" s="9"/>
      <c r="BI106" s="9"/>
      <c r="BJ106" s="9"/>
      <c r="BK106" s="9"/>
      <c r="BL106" s="9"/>
      <c r="BM106" s="9"/>
      <c r="BN106" s="9"/>
      <c r="BO106" s="9"/>
      <c r="BP106" s="9"/>
      <c r="BQ106" s="9"/>
      <c r="BR106" s="9"/>
    </row>
    <row r="107" spans="1:70" x14ac:dyDescent="0.25">
      <c r="A107" s="9" t="str">
        <f>IF(ISBLANK('Signal Definition'!J107),"",'Signal Definition'!J107)</f>
        <v>CoolgSys_tCooltRadrIn_PHY</v>
      </c>
      <c r="B107" s="9">
        <f t="array" ref="B107">COUNT(FIND("input",$D107:$CD107))</f>
        <v>0</v>
      </c>
      <c r="C107" s="9">
        <f t="array" ref="C107">COUNT(FIND("output",$D107:$CD107))</f>
        <v>1</v>
      </c>
      <c r="U107" t="s">
        <v>2663</v>
      </c>
      <c r="Z107" s="9"/>
      <c r="AA107" s="9"/>
      <c r="AB107" s="9"/>
      <c r="AC107" s="9"/>
      <c r="AD107" s="9"/>
      <c r="AE107" s="9"/>
      <c r="AF107" s="9"/>
      <c r="AG107" s="9"/>
      <c r="AH107" s="9"/>
      <c r="AI107" s="9"/>
      <c r="AJ107" s="9"/>
      <c r="AK107" s="9"/>
      <c r="AL107" s="9"/>
      <c r="AM107" s="9"/>
      <c r="AN107" s="9"/>
      <c r="AO107" s="9"/>
      <c r="AP107" s="9"/>
      <c r="AQ107" s="9"/>
      <c r="AR107" s="9"/>
      <c r="AS107" s="9"/>
      <c r="AT107" s="9"/>
      <c r="AU107" s="9"/>
      <c r="AV107" s="9"/>
      <c r="AW107" s="9"/>
      <c r="AX107" s="9"/>
      <c r="AY107" s="9"/>
      <c r="AZ107" s="9"/>
      <c r="BA107" s="9"/>
      <c r="BB107" s="9"/>
      <c r="BC107" s="9"/>
      <c r="BD107" s="9"/>
      <c r="BE107" s="9"/>
      <c r="BF107" s="9"/>
      <c r="BG107" s="9"/>
      <c r="BH107" s="9"/>
      <c r="BI107" s="9"/>
      <c r="BJ107" s="9"/>
      <c r="BK107" s="9"/>
      <c r="BL107" s="9"/>
      <c r="BM107" s="9"/>
      <c r="BN107" s="9"/>
      <c r="BO107" s="9"/>
      <c r="BP107" s="9"/>
      <c r="BQ107" s="9"/>
      <c r="BR107" s="9"/>
    </row>
    <row r="108" spans="1:70" x14ac:dyDescent="0.25">
      <c r="A108" s="9" t="str">
        <f>IF(ISBLANK('Signal Definition'!J108),"",'Signal Definition'!J108)</f>
        <v>CoolgSys_tCooltSp_INT</v>
      </c>
      <c r="B108" s="9">
        <f t="array" ref="B108">COUNT(FIND("input",$D108:$CD108))</f>
        <v>1</v>
      </c>
      <c r="C108" s="9">
        <f t="array" ref="C108">COUNT(FIND("output",$D108:$CD108))</f>
        <v>1</v>
      </c>
      <c r="D108" s="9"/>
      <c r="E108" s="9"/>
      <c r="F108" s="9"/>
      <c r="G108" s="9"/>
      <c r="H108" s="9"/>
      <c r="I108" s="9"/>
      <c r="J108" s="9"/>
      <c r="K108" s="9"/>
      <c r="L108" s="9"/>
      <c r="M108" s="9"/>
      <c r="N108" s="9"/>
      <c r="O108" s="9"/>
      <c r="P108" s="9"/>
      <c r="Q108" s="9"/>
      <c r="R108" s="9"/>
      <c r="S108" s="9"/>
      <c r="T108" s="9"/>
      <c r="U108" s="9" t="s">
        <v>2663</v>
      </c>
      <c r="V108" s="9"/>
      <c r="X108" t="s">
        <v>2683</v>
      </c>
      <c r="Y108" s="9"/>
      <c r="Z108" s="9"/>
      <c r="AA108" s="9"/>
      <c r="AB108" s="9"/>
      <c r="AC108" s="9"/>
      <c r="AD108" s="9"/>
      <c r="AE108" s="9"/>
      <c r="AF108" s="9"/>
      <c r="AG108" s="9"/>
      <c r="AH108" s="9"/>
      <c r="AI108" s="9"/>
      <c r="AJ108" s="9"/>
      <c r="AK108" s="9"/>
      <c r="AL108" s="9"/>
      <c r="AM108" s="9"/>
      <c r="AN108" s="9"/>
      <c r="AO108" s="9"/>
      <c r="AP108" s="9"/>
      <c r="AQ108" s="9"/>
      <c r="AR108" s="9"/>
      <c r="AS108" s="9"/>
      <c r="AT108" s="9"/>
      <c r="AU108" s="9"/>
      <c r="AV108" s="9"/>
      <c r="AW108" s="9"/>
      <c r="AX108" s="9"/>
      <c r="AY108" s="9"/>
      <c r="AZ108" s="9"/>
      <c r="BA108" s="9"/>
      <c r="BB108" s="9"/>
      <c r="BC108" s="9"/>
      <c r="BD108" s="9"/>
      <c r="BE108" s="9"/>
      <c r="BF108" s="9"/>
      <c r="BG108" s="9"/>
      <c r="BH108" s="9"/>
      <c r="BI108" s="9"/>
      <c r="BJ108" s="9"/>
      <c r="BK108" s="9"/>
      <c r="BL108" s="9"/>
      <c r="BM108" s="9"/>
      <c r="BN108" s="9"/>
      <c r="BO108" s="9"/>
      <c r="BP108" s="9"/>
      <c r="BQ108" s="9"/>
      <c r="BR108" s="9"/>
    </row>
    <row r="109" spans="1:70" x14ac:dyDescent="0.25">
      <c r="A109" s="9" t="str">
        <f>IF(ISBLANK('Signal Definition'!J109),"",'Signal Definition'!J109)</f>
        <v>CoolgSys_stThOpend_INT</v>
      </c>
      <c r="B109" s="9">
        <f t="array" ref="B109">COUNT(FIND("input",$D109:$CD109))</f>
        <v>1</v>
      </c>
      <c r="C109" s="9">
        <f t="array" ref="C109">COUNT(FIND("output",$D109:$CD109))</f>
        <v>1</v>
      </c>
      <c r="D109" s="9"/>
      <c r="E109" s="9"/>
      <c r="F109" s="9"/>
      <c r="G109" s="9"/>
      <c r="H109" s="9"/>
      <c r="I109" s="9"/>
      <c r="J109" s="9"/>
      <c r="K109" s="9"/>
      <c r="L109" s="9"/>
      <c r="M109" s="9"/>
      <c r="N109" s="9"/>
      <c r="O109" s="9"/>
      <c r="P109" s="9"/>
      <c r="Q109" s="9"/>
      <c r="R109" s="9"/>
      <c r="S109" s="9"/>
      <c r="T109" s="9"/>
      <c r="U109" s="9" t="s">
        <v>2663</v>
      </c>
      <c r="V109" s="9"/>
      <c r="W109" t="s">
        <v>2683</v>
      </c>
      <c r="Y109" s="9"/>
      <c r="Z109" s="9"/>
      <c r="AA109" s="9"/>
      <c r="AB109" s="9"/>
      <c r="AC109" s="9"/>
      <c r="AD109" s="9"/>
      <c r="AE109" s="9"/>
      <c r="AF109" s="9"/>
      <c r="AG109" s="9"/>
      <c r="AH109" s="9"/>
      <c r="AI109" s="9"/>
      <c r="AJ109" s="9"/>
      <c r="AK109" s="9"/>
      <c r="AL109" s="9"/>
      <c r="AM109" s="9"/>
      <c r="AN109" s="9"/>
      <c r="AO109" s="9"/>
      <c r="AP109" s="9"/>
      <c r="AQ109" s="9"/>
      <c r="AR109" s="9"/>
      <c r="AS109" s="9"/>
      <c r="AT109" s="9"/>
      <c r="AU109" s="9"/>
      <c r="AV109" s="9"/>
      <c r="AW109" s="9"/>
      <c r="AX109" s="9"/>
      <c r="AY109" s="9"/>
      <c r="AZ109" s="9"/>
      <c r="BA109" s="9"/>
      <c r="BB109" s="9"/>
      <c r="BC109" s="9"/>
      <c r="BD109" s="9"/>
      <c r="BE109" s="9"/>
      <c r="BF109" s="9"/>
      <c r="BG109" s="9"/>
      <c r="BH109" s="9"/>
      <c r="BI109" s="9"/>
      <c r="BJ109" s="9"/>
      <c r="BK109" s="9"/>
      <c r="BL109" s="9"/>
      <c r="BM109" s="9"/>
      <c r="BN109" s="9"/>
      <c r="BO109" s="9"/>
      <c r="BP109" s="9"/>
      <c r="BQ109" s="9"/>
      <c r="BR109" s="9"/>
    </row>
    <row r="110" spans="1:70" x14ac:dyDescent="0.25">
      <c r="A110" s="9" t="str">
        <f>IF(ISBLANK('Signal Definition'!J110),"",'Signal Definition'!J110)</f>
        <v>WtrPmp_nWtrPmp_PHY</v>
      </c>
      <c r="B110" s="9">
        <f t="array" ref="B110">COUNT(FIND("input",$D110:$CD110))</f>
        <v>0</v>
      </c>
      <c r="C110" s="9">
        <f t="array" ref="C110">COUNT(FIND("output",$D110:$CD110))</f>
        <v>1</v>
      </c>
      <c r="D110" s="9"/>
      <c r="E110" s="9"/>
      <c r="F110" s="9"/>
      <c r="G110" s="9"/>
      <c r="H110" s="9"/>
      <c r="I110" s="9"/>
      <c r="J110" s="9"/>
      <c r="K110" s="9"/>
      <c r="L110" s="9"/>
      <c r="M110" s="9"/>
      <c r="N110" s="9"/>
      <c r="O110" s="9"/>
      <c r="P110" s="9"/>
      <c r="Q110" s="9"/>
      <c r="R110" s="9"/>
      <c r="S110" s="9"/>
      <c r="T110" s="9"/>
      <c r="U110" s="9"/>
      <c r="V110" s="9"/>
      <c r="W110" s="9"/>
      <c r="X110" s="9" t="s">
        <v>2663</v>
      </c>
      <c r="Y110" s="9"/>
      <c r="Z110" s="9"/>
      <c r="AA110" s="9"/>
      <c r="AB110" s="9"/>
      <c r="AC110" s="9"/>
      <c r="AD110" s="9"/>
      <c r="AE110" s="9"/>
      <c r="AF110" s="9"/>
      <c r="AG110" s="9"/>
      <c r="AH110" s="9"/>
      <c r="AI110" s="9"/>
      <c r="AJ110" s="9"/>
      <c r="AK110" s="9"/>
      <c r="AL110" s="9"/>
      <c r="AM110" s="9"/>
      <c r="AN110" s="9"/>
      <c r="AO110" s="9"/>
      <c r="AP110" s="9"/>
      <c r="AQ110" s="9"/>
      <c r="AR110" s="9"/>
      <c r="AS110" s="9"/>
      <c r="AT110" s="9"/>
      <c r="AU110" s="9"/>
      <c r="AV110" s="9"/>
      <c r="AW110" s="9"/>
      <c r="AX110" s="9"/>
      <c r="AY110" s="9"/>
      <c r="AZ110" s="9"/>
      <c r="BA110" s="9"/>
      <c r="BB110" s="9"/>
      <c r="BC110" s="9"/>
      <c r="BD110" s="9"/>
      <c r="BE110" s="9"/>
      <c r="BF110" s="9"/>
      <c r="BG110" s="9"/>
      <c r="BH110" s="9"/>
      <c r="BI110" s="9"/>
      <c r="BJ110" s="9"/>
      <c r="BK110" s="9"/>
      <c r="BL110" s="9"/>
      <c r="BM110" s="9"/>
      <c r="BN110" s="9"/>
      <c r="BO110" s="9"/>
      <c r="BP110" s="9"/>
      <c r="BQ110" s="9"/>
      <c r="BR110" s="9"/>
    </row>
    <row r="111" spans="1:70" x14ac:dyDescent="0.25">
      <c r="A111" s="9" t="str">
        <f>IF(ISBLANK('Signal Definition'!J111),"",'Signal Definition'!J111)</f>
        <v>WtrPmp_jWtrPmp_PHY</v>
      </c>
      <c r="B111" s="9">
        <f t="array" ref="B111">COUNT(FIND("input",$D111:$CD111))</f>
        <v>0</v>
      </c>
      <c r="C111" s="9">
        <f t="array" ref="C111">COUNT(FIND("output",$D111:$CD111))</f>
        <v>1</v>
      </c>
      <c r="D111" s="9"/>
      <c r="E111" s="9"/>
      <c r="F111" s="9"/>
      <c r="G111" s="9"/>
      <c r="H111" s="9"/>
      <c r="I111" s="9"/>
      <c r="J111" s="9"/>
      <c r="K111" s="9"/>
      <c r="L111" s="9"/>
      <c r="M111" s="9"/>
      <c r="N111" s="9"/>
      <c r="O111" s="9"/>
      <c r="P111" s="9"/>
      <c r="Q111" s="9"/>
      <c r="R111" s="9"/>
      <c r="S111" s="9"/>
      <c r="T111" s="9"/>
      <c r="U111" s="9"/>
      <c r="V111" s="9"/>
      <c r="W111" s="9"/>
      <c r="X111" s="9" t="s">
        <v>2663</v>
      </c>
      <c r="Y111" s="9"/>
      <c r="Z111" s="9"/>
      <c r="AA111" s="9"/>
      <c r="AB111" s="9"/>
      <c r="AC111" s="9"/>
      <c r="AD111" s="9"/>
      <c r="AE111" s="9"/>
      <c r="AF111" s="9"/>
      <c r="AG111" s="9"/>
      <c r="AH111" s="9"/>
      <c r="AI111" s="9"/>
      <c r="AJ111" s="9"/>
      <c r="AK111" s="9"/>
      <c r="AL111" s="9"/>
      <c r="AM111" s="9"/>
      <c r="AN111" s="9"/>
      <c r="AO111" s="9"/>
      <c r="AP111" s="9"/>
      <c r="AQ111" s="9"/>
      <c r="AR111" s="9"/>
      <c r="AS111" s="9"/>
      <c r="AT111" s="9"/>
      <c r="AU111" s="9"/>
      <c r="AV111" s="9"/>
      <c r="AW111" s="9"/>
      <c r="AX111" s="9"/>
      <c r="AY111" s="9"/>
      <c r="AZ111" s="9"/>
      <c r="BA111" s="9"/>
      <c r="BB111" s="9"/>
      <c r="BC111" s="9"/>
      <c r="BD111" s="9"/>
      <c r="BE111" s="9"/>
      <c r="BF111" s="9"/>
      <c r="BG111" s="9"/>
      <c r="BH111" s="9"/>
      <c r="BI111" s="9"/>
      <c r="BJ111" s="9"/>
      <c r="BK111" s="9"/>
      <c r="BL111" s="9"/>
      <c r="BM111" s="9"/>
      <c r="BN111" s="9"/>
      <c r="BO111" s="9"/>
      <c r="BP111" s="9"/>
      <c r="BQ111" s="9"/>
      <c r="BR111" s="9"/>
    </row>
    <row r="112" spans="1:70" x14ac:dyDescent="0.25">
      <c r="A112" s="9" t="str">
        <f>IF(ISBLANK('Signal Definition'!J112),"",'Signal Definition'!J112)</f>
        <v>WtrPmp_trqWtrPmpReqd_PHY</v>
      </c>
      <c r="B112" s="9">
        <f t="array" ref="B112">COUNT(FIND("input",$D112:$CD112))</f>
        <v>0</v>
      </c>
      <c r="C112" s="9">
        <f t="array" ref="C112">COUNT(FIND("output",$D112:$CD112))</f>
        <v>1</v>
      </c>
      <c r="D112" s="9"/>
      <c r="E112" s="9"/>
      <c r="F112" s="9"/>
      <c r="G112" s="9"/>
      <c r="H112" s="9"/>
      <c r="I112" s="9"/>
      <c r="J112" s="9"/>
      <c r="K112" s="9"/>
      <c r="L112" s="9"/>
      <c r="M112" s="9"/>
      <c r="N112" s="9"/>
      <c r="O112" s="9"/>
      <c r="P112" s="9"/>
      <c r="Q112" s="9"/>
      <c r="R112" s="9"/>
      <c r="S112" s="9"/>
      <c r="T112" s="9"/>
      <c r="U112" s="9"/>
      <c r="V112" s="9"/>
      <c r="W112" s="9"/>
      <c r="X112" s="9" t="s">
        <v>2663</v>
      </c>
      <c r="Y112" s="9"/>
      <c r="Z112" s="9"/>
      <c r="AA112" s="9"/>
      <c r="AB112" s="9"/>
      <c r="AC112" s="9"/>
      <c r="AD112" s="9"/>
      <c r="AE112" s="9"/>
      <c r="AF112" s="9"/>
      <c r="AG112" s="9"/>
      <c r="AH112" s="9"/>
      <c r="AI112" s="9"/>
      <c r="AJ112" s="9"/>
      <c r="AK112" s="9"/>
      <c r="AL112" s="9"/>
      <c r="AM112" s="9"/>
      <c r="AN112" s="9"/>
      <c r="AO112" s="9"/>
      <c r="AP112" s="9"/>
      <c r="AQ112" s="9"/>
      <c r="AR112" s="9"/>
      <c r="AS112" s="9"/>
      <c r="AT112" s="9"/>
      <c r="AU112" s="9"/>
      <c r="AV112" s="9"/>
      <c r="AW112" s="9"/>
      <c r="AX112" s="9"/>
      <c r="AY112" s="9"/>
      <c r="AZ112" s="9"/>
      <c r="BA112" s="9"/>
      <c r="BB112" s="9"/>
      <c r="BC112" s="9"/>
      <c r="BD112" s="9"/>
      <c r="BE112" s="9"/>
      <c r="BF112" s="9"/>
      <c r="BG112" s="9"/>
      <c r="BH112" s="9"/>
      <c r="BI112" s="9"/>
      <c r="BJ112" s="9"/>
      <c r="BK112" s="9"/>
      <c r="BL112" s="9"/>
      <c r="BM112" s="9"/>
      <c r="BN112" s="9"/>
      <c r="BO112" s="9"/>
      <c r="BP112" s="9"/>
      <c r="BQ112" s="9"/>
      <c r="BR112" s="9"/>
    </row>
    <row r="113" spans="1:70" x14ac:dyDescent="0.25">
      <c r="A113" s="9" t="str">
        <f>IF(ISBLANK('Signal Definition'!J113),"",'Signal Definition'!J113)</f>
        <v>WtrPmp_pwrWtrPmp_INT</v>
      </c>
      <c r="B113" s="9">
        <f t="array" ref="B113">COUNT(FIND("input",$D113:$CD113))</f>
        <v>0</v>
      </c>
      <c r="C113" s="9">
        <f t="array" ref="C113">COUNT(FIND("output",$D113:$CD113))</f>
        <v>1</v>
      </c>
      <c r="D113" s="9"/>
      <c r="E113" s="9"/>
      <c r="F113" s="9"/>
      <c r="G113" s="9"/>
      <c r="H113" s="9"/>
      <c r="I113" s="9"/>
      <c r="J113" s="9"/>
      <c r="K113" s="9"/>
      <c r="L113" s="9"/>
      <c r="M113" s="9"/>
      <c r="N113" s="9"/>
      <c r="O113" s="9"/>
      <c r="P113" s="9"/>
      <c r="Q113" s="9"/>
      <c r="R113" s="9"/>
      <c r="S113" s="9"/>
      <c r="T113" s="9"/>
      <c r="U113" s="9"/>
      <c r="V113" s="9"/>
      <c r="X113" t="s">
        <v>2663</v>
      </c>
      <c r="Y113" s="9"/>
      <c r="Z113" s="9"/>
      <c r="AA113" s="9"/>
      <c r="AB113" s="9"/>
      <c r="AC113" s="9"/>
      <c r="AD113" s="9"/>
      <c r="AE113" s="9"/>
      <c r="AF113" s="9"/>
      <c r="AG113" s="9"/>
      <c r="AH113" s="9"/>
      <c r="AI113" s="9"/>
      <c r="AJ113" s="9"/>
      <c r="AK113" s="9"/>
      <c r="AL113" s="9"/>
      <c r="AM113" s="9"/>
      <c r="AN113" s="9"/>
      <c r="AO113" s="9"/>
      <c r="AP113" s="9"/>
      <c r="AQ113" s="9"/>
      <c r="AR113" s="9"/>
      <c r="AS113" s="9"/>
      <c r="AT113" s="9"/>
      <c r="AU113" s="9"/>
      <c r="AV113" s="9"/>
      <c r="AW113" s="9"/>
      <c r="AX113" s="9"/>
      <c r="AY113" s="9"/>
      <c r="AZ113" s="9"/>
      <c r="BA113" s="9"/>
      <c r="BB113" s="9"/>
      <c r="BC113" s="9"/>
      <c r="BD113" s="9"/>
      <c r="BE113" s="9"/>
      <c r="BF113" s="9"/>
      <c r="BG113" s="9"/>
      <c r="BH113" s="9"/>
      <c r="BI113" s="9"/>
      <c r="BJ113" s="9"/>
      <c r="BK113" s="9"/>
      <c r="BL113" s="9"/>
      <c r="BM113" s="9"/>
      <c r="BN113" s="9"/>
      <c r="BO113" s="9"/>
      <c r="BP113" s="9"/>
      <c r="BQ113" s="9"/>
      <c r="BR113" s="9"/>
    </row>
    <row r="114" spans="1:70" x14ac:dyDescent="0.25">
      <c r="A114" s="9" t="str">
        <f>IF(ISBLANK('Signal Definition'!J114),"",'Signal Definition'!J114)</f>
        <v>WtrPmp_stThEnag_INT</v>
      </c>
      <c r="B114" s="9">
        <f t="array" ref="B114">COUNT(FIND("input",$D114:$CD114))</f>
        <v>1</v>
      </c>
      <c r="C114" s="9">
        <f t="array" ref="C114">COUNT(FIND("output",$D114:$CD114))</f>
        <v>1</v>
      </c>
      <c r="D114" s="9"/>
      <c r="E114" s="9"/>
      <c r="F114" s="9"/>
      <c r="G114" s="9"/>
      <c r="H114" s="9"/>
      <c r="I114" s="9"/>
      <c r="J114" s="9"/>
      <c r="K114" s="9"/>
      <c r="L114" s="9"/>
      <c r="M114" s="9"/>
      <c r="N114" s="9"/>
      <c r="O114" s="9"/>
      <c r="P114" s="9"/>
      <c r="Q114" s="9"/>
      <c r="R114" s="9"/>
      <c r="S114" s="9"/>
      <c r="T114" s="9"/>
      <c r="U114" s="9" t="s">
        <v>2683</v>
      </c>
      <c r="V114" s="9"/>
      <c r="X114" t="s">
        <v>2663</v>
      </c>
      <c r="Y114" s="9"/>
      <c r="Z114" s="9"/>
      <c r="AA114" s="9"/>
      <c r="AB114" s="9"/>
      <c r="AC114" s="9"/>
      <c r="AD114" s="9"/>
      <c r="AE114" s="9"/>
      <c r="AF114" s="9"/>
      <c r="AG114" s="9"/>
      <c r="AH114" s="9"/>
      <c r="AI114" s="9"/>
      <c r="AJ114" s="9"/>
      <c r="AK114" s="9"/>
      <c r="AL114" s="9"/>
      <c r="AM114" s="9"/>
      <c r="AN114" s="9"/>
      <c r="AO114" s="9"/>
      <c r="AP114" s="9"/>
      <c r="AQ114" s="9"/>
      <c r="AR114" s="9"/>
      <c r="AS114" s="9"/>
      <c r="AT114" s="9"/>
      <c r="AU114" s="9"/>
      <c r="AV114" s="9"/>
      <c r="AW114" s="9"/>
      <c r="AX114" s="9"/>
      <c r="AY114" s="9"/>
      <c r="AZ114" s="9"/>
      <c r="BA114" s="9"/>
      <c r="BB114" s="9"/>
      <c r="BC114" s="9"/>
      <c r="BD114" s="9"/>
      <c r="BE114" s="9"/>
      <c r="BF114" s="9"/>
      <c r="BG114" s="9"/>
      <c r="BH114" s="9"/>
      <c r="BI114" s="9"/>
      <c r="BJ114" s="9"/>
      <c r="BK114" s="9"/>
      <c r="BL114" s="9"/>
      <c r="BM114" s="9"/>
      <c r="BN114" s="9"/>
      <c r="BO114" s="9"/>
      <c r="BP114" s="9"/>
      <c r="BQ114" s="9"/>
      <c r="BR114" s="9"/>
    </row>
    <row r="115" spans="1:70" x14ac:dyDescent="0.25">
      <c r="A115" s="9" t="str">
        <f>IF(ISBLANK('Signal Definition'!J115),"",'Signal Definition'!J115)</f>
        <v>WtrPmp_mflWtrPmpCoolt_INT</v>
      </c>
      <c r="B115" s="9">
        <f t="array" ref="B115">COUNT(FIND("input",$D115:$CD115))</f>
        <v>1</v>
      </c>
      <c r="C115" s="9">
        <f t="array" ref="C115">COUNT(FIND("output",$D115:$CD115))</f>
        <v>1</v>
      </c>
      <c r="D115" s="9"/>
      <c r="E115" s="9"/>
      <c r="F115" s="9"/>
      <c r="G115" s="9"/>
      <c r="H115" s="9"/>
      <c r="I115" s="9"/>
      <c r="J115" s="9"/>
      <c r="K115" s="9"/>
      <c r="L115" s="9"/>
      <c r="M115" s="9"/>
      <c r="N115" s="9"/>
      <c r="O115" s="9"/>
      <c r="P115" s="9"/>
      <c r="Q115" s="9"/>
      <c r="R115" s="9"/>
      <c r="S115" s="9"/>
      <c r="T115" s="9"/>
      <c r="U115" s="9" t="s">
        <v>2683</v>
      </c>
      <c r="V115" s="9"/>
      <c r="X115" t="s">
        <v>2663</v>
      </c>
      <c r="Y115" s="9"/>
      <c r="Z115" s="9"/>
      <c r="AA115" s="9"/>
      <c r="AB115" s="9"/>
      <c r="AC115" s="9"/>
      <c r="AD115" s="9"/>
      <c r="AE115" s="9"/>
      <c r="AF115" s="9"/>
      <c r="AG115" s="9"/>
      <c r="AH115" s="9"/>
      <c r="AI115" s="9"/>
      <c r="AJ115" s="9"/>
      <c r="AK115" s="9"/>
      <c r="AL115" s="9"/>
      <c r="AM115" s="9"/>
      <c r="AN115" s="9"/>
      <c r="AO115" s="9"/>
      <c r="AP115" s="9"/>
      <c r="AQ115" s="9"/>
      <c r="AR115" s="9"/>
      <c r="AS115" s="9"/>
      <c r="AT115" s="9"/>
      <c r="AU115" s="9"/>
      <c r="AV115" s="9"/>
      <c r="AW115" s="9"/>
      <c r="AX115" s="9"/>
      <c r="AY115" s="9"/>
      <c r="AZ115" s="9"/>
      <c r="BA115" s="9"/>
      <c r="BB115" s="9"/>
      <c r="BC115" s="9"/>
      <c r="BD115" s="9"/>
      <c r="BE115" s="9"/>
      <c r="BF115" s="9"/>
      <c r="BG115" s="9"/>
      <c r="BH115" s="9"/>
      <c r="BI115" s="9"/>
      <c r="BJ115" s="9"/>
      <c r="BK115" s="9"/>
      <c r="BL115" s="9"/>
      <c r="BM115" s="9"/>
      <c r="BN115" s="9"/>
      <c r="BO115" s="9"/>
      <c r="BP115" s="9"/>
      <c r="BQ115" s="9"/>
      <c r="BR115" s="9"/>
    </row>
    <row r="116" spans="1:70" x14ac:dyDescent="0.25">
      <c r="A116" s="9" t="str">
        <f>IF(ISBLANK('Signal Definition'!J116),"",'Signal Definition'!J116)</f>
        <v>CoolgFan_mflCoolgFanAir_INT</v>
      </c>
      <c r="B116" s="9">
        <f t="array" ref="B116">COUNT(FIND("input",$D116:$CD116))</f>
        <v>1</v>
      </c>
      <c r="C116" s="9">
        <f t="array" ref="C116">COUNT(FIND("output",$D116:$CD116))</f>
        <v>1</v>
      </c>
      <c r="D116" s="9"/>
      <c r="E116" s="9"/>
      <c r="F116" s="9"/>
      <c r="G116" s="9"/>
      <c r="H116" s="9"/>
      <c r="I116" s="9"/>
      <c r="J116" s="9"/>
      <c r="K116" s="9"/>
      <c r="L116" s="9"/>
      <c r="M116" s="9"/>
      <c r="N116" s="9"/>
      <c r="O116" s="9"/>
      <c r="P116" s="9"/>
      <c r="Q116" s="9"/>
      <c r="R116" s="9"/>
      <c r="S116" s="9"/>
      <c r="T116" s="9"/>
      <c r="U116" s="9" t="s">
        <v>2683</v>
      </c>
      <c r="V116" s="9"/>
      <c r="W116" t="s">
        <v>2663</v>
      </c>
      <c r="Y116" s="9"/>
      <c r="Z116" s="9"/>
      <c r="AA116" s="9"/>
      <c r="AB116" s="9"/>
      <c r="AC116" s="9"/>
      <c r="AD116" s="9"/>
      <c r="AE116" s="9"/>
      <c r="AF116" s="9"/>
      <c r="AG116" s="9"/>
      <c r="AH116" s="9"/>
      <c r="AI116" s="9"/>
      <c r="AJ116" s="9"/>
      <c r="AK116" s="9"/>
      <c r="AL116" s="9"/>
      <c r="AM116" s="9"/>
      <c r="AN116" s="9"/>
      <c r="AO116" s="9"/>
      <c r="AP116" s="9"/>
      <c r="AQ116" s="9"/>
      <c r="AR116" s="9"/>
      <c r="AS116" s="9"/>
      <c r="AT116" s="9"/>
      <c r="AU116" s="9"/>
      <c r="AV116" s="9"/>
      <c r="AW116" s="9"/>
      <c r="AX116" s="9"/>
      <c r="AY116" s="9"/>
      <c r="AZ116" s="9"/>
      <c r="BA116" s="9"/>
      <c r="BB116" s="9"/>
      <c r="BC116" s="9"/>
      <c r="BD116" s="9"/>
      <c r="BE116" s="9"/>
      <c r="BF116" s="9"/>
      <c r="BG116" s="9"/>
      <c r="BH116" s="9"/>
      <c r="BI116" s="9"/>
      <c r="BJ116" s="9"/>
      <c r="BK116" s="9"/>
      <c r="BL116" s="9"/>
      <c r="BM116" s="9"/>
      <c r="BN116" s="9"/>
      <c r="BO116" s="9"/>
      <c r="BP116" s="9"/>
      <c r="BQ116" s="9"/>
      <c r="BR116" s="9"/>
    </row>
    <row r="117" spans="1:70" x14ac:dyDescent="0.25">
      <c r="A117" s="9" t="str">
        <f>IF(ISBLANK('Signal Definition'!J117),"",'Signal Definition'!J117)</f>
        <v>CoolgFan_trqCoolgFan_INT</v>
      </c>
      <c r="B117" s="9">
        <f t="array" ref="B117">COUNT(FIND("input",$D117:$CD117))</f>
        <v>0</v>
      </c>
      <c r="C117" s="9">
        <f t="array" ref="C117">COUNT(FIND("output",$D117:$CD117))</f>
        <v>1</v>
      </c>
      <c r="D117" s="9"/>
      <c r="E117" s="9"/>
      <c r="F117" s="9"/>
      <c r="G117" s="9"/>
      <c r="H117" s="9"/>
      <c r="I117" s="9"/>
      <c r="J117" s="9"/>
      <c r="K117" s="9"/>
      <c r="L117" s="9"/>
      <c r="M117" s="9"/>
      <c r="N117" s="9"/>
      <c r="O117" s="9"/>
      <c r="P117" s="9"/>
      <c r="Q117" s="9"/>
      <c r="R117" s="9"/>
      <c r="S117" s="9"/>
      <c r="T117" s="9"/>
      <c r="U117" s="9"/>
      <c r="V117" s="9"/>
      <c r="W117" t="s">
        <v>2663</v>
      </c>
      <c r="Y117" s="9"/>
      <c r="Z117" s="9"/>
      <c r="AA117" s="9"/>
      <c r="AB117" s="9"/>
      <c r="AC117" s="9"/>
      <c r="AD117" s="9"/>
      <c r="AE117" s="9"/>
      <c r="AF117" s="9"/>
      <c r="AG117" s="9"/>
      <c r="AH117" s="9"/>
      <c r="AI117" s="9"/>
      <c r="AJ117" s="9"/>
      <c r="AK117" s="9"/>
      <c r="AL117" s="9"/>
      <c r="AM117" s="9"/>
      <c r="AN117" s="9"/>
      <c r="AO117" s="9"/>
      <c r="AP117" s="9"/>
      <c r="AQ117" s="9"/>
      <c r="AR117" s="9"/>
      <c r="AS117" s="9"/>
      <c r="AT117" s="9"/>
      <c r="AU117" s="9"/>
      <c r="AV117" s="9"/>
      <c r="AW117" s="9"/>
      <c r="AX117" s="9"/>
      <c r="AY117" s="9"/>
      <c r="AZ117" s="9"/>
      <c r="BA117" s="9"/>
      <c r="BB117" s="9"/>
      <c r="BC117" s="9"/>
      <c r="BD117" s="9"/>
      <c r="BE117" s="9"/>
      <c r="BF117" s="9"/>
      <c r="BG117" s="9"/>
      <c r="BH117" s="9"/>
      <c r="BI117" s="9"/>
      <c r="BJ117" s="9"/>
      <c r="BK117" s="9"/>
      <c r="BL117" s="9"/>
      <c r="BM117" s="9"/>
      <c r="BN117" s="9"/>
      <c r="BO117" s="9"/>
      <c r="BP117" s="9"/>
      <c r="BQ117" s="9"/>
      <c r="BR117" s="9"/>
    </row>
    <row r="118" spans="1:70" x14ac:dyDescent="0.25">
      <c r="A118" s="9" t="str">
        <f>IF(ISBLANK('Signal Definition'!J118),"",'Signal Definition'!J118)</f>
        <v>CoolgFan_trqCoolgFanReq_PHY</v>
      </c>
      <c r="B118" s="9">
        <f t="array" ref="B118">COUNT(FIND("input",$D118:$CD118))</f>
        <v>0</v>
      </c>
      <c r="C118" s="9">
        <f t="array" ref="C118">COUNT(FIND("output",$D118:$CD118))</f>
        <v>1</v>
      </c>
      <c r="D118" s="9"/>
      <c r="E118" s="9"/>
      <c r="F118" s="9"/>
      <c r="G118" s="9"/>
      <c r="H118" s="9"/>
      <c r="I118" s="9"/>
      <c r="J118" s="9"/>
      <c r="K118" s="9"/>
      <c r="L118" s="9"/>
      <c r="M118" s="9"/>
      <c r="N118" s="9"/>
      <c r="O118" s="9"/>
      <c r="P118" s="9"/>
      <c r="Q118" s="9"/>
      <c r="R118" s="9"/>
      <c r="S118" s="9"/>
      <c r="T118" s="9"/>
      <c r="U118" s="9"/>
      <c r="V118" s="9"/>
      <c r="W118" s="9" t="s">
        <v>2663</v>
      </c>
      <c r="X118" s="9"/>
      <c r="Y118" s="9"/>
      <c r="Z118" s="9"/>
      <c r="AA118" s="9"/>
      <c r="AB118" s="9"/>
      <c r="AC118" s="9"/>
      <c r="AD118" s="9"/>
      <c r="AE118" s="9"/>
      <c r="AF118" s="9"/>
      <c r="AG118" s="9"/>
      <c r="AH118" s="9"/>
      <c r="AI118" s="9"/>
      <c r="AJ118" s="9"/>
      <c r="AK118" s="9"/>
      <c r="AL118" s="9"/>
      <c r="AM118" s="9"/>
      <c r="AN118" s="9"/>
      <c r="AO118" s="9"/>
      <c r="AP118" s="9"/>
      <c r="AQ118" s="9"/>
      <c r="AR118" s="9"/>
      <c r="AS118" s="9"/>
      <c r="AT118" s="9"/>
      <c r="AU118" s="9"/>
      <c r="AV118" s="9"/>
      <c r="AW118" s="9"/>
      <c r="AX118" s="9"/>
      <c r="AY118" s="9"/>
      <c r="AZ118" s="9"/>
      <c r="BA118" s="9"/>
      <c r="BB118" s="9"/>
      <c r="BC118" s="9"/>
      <c r="BD118" s="9"/>
      <c r="BE118" s="9"/>
      <c r="BF118" s="9"/>
      <c r="BG118" s="9"/>
      <c r="BH118" s="9"/>
      <c r="BI118" s="9"/>
      <c r="BJ118" s="9"/>
      <c r="BK118" s="9"/>
      <c r="BL118" s="9"/>
      <c r="BM118" s="9"/>
      <c r="BN118" s="9"/>
      <c r="BO118" s="9"/>
      <c r="BP118" s="9"/>
      <c r="BQ118" s="9"/>
      <c r="BR118" s="9"/>
    </row>
    <row r="119" spans="1:70" x14ac:dyDescent="0.25">
      <c r="A119" s="9" t="str">
        <f>IF(ISBLANK('Signal Definition'!J119),"",'Signal Definition'!J119)</f>
        <v>CoolgFan_nCoolgFan_PHY</v>
      </c>
      <c r="B119" s="9">
        <f t="array" ref="B119">COUNT(FIND("input",$D119:$CD119))</f>
        <v>0</v>
      </c>
      <c r="C119" s="9">
        <f t="array" ref="C119">COUNT(FIND("output",$D119:$CD119))</f>
        <v>1</v>
      </c>
      <c r="D119" s="9"/>
      <c r="E119" s="9"/>
      <c r="F119" s="9"/>
      <c r="G119" s="9"/>
      <c r="H119" s="9"/>
      <c r="I119" s="9"/>
      <c r="J119" s="9"/>
      <c r="K119" s="9"/>
      <c r="L119" s="9"/>
      <c r="M119" s="9"/>
      <c r="N119" s="9"/>
      <c r="O119" s="9"/>
      <c r="P119" s="9"/>
      <c r="Q119" s="9"/>
      <c r="R119" s="9"/>
      <c r="S119" s="9"/>
      <c r="T119" s="9"/>
      <c r="U119" s="9"/>
      <c r="V119" s="9"/>
      <c r="W119" s="9" t="s">
        <v>2663</v>
      </c>
      <c r="X119" s="9"/>
      <c r="Y119" s="9"/>
      <c r="Z119" s="9"/>
      <c r="AA119" s="9"/>
      <c r="AB119" s="9"/>
      <c r="AC119" s="9"/>
      <c r="AD119" s="9"/>
      <c r="AE119" s="9"/>
      <c r="AF119" s="9"/>
      <c r="AG119" s="9"/>
      <c r="AH119" s="9"/>
      <c r="AI119" s="9"/>
      <c r="AJ119" s="9"/>
      <c r="AK119" s="9"/>
      <c r="AL119" s="9"/>
      <c r="AM119" s="9"/>
      <c r="AN119" s="9"/>
      <c r="AO119" s="9"/>
      <c r="AP119" s="9"/>
      <c r="AQ119" s="9"/>
      <c r="AR119" s="9"/>
      <c r="AS119" s="9"/>
      <c r="AT119" s="9"/>
      <c r="AU119" s="9"/>
      <c r="AV119" s="9"/>
      <c r="AW119" s="9"/>
      <c r="AX119" s="9"/>
      <c r="AY119" s="9"/>
      <c r="AZ119" s="9"/>
      <c r="BA119" s="9"/>
      <c r="BB119" s="9"/>
      <c r="BC119" s="9"/>
      <c r="BD119" s="9"/>
      <c r="BE119" s="9"/>
      <c r="BF119" s="9"/>
      <c r="BG119" s="9"/>
      <c r="BH119" s="9"/>
      <c r="BI119" s="9"/>
      <c r="BJ119" s="9"/>
      <c r="BK119" s="9"/>
      <c r="BL119" s="9"/>
      <c r="BM119" s="9"/>
      <c r="BN119" s="9"/>
      <c r="BO119" s="9"/>
      <c r="BP119" s="9"/>
      <c r="BQ119" s="9"/>
      <c r="BR119" s="9"/>
    </row>
    <row r="120" spans="1:70" x14ac:dyDescent="0.25">
      <c r="A120" s="9" t="str">
        <f>IF(ISBLANK('Signal Definition'!J120),"",'Signal Definition'!J120)</f>
        <v>CoolgFan_jCoolgFan_PHY</v>
      </c>
      <c r="B120" s="9">
        <f t="array" ref="B120">COUNT(FIND("input",$D120:$CD120))</f>
        <v>0</v>
      </c>
      <c r="C120" s="9">
        <f t="array" ref="C120">COUNT(FIND("output",$D120:$CD120))</f>
        <v>1</v>
      </c>
      <c r="D120" s="9"/>
      <c r="E120" s="9"/>
      <c r="F120" s="9"/>
      <c r="G120" s="9"/>
      <c r="H120" s="9"/>
      <c r="I120" s="9"/>
      <c r="J120" s="9"/>
      <c r="K120" s="9"/>
      <c r="L120" s="9"/>
      <c r="M120" s="9"/>
      <c r="N120" s="9"/>
      <c r="O120" s="9"/>
      <c r="P120" s="9"/>
      <c r="Q120" s="9"/>
      <c r="R120" s="9"/>
      <c r="S120" s="9"/>
      <c r="T120" s="9"/>
      <c r="U120" s="9"/>
      <c r="V120" s="9"/>
      <c r="W120" s="9" t="s">
        <v>2663</v>
      </c>
      <c r="X120" s="9"/>
      <c r="Y120" s="9"/>
      <c r="Z120" s="9"/>
      <c r="AA120" s="9"/>
      <c r="AB120" s="9"/>
      <c r="AC120" s="9"/>
      <c r="AD120" s="9"/>
      <c r="AE120" s="9"/>
      <c r="AF120" s="9"/>
      <c r="AG120" s="9"/>
      <c r="AH120" s="9"/>
      <c r="AI120" s="9"/>
      <c r="AJ120" s="9"/>
      <c r="AK120" s="9"/>
      <c r="AL120" s="9"/>
      <c r="AM120" s="9"/>
      <c r="AN120" s="9"/>
      <c r="AO120" s="9"/>
      <c r="AP120" s="9"/>
      <c r="AQ120" s="9"/>
      <c r="AR120" s="9"/>
      <c r="AS120" s="9"/>
      <c r="AT120" s="9"/>
      <c r="AU120" s="9"/>
      <c r="AV120" s="9"/>
      <c r="AW120" s="9"/>
      <c r="AX120" s="9"/>
      <c r="AY120" s="9"/>
      <c r="AZ120" s="9"/>
      <c r="BA120" s="9"/>
      <c r="BB120" s="9"/>
      <c r="BC120" s="9"/>
      <c r="BD120" s="9"/>
      <c r="BE120" s="9"/>
      <c r="BF120" s="9"/>
      <c r="BG120" s="9"/>
      <c r="BH120" s="9"/>
      <c r="BI120" s="9"/>
      <c r="BJ120" s="9"/>
      <c r="BK120" s="9"/>
      <c r="BL120" s="9"/>
      <c r="BM120" s="9"/>
      <c r="BN120" s="9"/>
      <c r="BO120" s="9"/>
      <c r="BP120" s="9"/>
      <c r="BQ120" s="9"/>
      <c r="BR120" s="9"/>
    </row>
    <row r="121" spans="1:70" x14ac:dyDescent="0.25">
      <c r="A121" s="9" t="str">
        <f>IF(ISBLANK('Signal Definition'!J121),"",'Signal Definition'!J121)</f>
        <v>AirCdn_jAirCdnCmpr_PHY</v>
      </c>
      <c r="B121" s="9">
        <f t="array" ref="B121">COUNT(FIND("input",$D121:$CD121))</f>
        <v>0</v>
      </c>
      <c r="C121" s="9">
        <f t="array" ref="C121">COUNT(FIND("output",$D121:$CD121))</f>
        <v>1</v>
      </c>
      <c r="D121" s="9"/>
      <c r="E121" s="9"/>
      <c r="F121" s="9"/>
      <c r="G121" s="9"/>
      <c r="H121" s="9"/>
      <c r="I121" s="9"/>
      <c r="J121" s="9"/>
      <c r="K121" s="9"/>
      <c r="L121" s="9"/>
      <c r="M121" s="9"/>
      <c r="N121" s="9"/>
      <c r="O121" s="9"/>
      <c r="P121" s="9"/>
      <c r="Q121" s="9"/>
      <c r="R121" s="9"/>
      <c r="S121" s="9"/>
      <c r="T121" s="9"/>
      <c r="U121" s="9"/>
      <c r="V121" s="9" t="s">
        <v>2663</v>
      </c>
      <c r="W121" s="9"/>
      <c r="X121" s="9"/>
      <c r="Y121" s="9"/>
      <c r="Z121" s="9"/>
      <c r="AA121" s="9"/>
      <c r="AB121" s="9"/>
      <c r="AC121" s="9"/>
      <c r="AD121" s="9"/>
      <c r="AE121" s="9"/>
      <c r="AF121" s="9"/>
      <c r="AG121" s="9"/>
      <c r="AH121" s="9"/>
      <c r="AI121" s="9"/>
      <c r="AJ121" s="9"/>
      <c r="AK121" s="9"/>
      <c r="AL121" s="9"/>
      <c r="AM121" s="9"/>
      <c r="AN121" s="9"/>
      <c r="AO121" s="9"/>
      <c r="AP121" s="9"/>
      <c r="AQ121" s="9"/>
      <c r="AR121" s="9"/>
      <c r="AS121" s="9"/>
      <c r="AT121" s="9"/>
      <c r="AU121" s="9"/>
      <c r="AV121" s="9"/>
      <c r="AW121" s="9"/>
      <c r="AX121" s="9"/>
      <c r="AY121" s="9"/>
      <c r="AZ121" s="9"/>
      <c r="BA121" s="9"/>
      <c r="BB121" s="9"/>
      <c r="BC121" s="9"/>
      <c r="BD121" s="9"/>
      <c r="BE121" s="9"/>
      <c r="BF121" s="9"/>
      <c r="BG121" s="9"/>
      <c r="BH121" s="9"/>
      <c r="BI121" s="9"/>
      <c r="BJ121" s="9"/>
      <c r="BK121" s="9"/>
      <c r="BL121" s="9"/>
      <c r="BM121" s="9"/>
      <c r="BN121" s="9"/>
      <c r="BO121" s="9"/>
      <c r="BP121" s="9"/>
      <c r="BQ121" s="9"/>
      <c r="BR121" s="9"/>
    </row>
    <row r="122" spans="1:70" x14ac:dyDescent="0.25">
      <c r="A122" s="9" t="str">
        <f>IF(ISBLANK('Signal Definition'!J122),"",'Signal Definition'!J122)</f>
        <v>AirCdn_trqAirCdnReqd_PHY</v>
      </c>
      <c r="B122" s="9">
        <f t="array" ref="B122">COUNT(FIND("input",$D122:$CD122))</f>
        <v>0</v>
      </c>
      <c r="C122" s="9">
        <f t="array" ref="C122">COUNT(FIND("output",$D122:$CD122))</f>
        <v>1</v>
      </c>
      <c r="D122" s="9"/>
      <c r="E122" s="9"/>
      <c r="F122" s="9"/>
      <c r="G122" s="9"/>
      <c r="H122" s="9"/>
      <c r="I122" s="9"/>
      <c r="J122" s="9"/>
      <c r="K122" s="9"/>
      <c r="L122" s="9"/>
      <c r="M122" s="9"/>
      <c r="N122" s="9"/>
      <c r="O122" s="9"/>
      <c r="P122" s="9"/>
      <c r="Q122" s="9"/>
      <c r="R122" s="9"/>
      <c r="S122" s="9"/>
      <c r="T122" s="9"/>
      <c r="U122" s="9"/>
      <c r="V122" s="9" t="s">
        <v>2663</v>
      </c>
      <c r="W122" s="9"/>
      <c r="X122" s="9"/>
      <c r="Y122" s="9"/>
      <c r="Z122" s="9"/>
      <c r="AA122" s="9"/>
      <c r="AB122" s="9"/>
      <c r="AC122" s="9"/>
      <c r="AD122" s="9"/>
      <c r="AE122" s="9"/>
      <c r="AF122" s="9"/>
      <c r="AG122" s="9"/>
      <c r="AH122" s="9"/>
      <c r="AI122" s="9"/>
      <c r="AJ122" s="9"/>
      <c r="AK122" s="9"/>
      <c r="AL122" s="9"/>
      <c r="AM122" s="9"/>
      <c r="AN122" s="9"/>
      <c r="AO122" s="9"/>
      <c r="AP122" s="9"/>
      <c r="AQ122" s="9"/>
      <c r="AR122" s="9"/>
      <c r="AS122" s="9"/>
      <c r="AT122" s="9"/>
      <c r="AU122" s="9"/>
      <c r="AV122" s="9"/>
      <c r="AW122" s="9"/>
      <c r="AX122" s="9"/>
      <c r="AY122" s="9"/>
      <c r="AZ122" s="9"/>
      <c r="BA122" s="9"/>
      <c r="BB122" s="9"/>
      <c r="BC122" s="9"/>
      <c r="BD122" s="9"/>
      <c r="BE122" s="9"/>
      <c r="BF122" s="9"/>
      <c r="BG122" s="9"/>
      <c r="BH122" s="9"/>
      <c r="BI122" s="9"/>
      <c r="BJ122" s="9"/>
      <c r="BK122" s="9"/>
      <c r="BL122" s="9"/>
      <c r="BM122" s="9"/>
      <c r="BN122" s="9"/>
      <c r="BO122" s="9"/>
      <c r="BP122" s="9"/>
      <c r="BQ122" s="9"/>
      <c r="BR122" s="9"/>
    </row>
    <row r="123" spans="1:70" x14ac:dyDescent="0.25">
      <c r="A123" s="9" t="str">
        <f>IF(ISBLANK('Signal Definition'!J123),"",'Signal Definition'!J123)</f>
        <v>AirCdn_nAirCdn_PHY</v>
      </c>
      <c r="B123" s="9">
        <f t="array" ref="B123">COUNT(FIND("input",$D123:$CD123))</f>
        <v>0</v>
      </c>
      <c r="C123" s="9">
        <f t="array" ref="C123">COUNT(FIND("output",$D123:$CD123))</f>
        <v>1</v>
      </c>
      <c r="D123" s="9"/>
      <c r="E123" s="9"/>
      <c r="F123" s="9"/>
      <c r="G123" s="9"/>
      <c r="H123" s="9"/>
      <c r="I123" s="9"/>
      <c r="J123" s="9"/>
      <c r="K123" s="9"/>
      <c r="L123" s="9"/>
      <c r="M123" s="9"/>
      <c r="N123" s="9"/>
      <c r="O123" s="9"/>
      <c r="P123" s="9"/>
      <c r="Q123" s="9"/>
      <c r="R123" s="9"/>
      <c r="S123" s="9"/>
      <c r="T123" s="9"/>
      <c r="U123" s="9"/>
      <c r="V123" s="9" t="s">
        <v>2663</v>
      </c>
      <c r="W123" s="9"/>
      <c r="X123" s="9"/>
      <c r="Y123" s="9"/>
      <c r="Z123" s="9"/>
      <c r="AA123" s="9"/>
      <c r="AB123" s="9"/>
      <c r="AC123" s="9"/>
      <c r="AD123" s="9"/>
      <c r="AE123" s="9"/>
      <c r="AF123" s="9"/>
      <c r="AG123" s="9"/>
      <c r="AH123" s="9"/>
      <c r="AI123" s="9"/>
      <c r="AJ123" s="9"/>
      <c r="AK123" s="9"/>
      <c r="AL123" s="9"/>
      <c r="AM123" s="9"/>
      <c r="AN123" s="9"/>
      <c r="AO123" s="9"/>
      <c r="AP123" s="9"/>
      <c r="AQ123" s="9"/>
      <c r="AR123" s="9"/>
      <c r="AS123" s="9"/>
      <c r="AT123" s="9"/>
      <c r="AU123" s="9"/>
      <c r="AV123" s="9"/>
      <c r="AW123" s="9"/>
      <c r="AX123" s="9"/>
      <c r="AY123" s="9"/>
      <c r="AZ123" s="9"/>
      <c r="BA123" s="9"/>
      <c r="BB123" s="9"/>
      <c r="BC123" s="9"/>
      <c r="BD123" s="9"/>
      <c r="BE123" s="9"/>
      <c r="BF123" s="9"/>
      <c r="BG123" s="9"/>
      <c r="BH123" s="9"/>
      <c r="BI123" s="9"/>
      <c r="BJ123" s="9"/>
      <c r="BK123" s="9"/>
      <c r="BL123" s="9"/>
      <c r="BM123" s="9"/>
      <c r="BN123" s="9"/>
      <c r="BO123" s="9"/>
      <c r="BP123" s="9"/>
      <c r="BQ123" s="9"/>
      <c r="BR123" s="9"/>
    </row>
    <row r="124" spans="1:70" x14ac:dyDescent="0.25">
      <c r="A124" s="9" t="str">
        <f>IF(ISBLANK('Signal Definition'!J124),"",'Signal Definition'!J124)</f>
        <v>ElecSys_trqAltBltDrv_PHY</v>
      </c>
      <c r="B124" s="9">
        <f t="array" ref="B124">COUNT(FIND("input",$D124:$CD124))</f>
        <v>0</v>
      </c>
      <c r="C124" s="9">
        <f t="array" ref="C124">COUNT(FIND("output",$D124:$CD124))</f>
        <v>1</v>
      </c>
      <c r="D124" s="9"/>
      <c r="E124" s="9"/>
      <c r="F124" s="9"/>
      <c r="G124" s="9"/>
      <c r="H124" s="9"/>
      <c r="I124" s="9"/>
      <c r="J124" s="9"/>
      <c r="K124" s="9"/>
      <c r="L124" s="9"/>
      <c r="M124" s="9"/>
      <c r="N124" s="9"/>
      <c r="O124" s="9"/>
      <c r="P124" s="9"/>
      <c r="Q124" s="9"/>
      <c r="R124" s="9"/>
      <c r="S124" s="9"/>
      <c r="T124" s="9"/>
      <c r="U124" s="9"/>
      <c r="V124" s="9"/>
      <c r="W124" s="9"/>
      <c r="X124" s="9"/>
      <c r="Y124" s="9" t="s">
        <v>2663</v>
      </c>
      <c r="Z124" s="9"/>
      <c r="AA124" s="9"/>
      <c r="AB124" s="9"/>
      <c r="AC124" s="9"/>
      <c r="AD124" s="9"/>
      <c r="AE124" s="9"/>
      <c r="AF124" s="9"/>
      <c r="AG124" s="9"/>
      <c r="AH124" s="9"/>
      <c r="AI124" s="9"/>
      <c r="AJ124" s="9"/>
      <c r="AK124" s="9"/>
      <c r="AL124" s="9"/>
      <c r="AM124" s="9"/>
      <c r="AN124" s="9"/>
      <c r="AO124" s="9"/>
      <c r="AP124" s="9"/>
      <c r="AQ124" s="9"/>
      <c r="AR124" s="9"/>
      <c r="AS124" s="9"/>
      <c r="AT124" s="9"/>
      <c r="AU124" s="9"/>
      <c r="AV124" s="9"/>
      <c r="AW124" s="9"/>
      <c r="AX124" s="9"/>
      <c r="AY124" s="9"/>
      <c r="AZ124" s="9"/>
      <c r="BA124" s="9"/>
      <c r="BB124" s="9"/>
      <c r="BC124" s="9"/>
      <c r="BD124" s="9"/>
      <c r="BE124" s="9"/>
      <c r="BF124" s="9"/>
      <c r="BG124" s="9"/>
      <c r="BH124" s="9"/>
      <c r="BI124" s="9"/>
      <c r="BJ124" s="9"/>
      <c r="BK124" s="9"/>
      <c r="BL124" s="9"/>
      <c r="BM124" s="9"/>
      <c r="BN124" s="9"/>
      <c r="BO124" s="9"/>
      <c r="BP124" s="9"/>
      <c r="BQ124" s="9"/>
      <c r="BR124" s="9"/>
    </row>
    <row r="125" spans="1:70" x14ac:dyDescent="0.25">
      <c r="A125" s="9" t="str">
        <f>IF(ISBLANK('Signal Definition'!J125),"",'Signal Definition'!J125)</f>
        <v>PnmSys_trqAirCmprTrsmInp_PHY</v>
      </c>
      <c r="B125" s="9">
        <f t="array" ref="B125">COUNT(FIND("input",$D125:$CD125))</f>
        <v>1</v>
      </c>
      <c r="C125" s="9">
        <f t="array" ref="C125">COUNT(FIND("output",$D125:$CD125))</f>
        <v>1</v>
      </c>
      <c r="D125" s="9"/>
      <c r="E125" s="9"/>
      <c r="F125" s="9"/>
      <c r="G125" s="9"/>
      <c r="H125" s="9"/>
      <c r="I125" s="9"/>
      <c r="J125" s="9" t="s">
        <v>2683</v>
      </c>
      <c r="K125" s="9"/>
      <c r="L125" s="9"/>
      <c r="M125" s="9"/>
      <c r="N125" s="9"/>
      <c r="O125" s="9"/>
      <c r="P125" s="9"/>
      <c r="Q125" s="9"/>
      <c r="R125" s="9"/>
      <c r="S125" s="9"/>
      <c r="T125" s="9" t="s">
        <v>2663</v>
      </c>
      <c r="U125" s="9"/>
      <c r="V125" s="9"/>
      <c r="W125" s="9"/>
      <c r="X125" s="9"/>
      <c r="Y125" s="9"/>
      <c r="Z125" s="9"/>
      <c r="AA125" s="9"/>
      <c r="AB125" s="9"/>
      <c r="AC125" s="9"/>
      <c r="AD125" s="9"/>
      <c r="AE125" s="9"/>
      <c r="AF125" s="9"/>
      <c r="AG125" s="9"/>
      <c r="AH125" s="9"/>
      <c r="AI125" s="9"/>
      <c r="AJ125" s="9"/>
      <c r="AK125" s="9"/>
      <c r="AL125" s="9"/>
      <c r="AM125" s="9"/>
      <c r="AN125" s="9"/>
      <c r="AO125" s="9"/>
      <c r="AP125" s="9"/>
      <c r="AQ125" s="9"/>
      <c r="AR125" s="9"/>
      <c r="AS125" s="9"/>
      <c r="AT125" s="9"/>
      <c r="AU125" s="9"/>
      <c r="AV125" s="9"/>
      <c r="AW125" s="9"/>
      <c r="AX125" s="9"/>
      <c r="AY125" s="9"/>
      <c r="AZ125" s="9"/>
      <c r="BA125" s="9"/>
      <c r="BB125" s="9"/>
      <c r="BC125" s="9"/>
      <c r="BD125" s="9"/>
      <c r="BE125" s="9"/>
      <c r="BF125" s="9"/>
      <c r="BG125" s="9"/>
      <c r="BH125" s="9"/>
      <c r="BI125" s="9"/>
      <c r="BJ125" s="9"/>
      <c r="BK125" s="9"/>
      <c r="BL125" s="9"/>
      <c r="BM125" s="9"/>
      <c r="BN125" s="9"/>
      <c r="BO125" s="9"/>
      <c r="BP125" s="9"/>
      <c r="BQ125" s="9"/>
      <c r="BR125" s="9"/>
    </row>
    <row r="126" spans="1:70" x14ac:dyDescent="0.25">
      <c r="A126" s="9" t="str">
        <f>IF(ISBLANK('Signal Definition'!J126),"",'Signal Definition'!J126)</f>
        <v>PnmSys_pwrMeclRqrd_PHY</v>
      </c>
      <c r="B126" s="9">
        <f t="array" ref="B126">COUNT(FIND("input",$D126:$CD126))</f>
        <v>0</v>
      </c>
      <c r="C126" s="9">
        <f t="array" ref="C126">COUNT(FIND("output",$D126:$CD126))</f>
        <v>1</v>
      </c>
      <c r="D126" s="9"/>
      <c r="E126" s="9"/>
      <c r="F126" s="9"/>
      <c r="G126" s="9"/>
      <c r="H126" s="9"/>
      <c r="I126" s="9"/>
      <c r="J126" s="9"/>
      <c r="K126" s="9"/>
      <c r="L126" s="9"/>
      <c r="M126" s="9"/>
      <c r="N126" s="9"/>
      <c r="O126" s="9"/>
      <c r="P126" s="9"/>
      <c r="Q126" s="9"/>
      <c r="R126" s="9"/>
      <c r="S126" s="9"/>
      <c r="T126" s="9" t="s">
        <v>2663</v>
      </c>
      <c r="U126" s="9"/>
      <c r="V126" s="9"/>
      <c r="W126" s="9"/>
      <c r="X126" s="9"/>
      <c r="Y126" s="9"/>
      <c r="Z126" s="9"/>
      <c r="AA126" s="9"/>
      <c r="AB126" s="9"/>
      <c r="AC126" s="9"/>
      <c r="AD126" s="9"/>
      <c r="AE126" s="9"/>
      <c r="AF126" s="9"/>
      <c r="AG126" s="9"/>
      <c r="AH126" s="9"/>
      <c r="AI126" s="9"/>
      <c r="AJ126" s="9"/>
      <c r="AK126" s="9"/>
      <c r="AL126" s="9"/>
      <c r="AM126" s="9"/>
      <c r="AN126" s="9"/>
      <c r="AO126" s="9"/>
      <c r="AP126" s="9"/>
      <c r="AQ126" s="9"/>
      <c r="AR126" s="9"/>
      <c r="AS126" s="9"/>
      <c r="AT126" s="9"/>
      <c r="AU126" s="9"/>
      <c r="AV126" s="9"/>
      <c r="AW126" s="9"/>
      <c r="AX126" s="9"/>
      <c r="AY126" s="9"/>
      <c r="AZ126" s="9"/>
      <c r="BA126" s="9"/>
      <c r="BB126" s="9"/>
      <c r="BC126" s="9"/>
      <c r="BD126" s="9"/>
      <c r="BE126" s="9"/>
      <c r="BF126" s="9"/>
      <c r="BG126" s="9"/>
      <c r="BH126" s="9"/>
      <c r="BI126" s="9"/>
      <c r="BJ126" s="9"/>
      <c r="BK126" s="9"/>
      <c r="BL126" s="9"/>
      <c r="BM126" s="9"/>
      <c r="BN126" s="9"/>
      <c r="BO126" s="9"/>
      <c r="BP126" s="9"/>
      <c r="BQ126" s="9"/>
      <c r="BR126" s="9"/>
    </row>
    <row r="127" spans="1:70" x14ac:dyDescent="0.25">
      <c r="A127" s="9" t="str">
        <f>IF(ISBLANK('Signal Definition'!J127),"",'Signal Definition'!J127)</f>
        <v>PnmSys_pwrAirCmprMecl_PHY</v>
      </c>
      <c r="B127" s="9">
        <f t="array" ref="B127">COUNT(FIND("input",$D127:$CD127))</f>
        <v>0</v>
      </c>
      <c r="C127" s="9">
        <f t="array" ref="C127">COUNT(FIND("output",$D127:$CD127))</f>
        <v>1</v>
      </c>
      <c r="D127" s="9"/>
      <c r="E127" s="9"/>
      <c r="F127" s="9"/>
      <c r="G127" s="9"/>
      <c r="H127" s="9"/>
      <c r="I127" s="9"/>
      <c r="J127" s="9"/>
      <c r="K127" s="9"/>
      <c r="L127" s="9"/>
      <c r="M127" s="9"/>
      <c r="N127" s="9"/>
      <c r="O127" s="9"/>
      <c r="P127" s="9"/>
      <c r="Q127" s="9"/>
      <c r="R127" s="9"/>
      <c r="S127" s="9"/>
      <c r="T127" s="9" t="s">
        <v>2663</v>
      </c>
      <c r="U127" s="9"/>
      <c r="V127" s="9"/>
      <c r="W127" s="9"/>
      <c r="X127" s="9"/>
      <c r="Y127" s="9"/>
      <c r="Z127" s="9"/>
      <c r="AA127" s="9"/>
      <c r="AB127" s="9"/>
      <c r="AC127" s="9"/>
      <c r="AD127" s="9"/>
      <c r="AE127" s="9"/>
      <c r="AF127" s="9"/>
      <c r="AG127" s="9"/>
      <c r="AH127" s="9"/>
      <c r="AI127" s="9"/>
      <c r="AJ127" s="9"/>
      <c r="AK127" s="9"/>
      <c r="AL127" s="9"/>
      <c r="AM127" s="9"/>
      <c r="AN127" s="9"/>
      <c r="AO127" s="9"/>
      <c r="AP127" s="9"/>
      <c r="AQ127" s="9"/>
      <c r="AR127" s="9"/>
      <c r="AS127" s="9"/>
      <c r="AT127" s="9"/>
      <c r="AU127" s="9"/>
      <c r="AV127" s="9"/>
      <c r="AW127" s="9"/>
      <c r="AX127" s="9"/>
      <c r="AY127" s="9"/>
      <c r="AZ127" s="9"/>
      <c r="BA127" s="9"/>
      <c r="BB127" s="9"/>
      <c r="BC127" s="9"/>
      <c r="BD127" s="9"/>
      <c r="BE127" s="9"/>
      <c r="BF127" s="9"/>
      <c r="BG127" s="9"/>
      <c r="BH127" s="9"/>
      <c r="BI127" s="9"/>
      <c r="BJ127" s="9"/>
      <c r="BK127" s="9"/>
      <c r="BL127" s="9"/>
      <c r="BM127" s="9"/>
      <c r="BN127" s="9"/>
      <c r="BO127" s="9"/>
      <c r="BP127" s="9"/>
      <c r="BQ127" s="9"/>
      <c r="BR127" s="9"/>
    </row>
    <row r="128" spans="1:70" x14ac:dyDescent="0.25">
      <c r="A128" s="9" t="str">
        <f>IF(ISBLANK('Signal Definition'!J128),"",'Signal Definition'!J128)</f>
        <v>PnmSys_volAirRqrdStdLiters_PHY</v>
      </c>
      <c r="B128" s="9">
        <f t="array" ref="B128">COUNT(FIND("input",$D128:$CD128))</f>
        <v>0</v>
      </c>
      <c r="C128" s="9">
        <f t="array" ref="C128">COUNT(FIND("output",$D128:$CD128))</f>
        <v>1</v>
      </c>
      <c r="D128" s="9"/>
      <c r="E128" s="9"/>
      <c r="F128" s="9"/>
      <c r="G128" s="9"/>
      <c r="H128" s="9"/>
      <c r="I128" s="9"/>
      <c r="J128" s="9"/>
      <c r="K128" s="9"/>
      <c r="L128" s="9"/>
      <c r="M128" s="9"/>
      <c r="N128" s="9"/>
      <c r="O128" s="9"/>
      <c r="P128" s="9"/>
      <c r="Q128" s="9"/>
      <c r="R128" s="9"/>
      <c r="S128" s="9"/>
      <c r="T128" s="9" t="s">
        <v>2663</v>
      </c>
      <c r="U128" s="9"/>
      <c r="V128" s="9"/>
      <c r="W128" s="9"/>
      <c r="X128" s="9"/>
      <c r="Y128" s="9"/>
      <c r="Z128" s="9"/>
      <c r="AA128" s="9"/>
      <c r="AB128" s="9"/>
      <c r="AC128" s="9"/>
      <c r="AD128" s="9"/>
      <c r="AE128" s="9"/>
      <c r="AF128" s="9"/>
      <c r="AG128" s="9"/>
      <c r="AH128" s="9"/>
      <c r="AI128" s="9"/>
      <c r="AJ128" s="9"/>
      <c r="AK128" s="9"/>
      <c r="AL128" s="9"/>
      <c r="AM128" s="9"/>
      <c r="AN128" s="9"/>
      <c r="AO128" s="9"/>
      <c r="AP128" s="9"/>
      <c r="AQ128" s="9"/>
      <c r="AR128" s="9"/>
      <c r="AS128" s="9"/>
      <c r="AT128" s="9"/>
      <c r="AU128" s="9"/>
      <c r="AV128" s="9"/>
      <c r="AW128" s="9"/>
      <c r="AX128" s="9"/>
      <c r="AY128" s="9"/>
      <c r="AZ128" s="9"/>
      <c r="BA128" s="9"/>
      <c r="BB128" s="9"/>
      <c r="BC128" s="9"/>
      <c r="BD128" s="9"/>
      <c r="BE128" s="9"/>
      <c r="BF128" s="9"/>
      <c r="BG128" s="9"/>
      <c r="BH128" s="9"/>
      <c r="BI128" s="9"/>
      <c r="BJ128" s="9"/>
      <c r="BK128" s="9"/>
      <c r="BL128" s="9"/>
      <c r="BM128" s="9"/>
      <c r="BN128" s="9"/>
      <c r="BO128" s="9"/>
      <c r="BP128" s="9"/>
      <c r="BQ128" s="9"/>
      <c r="BR128" s="9"/>
    </row>
    <row r="129" spans="1:70" x14ac:dyDescent="0.25">
      <c r="A129" s="9" t="str">
        <f>IF(ISBLANK('Signal Definition'!J129),"",'Signal Definition'!J129)</f>
        <v>PnmSys_volflAirCompressed_PHY</v>
      </c>
      <c r="B129" s="9">
        <f t="array" ref="B129">COUNT(FIND("input",$D129:$CD129))</f>
        <v>0</v>
      </c>
      <c r="C129" s="9">
        <f t="array" ref="C129">COUNT(FIND("output",$D129:$CD129))</f>
        <v>1</v>
      </c>
      <c r="D129" s="9"/>
      <c r="E129" s="9"/>
      <c r="F129" s="9"/>
      <c r="G129" s="9"/>
      <c r="H129" s="9"/>
      <c r="I129" s="9"/>
      <c r="J129" s="9"/>
      <c r="K129" s="9"/>
      <c r="L129" s="9"/>
      <c r="M129" s="9"/>
      <c r="N129" s="9"/>
      <c r="O129" s="9"/>
      <c r="P129" s="9"/>
      <c r="Q129" s="9"/>
      <c r="R129" s="9"/>
      <c r="S129" s="9"/>
      <c r="T129" s="9" t="s">
        <v>2663</v>
      </c>
      <c r="U129" s="9"/>
      <c r="V129" s="9"/>
      <c r="W129" s="9"/>
      <c r="X129" s="9"/>
      <c r="Y129" s="9"/>
      <c r="Z129" s="9"/>
      <c r="AA129" s="9"/>
      <c r="AB129" s="9"/>
      <c r="AC129" s="9"/>
      <c r="AD129" s="9"/>
      <c r="AE129" s="9"/>
      <c r="AF129" s="9"/>
      <c r="AG129" s="9"/>
      <c r="AH129" s="9"/>
      <c r="AI129" s="9"/>
      <c r="AJ129" s="9"/>
      <c r="AK129" s="9"/>
      <c r="AL129" s="9"/>
      <c r="AM129" s="9"/>
      <c r="AN129" s="9"/>
      <c r="AO129" s="9"/>
      <c r="AP129" s="9"/>
      <c r="AQ129" s="9"/>
      <c r="AR129" s="9"/>
      <c r="AS129" s="9"/>
      <c r="AT129" s="9"/>
      <c r="AU129" s="9"/>
      <c r="AV129" s="9"/>
      <c r="AW129" s="9"/>
      <c r="AX129" s="9"/>
      <c r="AY129" s="9"/>
      <c r="AZ129" s="9"/>
      <c r="BA129" s="9"/>
      <c r="BB129" s="9"/>
      <c r="BC129" s="9"/>
      <c r="BD129" s="9"/>
      <c r="BE129" s="9"/>
      <c r="BF129" s="9"/>
      <c r="BG129" s="9"/>
      <c r="BH129" s="9"/>
      <c r="BI129" s="9"/>
      <c r="BJ129" s="9"/>
      <c r="BK129" s="9"/>
      <c r="BL129" s="9"/>
      <c r="BM129" s="9"/>
      <c r="BN129" s="9"/>
      <c r="BO129" s="9"/>
      <c r="BP129" s="9"/>
      <c r="BQ129" s="9"/>
      <c r="BR129" s="9"/>
    </row>
    <row r="130" spans="1:70" x14ac:dyDescent="0.25">
      <c r="A130" s="9" t="str">
        <f>IF(ISBLANK('Signal Definition'!J130),"",'Signal Definition'!J130)</f>
        <v>PnmSys_volflAirRqrdSysStdLiters_PHY</v>
      </c>
      <c r="B130" s="9">
        <f t="array" ref="B130">COUNT(FIND("input",$D130:$CD130))</f>
        <v>0</v>
      </c>
      <c r="C130" s="9">
        <f t="array" ref="C130">COUNT(FIND("output",$D130:$CD130))</f>
        <v>1</v>
      </c>
      <c r="D130" s="9"/>
      <c r="E130" s="9"/>
      <c r="F130" s="9"/>
      <c r="G130" s="9"/>
      <c r="H130" s="9"/>
      <c r="I130" s="9"/>
      <c r="J130" s="9"/>
      <c r="K130" s="9"/>
      <c r="L130" s="9"/>
      <c r="M130" s="9"/>
      <c r="N130" s="9"/>
      <c r="O130" s="9"/>
      <c r="P130" s="9"/>
      <c r="Q130" s="9"/>
      <c r="R130" s="9"/>
      <c r="S130" s="9"/>
      <c r="T130" s="9" t="s">
        <v>2663</v>
      </c>
      <c r="U130" s="9"/>
      <c r="V130" s="9"/>
      <c r="W130" s="9"/>
      <c r="X130" s="9"/>
      <c r="Y130" s="9"/>
      <c r="Z130" s="9"/>
      <c r="AA130" s="9"/>
      <c r="AB130" s="9"/>
      <c r="AC130" s="9"/>
      <c r="AD130" s="9"/>
      <c r="AE130" s="9"/>
      <c r="AF130" s="9"/>
      <c r="AG130" s="9"/>
      <c r="AH130" s="9"/>
      <c r="AI130" s="9"/>
      <c r="AJ130" s="9"/>
      <c r="AK130" s="9"/>
      <c r="AL130" s="9"/>
      <c r="AM130" s="9"/>
      <c r="AN130" s="9"/>
      <c r="AO130" s="9"/>
      <c r="AP130" s="9"/>
      <c r="AQ130" s="9"/>
      <c r="AR130" s="9"/>
      <c r="AS130" s="9"/>
      <c r="AT130" s="9"/>
      <c r="AU130" s="9"/>
      <c r="AV130" s="9"/>
      <c r="AW130" s="9"/>
      <c r="AX130" s="9"/>
      <c r="AY130" s="9"/>
      <c r="AZ130" s="9"/>
      <c r="BA130" s="9"/>
      <c r="BB130" s="9"/>
      <c r="BC130" s="9"/>
      <c r="BD130" s="9"/>
      <c r="BE130" s="9"/>
      <c r="BF130" s="9"/>
      <c r="BG130" s="9"/>
      <c r="BH130" s="9"/>
      <c r="BI130" s="9"/>
      <c r="BJ130" s="9"/>
      <c r="BK130" s="9"/>
      <c r="BL130" s="9"/>
      <c r="BM130" s="9"/>
      <c r="BN130" s="9"/>
      <c r="BO130" s="9"/>
      <c r="BP130" s="9"/>
      <c r="BQ130" s="9"/>
      <c r="BR130" s="9"/>
    </row>
    <row r="131" spans="1:70" x14ac:dyDescent="0.25">
      <c r="A131" s="9" t="str">
        <f>IF(ISBLANK('Signal Definition'!J131),"",'Signal Definition'!J131)</f>
        <v>PnmSys_volflAirRqrdMeanSysStdLiters_PHY</v>
      </c>
      <c r="B131" s="9">
        <f t="array" ref="B131">COUNT(FIND("input",$D131:$CD131))</f>
        <v>0</v>
      </c>
      <c r="C131" s="9">
        <f t="array" ref="C131">COUNT(FIND("output",$D131:$CD131))</f>
        <v>1</v>
      </c>
      <c r="D131" s="9"/>
      <c r="E131" s="9"/>
      <c r="F131" s="9"/>
      <c r="G131" s="9"/>
      <c r="H131" s="9"/>
      <c r="I131" s="9"/>
      <c r="J131" s="9"/>
      <c r="K131" s="9"/>
      <c r="L131" s="9"/>
      <c r="M131" s="9"/>
      <c r="N131" s="9"/>
      <c r="O131" s="9"/>
      <c r="P131" s="9"/>
      <c r="Q131" s="9"/>
      <c r="R131" s="9"/>
      <c r="S131" s="9"/>
      <c r="T131" s="9" t="s">
        <v>2663</v>
      </c>
      <c r="U131" s="9"/>
      <c r="V131" s="9"/>
      <c r="W131" s="9"/>
      <c r="X131" s="9"/>
      <c r="Y131" s="9"/>
      <c r="Z131" s="9"/>
      <c r="AA131" s="9"/>
      <c r="AB131" s="9"/>
      <c r="AC131" s="9"/>
      <c r="AD131" s="9"/>
      <c r="AE131" s="9"/>
      <c r="AF131" s="9"/>
      <c r="AG131" s="9"/>
      <c r="AH131" s="9"/>
      <c r="AI131" s="9"/>
      <c r="AJ131" s="9"/>
      <c r="AK131" s="9"/>
      <c r="AL131" s="9"/>
      <c r="AM131" s="9"/>
      <c r="AN131" s="9"/>
      <c r="AO131" s="9"/>
      <c r="AP131" s="9"/>
      <c r="AQ131" s="9"/>
      <c r="AR131" s="9"/>
      <c r="AS131" s="9"/>
      <c r="AT131" s="9"/>
      <c r="AU131" s="9"/>
      <c r="AV131" s="9"/>
      <c r="AW131" s="9"/>
      <c r="AX131" s="9"/>
      <c r="AY131" s="9"/>
      <c r="AZ131" s="9"/>
      <c r="BA131" s="9"/>
      <c r="BB131" s="9"/>
      <c r="BC131" s="9"/>
      <c r="BD131" s="9"/>
      <c r="BE131" s="9"/>
      <c r="BF131" s="9"/>
      <c r="BG131" s="9"/>
      <c r="BH131" s="9"/>
      <c r="BI131" s="9"/>
      <c r="BJ131" s="9"/>
      <c r="BK131" s="9"/>
      <c r="BL131" s="9"/>
      <c r="BM131" s="9"/>
      <c r="BN131" s="9"/>
      <c r="BO131" s="9"/>
      <c r="BP131" s="9"/>
      <c r="BQ131" s="9"/>
      <c r="BR131" s="9"/>
    </row>
    <row r="132" spans="1:70" x14ac:dyDescent="0.25">
      <c r="A132" s="9" t="str">
        <f>IF(ISBLANK('Signal Definition'!J132),"",'Signal Definition'!J132)</f>
        <v>PnmSys_volflAirCompressedStdLiters_PHY</v>
      </c>
      <c r="B132" s="9">
        <f t="array" ref="B132">COUNT(FIND("input",$D132:$CD132))</f>
        <v>0</v>
      </c>
      <c r="C132" s="9">
        <f t="array" ref="C132">COUNT(FIND("output",$D132:$CD132))</f>
        <v>1</v>
      </c>
      <c r="D132" s="9"/>
      <c r="E132" s="9"/>
      <c r="F132" s="9"/>
      <c r="G132" s="9"/>
      <c r="H132" s="9"/>
      <c r="I132" s="9"/>
      <c r="J132" s="9"/>
      <c r="K132" s="9"/>
      <c r="L132" s="9"/>
      <c r="M132" s="9"/>
      <c r="N132" s="9"/>
      <c r="O132" s="9"/>
      <c r="P132" s="9"/>
      <c r="Q132" s="9"/>
      <c r="R132" s="9"/>
      <c r="S132" s="9"/>
      <c r="T132" s="9" t="s">
        <v>2663</v>
      </c>
      <c r="U132" s="9"/>
      <c r="V132" s="9"/>
      <c r="W132" s="9"/>
      <c r="X132" s="9"/>
      <c r="Y132" s="9"/>
      <c r="Z132" s="9"/>
      <c r="AA132" s="9"/>
      <c r="AB132" s="9"/>
      <c r="AC132" s="9"/>
      <c r="AD132" s="9"/>
      <c r="AE132" s="9"/>
      <c r="AF132" s="9"/>
      <c r="AG132" s="9"/>
      <c r="AH132" s="9"/>
      <c r="AI132" s="9"/>
      <c r="AJ132" s="9"/>
      <c r="AK132" s="9"/>
      <c r="AL132" s="9"/>
      <c r="AM132" s="9"/>
      <c r="AN132" s="9"/>
      <c r="AO132" s="9"/>
      <c r="AP132" s="9"/>
      <c r="AQ132" s="9"/>
      <c r="AR132" s="9"/>
      <c r="AS132" s="9"/>
      <c r="AT132" s="9"/>
      <c r="AU132" s="9"/>
      <c r="AV132" s="9"/>
      <c r="AW132" s="9"/>
      <c r="AX132" s="9"/>
      <c r="AY132" s="9"/>
      <c r="AZ132" s="9"/>
      <c r="BA132" s="9"/>
      <c r="BB132" s="9"/>
      <c r="BC132" s="9"/>
      <c r="BD132" s="9"/>
      <c r="BE132" s="9"/>
      <c r="BF132" s="9"/>
      <c r="BG132" s="9"/>
      <c r="BH132" s="9"/>
      <c r="BI132" s="9"/>
      <c r="BJ132" s="9"/>
      <c r="BK132" s="9"/>
      <c r="BL132" s="9"/>
      <c r="BM132" s="9"/>
      <c r="BN132" s="9"/>
      <c r="BO132" s="9"/>
      <c r="BP132" s="9"/>
      <c r="BQ132" s="9"/>
      <c r="BR132" s="9"/>
    </row>
    <row r="133" spans="1:70" x14ac:dyDescent="0.25">
      <c r="A133" s="9" t="str">
        <f>IF(ISBLANK('Signal Definition'!J133),"",'Signal Definition'!J133)</f>
        <v>PnmSys_volflAirCmprMapStdLiters_PHY</v>
      </c>
      <c r="B133" s="9">
        <f t="array" ref="B133">COUNT(FIND("input",$D133:$CD133))</f>
        <v>0</v>
      </c>
      <c r="C133" s="9">
        <f t="array" ref="C133">COUNT(FIND("output",$D133:$CD133))</f>
        <v>1</v>
      </c>
      <c r="D133" s="9"/>
      <c r="E133" s="9"/>
      <c r="F133" s="9"/>
      <c r="G133" s="9"/>
      <c r="H133" s="9"/>
      <c r="I133" s="9"/>
      <c r="J133" s="9"/>
      <c r="K133" s="9"/>
      <c r="L133" s="9"/>
      <c r="M133" s="9"/>
      <c r="N133" s="9"/>
      <c r="O133" s="9"/>
      <c r="P133" s="9"/>
      <c r="Q133" s="9"/>
      <c r="R133" s="9"/>
      <c r="S133" s="9"/>
      <c r="T133" s="9" t="s">
        <v>2663</v>
      </c>
      <c r="U133" s="9"/>
      <c r="V133" s="9"/>
      <c r="W133" s="9"/>
      <c r="X133" s="9"/>
      <c r="Y133" s="9"/>
      <c r="Z133" s="9"/>
      <c r="AA133" s="9"/>
      <c r="AB133" s="9"/>
      <c r="AC133" s="9"/>
      <c r="AD133" s="9"/>
      <c r="AE133" s="9"/>
      <c r="AF133" s="9"/>
      <c r="AG133" s="9"/>
      <c r="AH133" s="9"/>
      <c r="AI133" s="9"/>
      <c r="AJ133" s="9"/>
      <c r="AK133" s="9"/>
      <c r="AL133" s="9"/>
      <c r="AM133" s="9"/>
      <c r="AN133" s="9"/>
      <c r="AO133" s="9"/>
      <c r="AP133" s="9"/>
      <c r="AQ133" s="9"/>
      <c r="AR133" s="9"/>
      <c r="AS133" s="9"/>
      <c r="AT133" s="9"/>
      <c r="AU133" s="9"/>
      <c r="AV133" s="9"/>
      <c r="AW133" s="9"/>
      <c r="AX133" s="9"/>
      <c r="AY133" s="9"/>
      <c r="AZ133" s="9"/>
      <c r="BA133" s="9"/>
      <c r="BB133" s="9"/>
      <c r="BC133" s="9"/>
      <c r="BD133" s="9"/>
      <c r="BE133" s="9"/>
      <c r="BF133" s="9"/>
      <c r="BG133" s="9"/>
      <c r="BH133" s="9"/>
      <c r="BI133" s="9"/>
      <c r="BJ133" s="9"/>
      <c r="BK133" s="9"/>
      <c r="BL133" s="9"/>
      <c r="BM133" s="9"/>
      <c r="BN133" s="9"/>
      <c r="BO133" s="9"/>
      <c r="BP133" s="9"/>
      <c r="BQ133" s="9"/>
      <c r="BR133" s="9"/>
    </row>
    <row r="134" spans="1:70" x14ac:dyDescent="0.25">
      <c r="A134" s="9" t="str">
        <f>IF(ISBLANK('Signal Definition'!J134),"",'Signal Definition'!J134)</f>
        <v>PnmSys_pAirTank_PHY</v>
      </c>
      <c r="B134" s="9">
        <f t="array" ref="B134">COUNT(FIND("input",$D134:$CD134))</f>
        <v>1</v>
      </c>
      <c r="C134" s="9">
        <f t="array" ref="C134">COUNT(FIND("output",$D134:$CD134))</f>
        <v>1</v>
      </c>
      <c r="D134" s="9"/>
      <c r="E134" s="9"/>
      <c r="F134" s="9"/>
      <c r="G134" s="9"/>
      <c r="H134" s="9"/>
      <c r="I134" s="9"/>
      <c r="J134" s="9" t="s">
        <v>2683</v>
      </c>
      <c r="K134" s="9"/>
      <c r="L134" s="9"/>
      <c r="M134" s="9"/>
      <c r="N134" s="9"/>
      <c r="O134" s="9"/>
      <c r="P134" s="9"/>
      <c r="Q134" s="9"/>
      <c r="R134" s="9"/>
      <c r="S134" s="9"/>
      <c r="T134" s="9" t="s">
        <v>2663</v>
      </c>
      <c r="U134" s="9"/>
      <c r="V134" s="9"/>
      <c r="W134" s="9"/>
      <c r="X134" s="9"/>
      <c r="Y134" s="9"/>
      <c r="Z134" s="9"/>
      <c r="AA134" s="9"/>
      <c r="AB134" s="9"/>
      <c r="AC134" s="9"/>
      <c r="AD134" s="9"/>
      <c r="AE134" s="9"/>
      <c r="AF134" s="9"/>
      <c r="AG134" s="9"/>
      <c r="AH134" s="9"/>
      <c r="AI134" s="9"/>
      <c r="AJ134" s="9"/>
      <c r="AK134" s="9"/>
      <c r="AL134" s="9"/>
      <c r="AM134" s="9"/>
      <c r="AN134" s="9"/>
      <c r="AO134" s="9"/>
      <c r="AP134" s="9"/>
      <c r="AQ134" s="9"/>
      <c r="AR134" s="9"/>
      <c r="AS134" s="9"/>
      <c r="AT134" s="9"/>
      <c r="AU134" s="9"/>
      <c r="AV134" s="9"/>
      <c r="AW134" s="9"/>
      <c r="AX134" s="9"/>
      <c r="AY134" s="9"/>
      <c r="AZ134" s="9"/>
      <c r="BA134" s="9"/>
      <c r="BB134" s="9"/>
      <c r="BC134" s="9"/>
      <c r="BD134" s="9"/>
      <c r="BE134" s="9"/>
      <c r="BF134" s="9"/>
      <c r="BG134" s="9"/>
      <c r="BH134" s="9"/>
      <c r="BI134" s="9"/>
      <c r="BJ134" s="9"/>
      <c r="BK134" s="9"/>
      <c r="BL134" s="9"/>
      <c r="BM134" s="9"/>
      <c r="BN134" s="9"/>
      <c r="BO134" s="9"/>
      <c r="BP134" s="9"/>
      <c r="BQ134" s="9"/>
      <c r="BR134" s="9"/>
    </row>
    <row r="135" spans="1:70" x14ac:dyDescent="0.25">
      <c r="A135" s="9" t="str">
        <f>IF(ISBLANK('Signal Definition'!J135),"",'Signal Definition'!J135)</f>
        <v>AuxCtrl_swtAirCmpr_ETK</v>
      </c>
      <c r="B135" s="9">
        <f t="array" ref="B135">COUNT(FIND("input",$D135:$CD135))</f>
        <v>1</v>
      </c>
      <c r="C135" s="9">
        <f t="array" ref="C135">COUNT(FIND("output",$D135:$CD135))</f>
        <v>1</v>
      </c>
      <c r="D135" s="9"/>
      <c r="E135" s="9"/>
      <c r="F135" s="9"/>
      <c r="G135" s="9"/>
      <c r="H135" s="9"/>
      <c r="I135" s="9"/>
      <c r="J135" s="9" t="s">
        <v>2683</v>
      </c>
      <c r="K135" s="9"/>
      <c r="L135" s="9"/>
      <c r="M135" s="9"/>
      <c r="N135" s="9"/>
      <c r="O135" s="9"/>
      <c r="P135" s="9"/>
      <c r="Q135" s="9"/>
      <c r="R135" s="9"/>
      <c r="S135" s="9" t="s">
        <v>2663</v>
      </c>
      <c r="T135" s="9"/>
      <c r="U135" s="9"/>
      <c r="V135" s="9"/>
      <c r="W135" s="9"/>
      <c r="X135" s="9"/>
      <c r="Y135" s="9"/>
      <c r="Z135" s="9"/>
      <c r="AA135" s="9"/>
      <c r="AB135" s="9"/>
      <c r="AC135" s="9"/>
      <c r="AD135" s="9"/>
      <c r="AE135" s="9"/>
      <c r="AF135" s="9"/>
      <c r="AG135" s="9"/>
      <c r="AH135" s="9"/>
      <c r="AI135" s="9"/>
      <c r="AJ135" s="9"/>
      <c r="AK135" s="9"/>
      <c r="AL135" s="9"/>
      <c r="AM135" s="9"/>
      <c r="AN135" s="9"/>
      <c r="AO135" s="9"/>
      <c r="AP135" s="9"/>
      <c r="AQ135" s="9"/>
      <c r="AR135" s="9"/>
      <c r="AS135" s="9"/>
      <c r="AT135" s="9"/>
      <c r="AU135" s="9"/>
      <c r="AV135" s="9"/>
      <c r="AW135" s="9"/>
      <c r="AX135" s="9"/>
      <c r="AY135" s="9"/>
      <c r="AZ135" s="9"/>
      <c r="BA135" s="9"/>
      <c r="BB135" s="9"/>
      <c r="BC135" s="9"/>
      <c r="BD135" s="9"/>
      <c r="BE135" s="9"/>
      <c r="BF135" s="9"/>
      <c r="BG135" s="9"/>
      <c r="BH135" s="9"/>
      <c r="BI135" s="9"/>
      <c r="BJ135" s="9"/>
      <c r="BK135" s="9"/>
      <c r="BL135" s="9"/>
      <c r="BM135" s="9"/>
      <c r="BN135" s="9"/>
      <c r="BO135" s="9"/>
      <c r="BP135" s="9"/>
      <c r="BQ135" s="9"/>
      <c r="BR135" s="9"/>
    </row>
    <row r="136" spans="1:70" x14ac:dyDescent="0.25">
      <c r="A136" s="9" t="str">
        <f>IF(ISBLANK('Signal Definition'!J136),"",'Signal Definition'!J136)</f>
        <v>ECU_swtAirCmpr_CAN</v>
      </c>
      <c r="B136" s="9">
        <f t="array" ref="B136">COUNT(FIND("input",$D136:$CD136))</f>
        <v>1</v>
      </c>
      <c r="C136" s="9">
        <f t="array" ref="C136">COUNT(FIND("output",$D136:$CD136))</f>
        <v>1</v>
      </c>
      <c r="D136" s="9"/>
      <c r="E136" s="9"/>
      <c r="F136" s="9"/>
      <c r="G136" s="9"/>
      <c r="H136" s="9"/>
      <c r="I136" s="9"/>
      <c r="J136" s="9" t="s">
        <v>2663</v>
      </c>
      <c r="K136" s="9"/>
      <c r="L136" s="9"/>
      <c r="M136" s="9"/>
      <c r="N136" s="9"/>
      <c r="O136" s="9"/>
      <c r="P136" s="9"/>
      <c r="Q136" s="9"/>
      <c r="R136" s="9"/>
      <c r="S136" s="9"/>
      <c r="T136" s="9" t="s">
        <v>2683</v>
      </c>
      <c r="U136" s="9"/>
      <c r="V136" s="9"/>
      <c r="W136" s="9"/>
      <c r="X136" s="9"/>
      <c r="Y136" s="9"/>
      <c r="Z136" s="9"/>
      <c r="AA136" s="9"/>
      <c r="AB136" s="9"/>
      <c r="AC136" s="9"/>
      <c r="AD136" s="9"/>
      <c r="AE136" s="9"/>
      <c r="AF136" s="9"/>
      <c r="AG136" s="9"/>
      <c r="AH136" s="9"/>
      <c r="AI136" s="9"/>
      <c r="AJ136" s="9"/>
      <c r="AK136" s="9"/>
      <c r="AL136" s="9"/>
      <c r="AM136" s="9"/>
      <c r="AN136" s="9"/>
      <c r="AO136" s="9"/>
      <c r="AP136" s="9"/>
      <c r="AQ136" s="9"/>
      <c r="AR136" s="9"/>
      <c r="AS136" s="9"/>
      <c r="AT136" s="9"/>
      <c r="AU136" s="9"/>
      <c r="AV136" s="9"/>
      <c r="AW136" s="9"/>
      <c r="AX136" s="9"/>
      <c r="AY136" s="9"/>
      <c r="AZ136" s="9"/>
      <c r="BA136" s="9"/>
      <c r="BB136" s="9"/>
      <c r="BC136" s="9"/>
      <c r="BD136" s="9"/>
      <c r="BE136" s="9"/>
      <c r="BF136" s="9"/>
      <c r="BG136" s="9"/>
      <c r="BH136" s="9"/>
      <c r="BI136" s="9"/>
      <c r="BJ136" s="9"/>
      <c r="BK136" s="9"/>
      <c r="BL136" s="9"/>
      <c r="BM136" s="9"/>
      <c r="BN136" s="9"/>
      <c r="BO136" s="9"/>
      <c r="BP136" s="9"/>
      <c r="BQ136" s="9"/>
      <c r="BR136" s="9"/>
    </row>
    <row r="137" spans="1:70" x14ac:dyDescent="0.25">
      <c r="A137" s="9" t="str">
        <f>IF(ISBLANK('Signal Definition'!J137),"",'Signal Definition'!J137)</f>
        <v>ECU_pAirTank_CAN</v>
      </c>
      <c r="B137" s="9">
        <f t="array" ref="B137">COUNT(FIND("input",$D137:$CD137))</f>
        <v>1</v>
      </c>
      <c r="C137" s="9">
        <f t="array" ref="C137">COUNT(FIND("output",$D137:$CD137))</f>
        <v>1</v>
      </c>
      <c r="D137" s="9"/>
      <c r="E137" s="9"/>
      <c r="F137" s="9"/>
      <c r="G137" s="9"/>
      <c r="H137" s="9"/>
      <c r="I137" s="9"/>
      <c r="J137" s="9" t="s">
        <v>2663</v>
      </c>
      <c r="K137" s="9"/>
      <c r="L137" s="9"/>
      <c r="M137" s="9"/>
      <c r="N137" s="9"/>
      <c r="O137" s="9"/>
      <c r="P137" s="9"/>
      <c r="Q137" s="9"/>
      <c r="R137" s="9"/>
      <c r="S137" s="9" t="s">
        <v>2683</v>
      </c>
      <c r="T137" s="9"/>
      <c r="U137" s="9"/>
      <c r="V137" s="9"/>
      <c r="W137" s="9"/>
      <c r="X137" s="9"/>
      <c r="Y137" s="9"/>
      <c r="Z137" s="9"/>
      <c r="AA137" s="9"/>
      <c r="AB137" s="9"/>
      <c r="AC137" s="9"/>
      <c r="AD137" s="9"/>
      <c r="AE137" s="9"/>
      <c r="AF137" s="9"/>
      <c r="AG137" s="9"/>
      <c r="AH137" s="9"/>
      <c r="AI137" s="9"/>
      <c r="AJ137" s="9"/>
      <c r="AK137" s="9"/>
      <c r="AL137" s="9"/>
      <c r="AM137" s="9"/>
      <c r="AN137" s="9"/>
      <c r="AO137" s="9"/>
      <c r="AP137" s="9"/>
      <c r="AQ137" s="9"/>
      <c r="AR137" s="9"/>
      <c r="AS137" s="9"/>
      <c r="AT137" s="9"/>
      <c r="AU137" s="9"/>
      <c r="AV137" s="9"/>
      <c r="AW137" s="9"/>
      <c r="AX137" s="9"/>
      <c r="AY137" s="9"/>
      <c r="AZ137" s="9"/>
      <c r="BA137" s="9"/>
      <c r="BB137" s="9"/>
      <c r="BC137" s="9"/>
      <c r="BD137" s="9"/>
      <c r="BE137" s="9"/>
      <c r="BF137" s="9"/>
      <c r="BG137" s="9"/>
      <c r="BH137" s="9"/>
      <c r="BI137" s="9"/>
      <c r="BJ137" s="9"/>
      <c r="BK137" s="9"/>
      <c r="BL137" s="9"/>
      <c r="BM137" s="9"/>
      <c r="BN137" s="9"/>
      <c r="BO137" s="9"/>
      <c r="BP137" s="9"/>
      <c r="BQ137" s="9"/>
      <c r="BR137" s="9"/>
    </row>
    <row r="138" spans="1:70" x14ac:dyDescent="0.25">
      <c r="A138" s="9" t="str">
        <f>IF(ISBLANK('Signal Definition'!J138),"",'Signal Definition'!J138)</f>
        <v>ECU_swtAirCmprOpertgMod_CAN</v>
      </c>
      <c r="B138" s="9">
        <f t="array" ref="B138">COUNT(FIND("input",$D138:$CD138))</f>
        <v>1</v>
      </c>
      <c r="C138" s="9">
        <f t="array" ref="C138">COUNT(FIND("output",$D138:$CD138))</f>
        <v>1</v>
      </c>
      <c r="D138" s="9"/>
      <c r="E138" s="9"/>
      <c r="F138" s="9"/>
      <c r="G138" s="9"/>
      <c r="H138" s="9"/>
      <c r="I138" s="9"/>
      <c r="J138" s="9" t="s">
        <v>2663</v>
      </c>
      <c r="K138" s="9"/>
      <c r="L138" s="9"/>
      <c r="M138" s="9"/>
      <c r="N138" s="9"/>
      <c r="O138" s="9"/>
      <c r="P138" s="9"/>
      <c r="Q138" s="9"/>
      <c r="R138" s="9"/>
      <c r="S138" s="9"/>
      <c r="T138" s="9" t="s">
        <v>2683</v>
      </c>
      <c r="U138" s="9"/>
      <c r="V138" s="9"/>
      <c r="W138" s="9"/>
      <c r="X138" s="9"/>
      <c r="Y138" s="9"/>
      <c r="Z138" s="9"/>
      <c r="AA138" s="9"/>
      <c r="AB138" s="9"/>
      <c r="AC138" s="9"/>
      <c r="AD138" s="9"/>
      <c r="AE138" s="9"/>
      <c r="AF138" s="9"/>
      <c r="AG138" s="9"/>
      <c r="AH138" s="9"/>
      <c r="AI138" s="9"/>
      <c r="AJ138" s="9"/>
      <c r="AK138" s="9"/>
      <c r="AL138" s="9"/>
      <c r="AM138" s="9"/>
      <c r="AN138" s="9"/>
      <c r="AO138" s="9"/>
      <c r="AP138" s="9"/>
      <c r="AQ138" s="9"/>
      <c r="AR138" s="9"/>
      <c r="AS138" s="9"/>
      <c r="AT138" s="9"/>
      <c r="AU138" s="9"/>
      <c r="AV138" s="9"/>
      <c r="AW138" s="9"/>
      <c r="AX138" s="9"/>
      <c r="AY138" s="9"/>
      <c r="AZ138" s="9"/>
      <c r="BA138" s="9"/>
      <c r="BB138" s="9"/>
      <c r="BC138" s="9"/>
      <c r="BD138" s="9"/>
      <c r="BE138" s="9"/>
      <c r="BF138" s="9"/>
      <c r="BG138" s="9"/>
      <c r="BH138" s="9"/>
      <c r="BI138" s="9"/>
      <c r="BJ138" s="9"/>
      <c r="BK138" s="9"/>
      <c r="BL138" s="9"/>
      <c r="BM138" s="9"/>
      <c r="BN138" s="9"/>
      <c r="BO138" s="9"/>
      <c r="BP138" s="9"/>
      <c r="BQ138" s="9"/>
      <c r="BR138" s="9"/>
    </row>
    <row r="139" spans="1:70" x14ac:dyDescent="0.25">
      <c r="A139" s="9" t="str">
        <f>IF(ISBLANK('Signal Definition'!J139),"",'Signal Definition'!J139)</f>
        <v>AuxCtrl_swtAirCmprOpertgMod_ETK</v>
      </c>
      <c r="B139" s="9">
        <f t="array" ref="B139">COUNT(FIND("input",$D139:$CD139))</f>
        <v>1</v>
      </c>
      <c r="C139" s="9">
        <f t="array" ref="C139">COUNT(FIND("output",$D139:$CD139))</f>
        <v>1</v>
      </c>
      <c r="D139" s="9"/>
      <c r="E139" s="9"/>
      <c r="F139" s="9"/>
      <c r="G139" s="9"/>
      <c r="H139" s="9"/>
      <c r="I139" s="9"/>
      <c r="J139" s="9" t="s">
        <v>2683</v>
      </c>
      <c r="K139" s="9"/>
      <c r="L139" s="9"/>
      <c r="M139" s="9"/>
      <c r="N139" s="9"/>
      <c r="O139" s="9"/>
      <c r="P139" s="9"/>
      <c r="Q139" s="9"/>
      <c r="R139" s="9"/>
      <c r="S139" s="9" t="s">
        <v>2663</v>
      </c>
      <c r="T139" s="9"/>
      <c r="U139" s="9"/>
      <c r="V139" s="9"/>
      <c r="W139" s="9"/>
      <c r="X139" s="9"/>
      <c r="Y139" s="9"/>
      <c r="Z139" s="9"/>
      <c r="AA139" s="9"/>
      <c r="AB139" s="9"/>
      <c r="AC139" s="9"/>
      <c r="AD139" s="9"/>
      <c r="AE139" s="9"/>
      <c r="AF139" s="9"/>
      <c r="AG139" s="9"/>
      <c r="AH139" s="9"/>
      <c r="AI139" s="9"/>
      <c r="AJ139" s="9"/>
      <c r="AK139" s="9"/>
      <c r="AL139" s="9"/>
      <c r="AM139" s="9"/>
      <c r="AN139" s="9"/>
      <c r="AO139" s="9"/>
      <c r="AP139" s="9"/>
      <c r="AQ139" s="9"/>
      <c r="AR139" s="9"/>
      <c r="AS139" s="9"/>
      <c r="AT139" s="9"/>
      <c r="AU139" s="9"/>
      <c r="AV139" s="9"/>
      <c r="AW139" s="9"/>
      <c r="AX139" s="9"/>
      <c r="AY139" s="9"/>
      <c r="AZ139" s="9"/>
      <c r="BA139" s="9"/>
      <c r="BB139" s="9"/>
      <c r="BC139" s="9"/>
      <c r="BD139" s="9"/>
      <c r="BE139" s="9"/>
      <c r="BF139" s="9"/>
      <c r="BG139" s="9"/>
      <c r="BH139" s="9"/>
      <c r="BI139" s="9"/>
      <c r="BJ139" s="9"/>
      <c r="BK139" s="9"/>
      <c r="BL139" s="9"/>
      <c r="BM139" s="9"/>
      <c r="BN139" s="9"/>
      <c r="BO139" s="9"/>
      <c r="BP139" s="9"/>
      <c r="BQ139" s="9"/>
      <c r="BR139" s="9"/>
    </row>
    <row r="140" spans="1:70" x14ac:dyDescent="0.25">
      <c r="A140" s="9" t="str">
        <f>IF(ISBLANK('Signal Definition'!J140),"",'Signal Definition'!J140)</f>
        <v>PnmSys_nAirCmpr_PHY</v>
      </c>
      <c r="B140" s="9">
        <f t="array" ref="B140">COUNT(FIND("input",$D140:$CD140))</f>
        <v>0</v>
      </c>
      <c r="C140" s="9">
        <f t="array" ref="C140">COUNT(FIND("output",$D140:$CD140))</f>
        <v>1</v>
      </c>
      <c r="D140" s="9"/>
      <c r="E140" s="9"/>
      <c r="F140" s="9"/>
      <c r="G140" s="9"/>
      <c r="H140" s="9"/>
      <c r="I140" s="9"/>
      <c r="J140" s="9"/>
      <c r="K140" s="9"/>
      <c r="L140" s="9"/>
      <c r="M140" s="9"/>
      <c r="N140" s="9"/>
      <c r="O140" s="9"/>
      <c r="P140" s="9"/>
      <c r="Q140" s="9"/>
      <c r="R140" s="9"/>
      <c r="S140" s="9"/>
      <c r="T140" s="9" t="s">
        <v>2663</v>
      </c>
      <c r="U140" s="9"/>
      <c r="V140" s="9"/>
      <c r="W140" s="9"/>
      <c r="X140" s="9"/>
      <c r="Y140" s="9"/>
      <c r="Z140" s="9"/>
      <c r="AA140" s="9"/>
      <c r="AB140" s="9"/>
      <c r="AC140" s="9"/>
      <c r="AD140" s="9"/>
      <c r="AE140" s="9"/>
      <c r="AF140" s="9"/>
      <c r="AG140" s="9"/>
      <c r="AH140" s="9"/>
      <c r="AI140" s="9"/>
      <c r="AJ140" s="9"/>
      <c r="AK140" s="9"/>
      <c r="AL140" s="9"/>
      <c r="AM140" s="9"/>
      <c r="AN140" s="9"/>
      <c r="AO140" s="9"/>
      <c r="AP140" s="9"/>
      <c r="AQ140" s="9"/>
      <c r="AR140" s="9"/>
      <c r="AS140" s="9"/>
      <c r="AT140" s="9"/>
      <c r="AU140" s="9"/>
      <c r="AV140" s="9"/>
      <c r="AW140" s="9"/>
      <c r="AX140" s="9"/>
      <c r="AY140" s="9"/>
      <c r="AZ140" s="9"/>
      <c r="BA140" s="9"/>
      <c r="BB140" s="9"/>
      <c r="BC140" s="9"/>
      <c r="BD140" s="9"/>
      <c r="BE140" s="9"/>
      <c r="BF140" s="9"/>
      <c r="BG140" s="9"/>
      <c r="BH140" s="9"/>
      <c r="BI140" s="9"/>
      <c r="BJ140" s="9"/>
      <c r="BK140" s="9"/>
      <c r="BL140" s="9"/>
      <c r="BM140" s="9"/>
      <c r="BN140" s="9"/>
      <c r="BO140" s="9"/>
      <c r="BP140" s="9"/>
      <c r="BQ140" s="9"/>
      <c r="BR140" s="9"/>
    </row>
    <row r="141" spans="1:70" x14ac:dyDescent="0.25">
      <c r="A141" s="9" t="str">
        <f>IF(ISBLANK('Signal Definition'!J141),"",'Signal Definition'!J141)</f>
        <v>CoolgSys_tCooltRadrIn_INT</v>
      </c>
      <c r="B141" s="9">
        <f t="array" ref="B141">COUNT(FIND("input",$D141:$CD141))</f>
        <v>2</v>
      </c>
      <c r="C141" s="9">
        <f t="array" ref="C141">COUNT(FIND("output",$D141:$CD141))</f>
        <v>1</v>
      </c>
      <c r="U141" t="s">
        <v>2663</v>
      </c>
      <c r="W141" t="s">
        <v>2683</v>
      </c>
      <c r="X141" t="s">
        <v>2683</v>
      </c>
      <c r="Z141" s="9"/>
      <c r="AA141" s="9"/>
      <c r="AB141" s="9"/>
      <c r="AC141" s="9"/>
      <c r="AD141" s="9"/>
      <c r="AE141" s="9"/>
      <c r="AF141" s="9"/>
      <c r="AG141" s="9"/>
      <c r="AH141" s="9"/>
      <c r="AI141" s="9"/>
      <c r="AJ141" s="9"/>
      <c r="AK141" s="9"/>
      <c r="AL141" s="9"/>
      <c r="AM141" s="9"/>
      <c r="AN141" s="9"/>
      <c r="AO141" s="9"/>
      <c r="AP141" s="9"/>
      <c r="AQ141" s="9"/>
      <c r="AR141" s="9"/>
      <c r="AS141" s="9"/>
      <c r="AT141" s="9"/>
      <c r="AU141" s="9"/>
      <c r="AV141" s="9"/>
      <c r="AW141" s="9"/>
      <c r="AX141" s="9"/>
      <c r="AY141" s="9"/>
      <c r="AZ141" s="9"/>
      <c r="BA141" s="9"/>
      <c r="BB141" s="9"/>
      <c r="BC141" s="9"/>
      <c r="BD141" s="9"/>
      <c r="BE141" s="9"/>
      <c r="BF141" s="9"/>
      <c r="BG141" s="9"/>
      <c r="BH141" s="9"/>
      <c r="BI141" s="9"/>
      <c r="BJ141" s="9"/>
      <c r="BK141" s="9"/>
      <c r="BL141" s="9"/>
      <c r="BM141" s="9"/>
      <c r="BN141" s="9"/>
      <c r="BO141" s="9"/>
      <c r="BP141" s="9"/>
      <c r="BQ141" s="9"/>
      <c r="BR141" s="9"/>
    </row>
    <row r="142" spans="1:70" x14ac:dyDescent="0.25">
      <c r="A142" s="9" t="str">
        <f>IF(ISBLANK('Signal Definition'!J142),"",'Signal Definition'!J142)</f>
        <v/>
      </c>
      <c r="B142" s="9">
        <f t="array" ref="B142">COUNT(FIND("input",$D142:$CD142))</f>
        <v>0</v>
      </c>
      <c r="C142" s="9">
        <f t="array" ref="C142">COUNT(FIND("output",$D142:$CD142))</f>
        <v>0</v>
      </c>
      <c r="D142" s="9"/>
      <c r="E142" s="9"/>
      <c r="F142" s="9"/>
      <c r="G142" s="9"/>
      <c r="H142" s="9"/>
      <c r="I142" s="9"/>
      <c r="J142" s="9"/>
      <c r="K142" s="9"/>
      <c r="L142" s="9"/>
      <c r="M142" s="9"/>
      <c r="N142" s="9"/>
      <c r="O142" s="9"/>
      <c r="P142" s="9"/>
      <c r="Q142" s="9"/>
      <c r="R142" s="9"/>
      <c r="S142" s="9"/>
      <c r="T142" s="9"/>
      <c r="U142" s="9"/>
      <c r="V142" s="9"/>
      <c r="W142" s="9"/>
      <c r="X142" s="9"/>
      <c r="Y142" s="9"/>
      <c r="Z142" s="9"/>
      <c r="AA142" s="9"/>
      <c r="AB142" s="9"/>
      <c r="AC142" s="9"/>
      <c r="AD142" s="9"/>
      <c r="AE142" s="9"/>
      <c r="AF142" s="9"/>
      <c r="AG142" s="9"/>
      <c r="AH142" s="9"/>
      <c r="AI142" s="9"/>
      <c r="AJ142" s="9"/>
      <c r="AK142" s="9"/>
      <c r="AL142" s="9"/>
      <c r="AM142" s="9"/>
      <c r="AN142" s="9"/>
      <c r="AO142" s="9"/>
      <c r="AP142" s="9"/>
      <c r="AQ142" s="9"/>
      <c r="AR142" s="9"/>
      <c r="AS142" s="9"/>
      <c r="AT142" s="9"/>
      <c r="AU142" s="9"/>
      <c r="AV142" s="9"/>
      <c r="AW142" s="9"/>
      <c r="AX142" s="9"/>
      <c r="AY142" s="9"/>
      <c r="AZ142" s="9"/>
      <c r="BA142" s="9"/>
      <c r="BB142" s="9"/>
      <c r="BC142" s="9"/>
      <c r="BD142" s="9"/>
      <c r="BE142" s="9"/>
      <c r="BF142" s="9"/>
      <c r="BG142" s="9"/>
      <c r="BH142" s="9"/>
      <c r="BI142" s="9"/>
      <c r="BJ142" s="9"/>
      <c r="BK142" s="9"/>
      <c r="BL142" s="9"/>
      <c r="BM142" s="9"/>
      <c r="BN142" s="9"/>
      <c r="BO142" s="9"/>
      <c r="BP142" s="9"/>
      <c r="BQ142" s="9"/>
      <c r="BR142" s="9"/>
    </row>
    <row r="143" spans="1:70" x14ac:dyDescent="0.25">
      <c r="A143" s="9" t="str">
        <f>IF(ISBLANK('Signal Definition'!J143),"",'Signal Definition'!J143)</f>
        <v/>
      </c>
      <c r="B143" s="9">
        <f t="array" ref="B143">COUNT(FIND("input",$D143:$CD143))</f>
        <v>0</v>
      </c>
      <c r="C143" s="9">
        <f t="array" ref="C143">COUNT(FIND("output",$D143:$CD143))</f>
        <v>0</v>
      </c>
      <c r="D143" s="9"/>
      <c r="E143" s="9"/>
      <c r="F143" s="9"/>
      <c r="G143" s="9"/>
      <c r="H143" s="9"/>
      <c r="I143" s="9"/>
      <c r="J143" s="9"/>
      <c r="K143" s="9"/>
      <c r="L143" s="9"/>
      <c r="M143" s="9"/>
      <c r="N143" s="9"/>
      <c r="O143" s="9"/>
      <c r="P143" s="9"/>
      <c r="Q143" s="9"/>
      <c r="R143" s="9"/>
      <c r="S143" s="9"/>
      <c r="T143" s="9"/>
      <c r="U143" s="9"/>
      <c r="V143" s="9"/>
      <c r="W143" s="9"/>
      <c r="X143" s="9"/>
      <c r="Y143" s="9"/>
      <c r="Z143" s="9"/>
      <c r="AA143" s="9"/>
      <c r="AB143" s="9"/>
      <c r="AC143" s="9"/>
      <c r="AD143" s="9"/>
      <c r="AE143" s="9"/>
      <c r="AF143" s="9"/>
      <c r="AG143" s="9"/>
      <c r="AH143" s="9"/>
      <c r="AI143" s="9"/>
      <c r="AJ143" s="9"/>
      <c r="AK143" s="9"/>
      <c r="AL143" s="9"/>
      <c r="AM143" s="9"/>
      <c r="AN143" s="9"/>
      <c r="AO143" s="9"/>
      <c r="AP143" s="9"/>
      <c r="AQ143" s="9"/>
      <c r="AR143" s="9"/>
      <c r="AS143" s="9"/>
      <c r="AT143" s="9"/>
      <c r="AU143" s="9"/>
      <c r="AV143" s="9"/>
      <c r="AW143" s="9"/>
      <c r="AX143" s="9"/>
      <c r="AY143" s="9"/>
      <c r="AZ143" s="9"/>
      <c r="BA143" s="9"/>
      <c r="BB143" s="9"/>
      <c r="BC143" s="9"/>
      <c r="BD143" s="9"/>
      <c r="BE143" s="9"/>
      <c r="BF143" s="9"/>
      <c r="BG143" s="9"/>
      <c r="BH143" s="9"/>
      <c r="BI143" s="9"/>
      <c r="BJ143" s="9"/>
      <c r="BK143" s="9"/>
      <c r="BL143" s="9"/>
      <c r="BM143" s="9"/>
      <c r="BN143" s="9"/>
      <c r="BO143" s="9"/>
      <c r="BP143" s="9"/>
      <c r="BQ143" s="9"/>
      <c r="BR143" s="9"/>
    </row>
    <row r="144" spans="1:70" x14ac:dyDescent="0.25">
      <c r="A144" s="9" t="str">
        <f>IF(ISBLANK('Signal Definition'!J144),"",'Signal Definition'!J144)</f>
        <v/>
      </c>
      <c r="B144" s="9">
        <f t="array" ref="B144">COUNT(FIND("input",$D144:$CD144))</f>
        <v>0</v>
      </c>
      <c r="C144" s="9">
        <f t="array" ref="C144">COUNT(FIND("output",$D144:$CD144))</f>
        <v>0</v>
      </c>
      <c r="D144" s="9"/>
      <c r="E144" s="9"/>
      <c r="F144" s="9"/>
      <c r="G144" s="9"/>
      <c r="H144" s="9"/>
      <c r="I144" s="9"/>
      <c r="J144" s="9"/>
      <c r="K144" s="9"/>
      <c r="L144" s="9"/>
      <c r="M144" s="9"/>
      <c r="N144" s="9"/>
      <c r="O144" s="9"/>
      <c r="P144" s="9"/>
      <c r="Q144" s="9"/>
      <c r="R144" s="9"/>
      <c r="S144" s="9"/>
      <c r="T144" s="9"/>
      <c r="U144" s="9"/>
      <c r="V144" s="9"/>
      <c r="W144" s="9"/>
      <c r="X144" s="9"/>
      <c r="Y144" s="9"/>
      <c r="Z144" s="9"/>
      <c r="AA144" s="9"/>
      <c r="AB144" s="9"/>
      <c r="AC144" s="9"/>
      <c r="AD144" s="9"/>
      <c r="AE144" s="9"/>
      <c r="AF144" s="9"/>
      <c r="AG144" s="9"/>
      <c r="AH144" s="9"/>
      <c r="AI144" s="9"/>
      <c r="AJ144" s="9"/>
      <c r="AK144" s="9"/>
      <c r="AL144" s="9"/>
      <c r="AM144" s="9"/>
      <c r="AN144" s="9"/>
      <c r="AO144" s="9"/>
      <c r="AP144" s="9"/>
      <c r="AQ144" s="9"/>
      <c r="AR144" s="9"/>
      <c r="AS144" s="9"/>
      <c r="AT144" s="9"/>
      <c r="AU144" s="9"/>
      <c r="AV144" s="9"/>
      <c r="AW144" s="9"/>
      <c r="AX144" s="9"/>
      <c r="AY144" s="9"/>
      <c r="AZ144" s="9"/>
      <c r="BA144" s="9"/>
      <c r="BB144" s="9"/>
      <c r="BC144" s="9"/>
      <c r="BD144" s="9"/>
      <c r="BE144" s="9"/>
      <c r="BF144" s="9"/>
      <c r="BG144" s="9"/>
      <c r="BH144" s="9"/>
      <c r="BI144" s="9"/>
      <c r="BJ144" s="9"/>
      <c r="BK144" s="9"/>
      <c r="BL144" s="9"/>
      <c r="BM144" s="9"/>
      <c r="BN144" s="9"/>
      <c r="BO144" s="9"/>
      <c r="BP144" s="9"/>
      <c r="BQ144" s="9"/>
      <c r="BR144" s="9"/>
    </row>
    <row r="145" spans="1:70" x14ac:dyDescent="0.25">
      <c r="A145" s="9" t="str">
        <f>IF(ISBLANK('Signal Definition'!J145),"",'Signal Definition'!J145)</f>
        <v/>
      </c>
      <c r="B145" s="9">
        <f t="array" ref="B145">COUNT(FIND("input",$D145:$CD145))</f>
        <v>0</v>
      </c>
      <c r="C145" s="9">
        <f t="array" ref="C145">COUNT(FIND("output",$D145:$CD145))</f>
        <v>0</v>
      </c>
      <c r="D145" s="9"/>
      <c r="E145" s="9"/>
      <c r="F145" s="9"/>
      <c r="G145" s="9"/>
      <c r="H145" s="9"/>
      <c r="I145" s="9"/>
      <c r="J145" s="9"/>
      <c r="K145" s="9"/>
      <c r="L145" s="9"/>
      <c r="M145" s="9"/>
      <c r="N145" s="9"/>
      <c r="O145" s="9"/>
      <c r="P145" s="9"/>
      <c r="Q145" s="9"/>
      <c r="R145" s="9"/>
      <c r="S145" s="9"/>
      <c r="T145" s="9"/>
      <c r="U145" s="9"/>
      <c r="V145" s="9"/>
      <c r="W145" s="9"/>
      <c r="X145" s="9"/>
      <c r="Y145" s="9"/>
      <c r="Z145" s="9"/>
      <c r="AA145" s="9"/>
      <c r="AB145" s="9"/>
      <c r="AC145" s="9"/>
      <c r="AD145" s="9"/>
      <c r="AE145" s="9"/>
      <c r="AF145" s="9"/>
      <c r="AG145" s="9"/>
      <c r="AH145" s="9"/>
      <c r="AI145" s="9"/>
      <c r="AJ145" s="9"/>
      <c r="AK145" s="9"/>
      <c r="AL145" s="9"/>
      <c r="AM145" s="9"/>
      <c r="AN145" s="9"/>
      <c r="AO145" s="9"/>
      <c r="AP145" s="9"/>
      <c r="AQ145" s="9"/>
      <c r="AR145" s="9"/>
      <c r="AS145" s="9"/>
      <c r="AT145" s="9"/>
      <c r="AU145" s="9"/>
      <c r="AV145" s="9"/>
      <c r="AW145" s="9"/>
      <c r="AX145" s="9"/>
      <c r="AY145" s="9"/>
      <c r="AZ145" s="9"/>
      <c r="BA145" s="9"/>
      <c r="BB145" s="9"/>
      <c r="BC145" s="9"/>
      <c r="BD145" s="9"/>
      <c r="BE145" s="9"/>
      <c r="BF145" s="9"/>
      <c r="BG145" s="9"/>
      <c r="BH145" s="9"/>
      <c r="BI145" s="9"/>
      <c r="BJ145" s="9"/>
      <c r="BK145" s="9"/>
      <c r="BL145" s="9"/>
      <c r="BM145" s="9"/>
      <c r="BN145" s="9"/>
      <c r="BO145" s="9"/>
      <c r="BP145" s="9"/>
      <c r="BQ145" s="9"/>
      <c r="BR145" s="9"/>
    </row>
    <row r="146" spans="1:70" x14ac:dyDescent="0.25">
      <c r="A146" s="9" t="str">
        <f>IF(ISBLANK('Signal Definition'!J146),"",'Signal Definition'!J146)</f>
        <v/>
      </c>
      <c r="B146" s="9">
        <f t="array" ref="B146">COUNT(FIND("input",$D146:$CD146))</f>
        <v>0</v>
      </c>
      <c r="C146" s="9">
        <f t="array" ref="C146">COUNT(FIND("output",$D146:$CD146))</f>
        <v>0</v>
      </c>
      <c r="D146" s="9"/>
      <c r="E146" s="9"/>
      <c r="F146" s="9"/>
      <c r="G146" s="9"/>
      <c r="H146" s="9"/>
      <c r="I146" s="9"/>
      <c r="J146" s="9"/>
      <c r="K146" s="9"/>
      <c r="L146" s="9"/>
      <c r="M146" s="9"/>
      <c r="N146" s="9"/>
      <c r="O146" s="9"/>
      <c r="P146" s="9"/>
      <c r="Q146" s="9"/>
      <c r="R146" s="9"/>
      <c r="S146" s="9"/>
      <c r="T146" s="9"/>
      <c r="U146" s="9"/>
      <c r="V146" s="9"/>
      <c r="W146" s="9"/>
      <c r="X146" s="9"/>
      <c r="Y146" s="9"/>
      <c r="Z146" s="9"/>
      <c r="AA146" s="9"/>
      <c r="AB146" s="9"/>
      <c r="AC146" s="9"/>
      <c r="AD146" s="9"/>
      <c r="AE146" s="9"/>
      <c r="AF146" s="9"/>
      <c r="AG146" s="9"/>
      <c r="AH146" s="9"/>
      <c r="AI146" s="9"/>
      <c r="AJ146" s="9"/>
      <c r="AK146" s="9"/>
      <c r="AL146" s="9"/>
      <c r="AM146" s="9"/>
      <c r="AN146" s="9"/>
      <c r="AO146" s="9"/>
      <c r="AP146" s="9"/>
      <c r="AQ146" s="9"/>
      <c r="AR146" s="9"/>
      <c r="AS146" s="9"/>
      <c r="AT146" s="9"/>
      <c r="AU146" s="9"/>
      <c r="AV146" s="9"/>
      <c r="AW146" s="9"/>
      <c r="AX146" s="9"/>
      <c r="AY146" s="9"/>
      <c r="AZ146" s="9"/>
      <c r="BA146" s="9"/>
      <c r="BB146" s="9"/>
      <c r="BC146" s="9"/>
      <c r="BD146" s="9"/>
      <c r="BE146" s="9"/>
      <c r="BF146" s="9"/>
      <c r="BG146" s="9"/>
      <c r="BH146" s="9"/>
      <c r="BI146" s="9"/>
      <c r="BJ146" s="9"/>
      <c r="BK146" s="9"/>
      <c r="BL146" s="9"/>
      <c r="BM146" s="9"/>
      <c r="BN146" s="9"/>
      <c r="BO146" s="9"/>
      <c r="BP146" s="9"/>
      <c r="BQ146" s="9"/>
      <c r="BR146" s="9"/>
    </row>
    <row r="147" spans="1:70" x14ac:dyDescent="0.25">
      <c r="A147" s="9" t="str">
        <f>IF(ISBLANK('Signal Definition'!J147),"",'Signal Definition'!J147)</f>
        <v/>
      </c>
      <c r="B147" s="9">
        <f t="array" ref="B147">COUNT(FIND("input",$D147:$CD147))</f>
        <v>0</v>
      </c>
      <c r="C147" s="9">
        <f t="array" ref="C147">COUNT(FIND("output",$D147:$CD147))</f>
        <v>0</v>
      </c>
      <c r="D147" s="9"/>
      <c r="E147" s="9"/>
      <c r="F147" s="9"/>
      <c r="G147" s="9"/>
      <c r="H147" s="9"/>
      <c r="I147" s="9"/>
      <c r="J147" s="9"/>
      <c r="K147" s="9"/>
      <c r="L147" s="9"/>
      <c r="M147" s="9"/>
      <c r="N147" s="9"/>
      <c r="O147" s="9"/>
      <c r="P147" s="9"/>
      <c r="Q147" s="9"/>
      <c r="R147" s="9"/>
      <c r="S147" s="9"/>
      <c r="T147" s="9"/>
      <c r="U147" s="9"/>
      <c r="V147" s="9"/>
      <c r="W147" s="9"/>
      <c r="X147" s="9"/>
      <c r="Y147" s="9"/>
      <c r="Z147" s="9"/>
      <c r="AA147" s="9"/>
      <c r="AB147" s="9"/>
      <c r="AC147" s="9"/>
      <c r="AD147" s="9"/>
      <c r="AE147" s="9"/>
      <c r="AF147" s="9"/>
      <c r="AG147" s="9"/>
      <c r="AH147" s="9"/>
      <c r="AI147" s="9"/>
      <c r="AJ147" s="9"/>
      <c r="AK147" s="9"/>
      <c r="AL147" s="9"/>
      <c r="AM147" s="9"/>
      <c r="AN147" s="9"/>
      <c r="AO147" s="9"/>
      <c r="AP147" s="9"/>
      <c r="AQ147" s="9"/>
      <c r="AR147" s="9"/>
      <c r="AS147" s="9"/>
      <c r="AT147" s="9"/>
      <c r="AU147" s="9"/>
      <c r="AV147" s="9"/>
      <c r="AW147" s="9"/>
      <c r="AX147" s="9"/>
      <c r="AY147" s="9"/>
      <c r="AZ147" s="9"/>
      <c r="BA147" s="9"/>
      <c r="BB147" s="9"/>
      <c r="BC147" s="9"/>
      <c r="BD147" s="9"/>
      <c r="BE147" s="9"/>
      <c r="BF147" s="9"/>
      <c r="BG147" s="9"/>
      <c r="BH147" s="9"/>
      <c r="BI147" s="9"/>
      <c r="BJ147" s="9"/>
      <c r="BK147" s="9"/>
      <c r="BL147" s="9"/>
      <c r="BM147" s="9"/>
      <c r="BN147" s="9"/>
      <c r="BO147" s="9"/>
      <c r="BP147" s="9"/>
      <c r="BQ147" s="9"/>
      <c r="BR147" s="9"/>
    </row>
    <row r="148" spans="1:70" x14ac:dyDescent="0.25">
      <c r="A148" s="9" t="str">
        <f>IF(ISBLANK('Signal Definition'!J148),"",'Signal Definition'!J148)</f>
        <v/>
      </c>
      <c r="B148" s="9">
        <f t="array" ref="B148">COUNT(FIND("input",$D148:$CD148))</f>
        <v>0</v>
      </c>
      <c r="C148" s="9">
        <f t="array" ref="C148">COUNT(FIND("output",$D148:$CD148))</f>
        <v>0</v>
      </c>
      <c r="D148" s="9"/>
      <c r="E148" s="9"/>
      <c r="F148" s="9"/>
      <c r="G148" s="9"/>
      <c r="H148" s="9"/>
      <c r="I148" s="9"/>
      <c r="J148" s="9"/>
      <c r="K148" s="9"/>
      <c r="L148" s="9"/>
      <c r="M148" s="9"/>
      <c r="N148" s="9"/>
      <c r="O148" s="9"/>
      <c r="P148" s="9"/>
      <c r="Q148" s="9"/>
      <c r="R148" s="9"/>
      <c r="S148" s="9"/>
      <c r="T148" s="9"/>
      <c r="U148" s="9"/>
      <c r="V148" s="9"/>
      <c r="W148" s="9"/>
      <c r="X148" s="9"/>
      <c r="Y148" s="9"/>
      <c r="Z148" s="9"/>
      <c r="AA148" s="9"/>
      <c r="AB148" s="9"/>
      <c r="AC148" s="9"/>
      <c r="AD148" s="9"/>
      <c r="AE148" s="9"/>
      <c r="AF148" s="9"/>
      <c r="AG148" s="9"/>
      <c r="AH148" s="9"/>
      <c r="AI148" s="9"/>
      <c r="AJ148" s="9"/>
      <c r="AK148" s="9"/>
      <c r="AL148" s="9"/>
      <c r="AM148" s="9"/>
      <c r="AN148" s="9"/>
      <c r="AO148" s="9"/>
      <c r="AP148" s="9"/>
      <c r="AQ148" s="9"/>
      <c r="AR148" s="9"/>
      <c r="AS148" s="9"/>
      <c r="AT148" s="9"/>
      <c r="AU148" s="9"/>
      <c r="AV148" s="9"/>
      <c r="AW148" s="9"/>
      <c r="AX148" s="9"/>
      <c r="AY148" s="9"/>
      <c r="AZ148" s="9"/>
      <c r="BA148" s="9"/>
      <c r="BB148" s="9"/>
      <c r="BC148" s="9"/>
      <c r="BD148" s="9"/>
      <c r="BE148" s="9"/>
      <c r="BF148" s="9"/>
      <c r="BG148" s="9"/>
      <c r="BH148" s="9"/>
      <c r="BI148" s="9"/>
      <c r="BJ148" s="9"/>
      <c r="BK148" s="9"/>
      <c r="BL148" s="9"/>
      <c r="BM148" s="9"/>
      <c r="BN148" s="9"/>
      <c r="BO148" s="9"/>
      <c r="BP148" s="9"/>
      <c r="BQ148" s="9"/>
      <c r="BR148" s="9"/>
    </row>
    <row r="149" spans="1:70" x14ac:dyDescent="0.25">
      <c r="A149" s="9" t="str">
        <f>IF(ISBLANK('Signal Definition'!J149),"",'Signal Definition'!J149)</f>
        <v/>
      </c>
      <c r="B149" s="9">
        <f t="array" ref="B149">COUNT(FIND("input",$D149:$CD149))</f>
        <v>0</v>
      </c>
      <c r="C149" s="9">
        <f t="array" ref="C149">COUNT(FIND("output",$D149:$CD149))</f>
        <v>0</v>
      </c>
      <c r="D149" s="9"/>
      <c r="E149" s="9"/>
      <c r="F149" s="9"/>
      <c r="G149" s="9"/>
      <c r="H149" s="9"/>
      <c r="I149" s="9"/>
      <c r="J149" s="9"/>
      <c r="K149" s="9"/>
      <c r="L149" s="9"/>
      <c r="M149" s="9"/>
      <c r="N149" s="9"/>
      <c r="O149" s="9"/>
      <c r="P149" s="9"/>
      <c r="Q149" s="9"/>
      <c r="R149" s="9"/>
      <c r="S149" s="9"/>
      <c r="T149" s="9"/>
      <c r="U149" s="9"/>
      <c r="V149" s="9"/>
      <c r="W149" s="9"/>
      <c r="X149" s="9"/>
      <c r="Y149" s="9"/>
      <c r="Z149" s="9"/>
      <c r="AA149" s="9"/>
      <c r="AB149" s="9"/>
      <c r="AC149" s="9"/>
      <c r="AD149" s="9"/>
      <c r="AE149" s="9"/>
      <c r="AF149" s="9"/>
      <c r="AG149" s="9"/>
      <c r="AH149" s="9"/>
      <c r="AI149" s="9"/>
      <c r="AJ149" s="9"/>
      <c r="AK149" s="9"/>
      <c r="AL149" s="9"/>
      <c r="AM149" s="9"/>
      <c r="AN149" s="9"/>
      <c r="AO149" s="9"/>
      <c r="AP149" s="9"/>
      <c r="AQ149" s="9"/>
      <c r="AR149" s="9"/>
      <c r="AS149" s="9"/>
      <c r="AT149" s="9"/>
      <c r="AU149" s="9"/>
      <c r="AV149" s="9"/>
      <c r="AW149" s="9"/>
      <c r="AX149" s="9"/>
      <c r="AY149" s="9"/>
      <c r="AZ149" s="9"/>
      <c r="BA149" s="9"/>
      <c r="BB149" s="9"/>
      <c r="BC149" s="9"/>
      <c r="BD149" s="9"/>
      <c r="BE149" s="9"/>
      <c r="BF149" s="9"/>
      <c r="BG149" s="9"/>
      <c r="BH149" s="9"/>
      <c r="BI149" s="9"/>
      <c r="BJ149" s="9"/>
      <c r="BK149" s="9"/>
      <c r="BL149" s="9"/>
      <c r="BM149" s="9"/>
      <c r="BN149" s="9"/>
      <c r="BO149" s="9"/>
      <c r="BP149" s="9"/>
      <c r="BQ149" s="9"/>
      <c r="BR149" s="9"/>
    </row>
    <row r="150" spans="1:70" x14ac:dyDescent="0.25">
      <c r="A150" s="9" t="str">
        <f>IF(ISBLANK('Signal Definition'!J150),"",'Signal Definition'!J150)</f>
        <v/>
      </c>
      <c r="B150" s="9">
        <f t="array" ref="B150">COUNT(FIND("input",$D150:$CD150))</f>
        <v>0</v>
      </c>
      <c r="C150" s="9">
        <f t="array" ref="C150">COUNT(FIND("output",$D150:$CD150))</f>
        <v>0</v>
      </c>
      <c r="D150" s="9"/>
      <c r="E150" s="9"/>
      <c r="F150" s="9"/>
      <c r="G150" s="9"/>
      <c r="H150" s="9"/>
      <c r="I150" s="9"/>
      <c r="J150" s="9"/>
      <c r="K150" s="9"/>
      <c r="L150" s="9"/>
      <c r="M150" s="9"/>
      <c r="N150" s="9"/>
      <c r="O150" s="9"/>
      <c r="P150" s="9"/>
      <c r="Q150" s="9"/>
      <c r="R150" s="9"/>
      <c r="S150" s="9"/>
      <c r="T150" s="9"/>
      <c r="U150" s="9"/>
      <c r="V150" s="9"/>
      <c r="W150" s="9"/>
      <c r="X150" s="9"/>
      <c r="Y150" s="9"/>
      <c r="Z150" s="9"/>
      <c r="AA150" s="9"/>
      <c r="AB150" s="9"/>
      <c r="AC150" s="9"/>
      <c r="AD150" s="9"/>
      <c r="AE150" s="9"/>
      <c r="AF150" s="9"/>
      <c r="AG150" s="9"/>
      <c r="AH150" s="9"/>
      <c r="AI150" s="9"/>
      <c r="AJ150" s="9"/>
      <c r="AK150" s="9"/>
      <c r="AL150" s="9"/>
      <c r="AM150" s="9"/>
      <c r="AN150" s="9"/>
      <c r="AO150" s="9"/>
      <c r="AP150" s="9"/>
      <c r="AQ150" s="9"/>
      <c r="AR150" s="9"/>
      <c r="AS150" s="9"/>
      <c r="AT150" s="9"/>
      <c r="AU150" s="9"/>
      <c r="AV150" s="9"/>
      <c r="AW150" s="9"/>
      <c r="AX150" s="9"/>
      <c r="AY150" s="9"/>
      <c r="AZ150" s="9"/>
      <c r="BA150" s="9"/>
      <c r="BB150" s="9"/>
      <c r="BC150" s="9"/>
      <c r="BD150" s="9"/>
      <c r="BE150" s="9"/>
      <c r="BF150" s="9"/>
      <c r="BG150" s="9"/>
      <c r="BH150" s="9"/>
      <c r="BI150" s="9"/>
      <c r="BJ150" s="9"/>
      <c r="BK150" s="9"/>
      <c r="BL150" s="9"/>
      <c r="BM150" s="9"/>
      <c r="BN150" s="9"/>
      <c r="BO150" s="9"/>
      <c r="BP150" s="9"/>
      <c r="BQ150" s="9"/>
      <c r="BR150" s="9"/>
    </row>
    <row r="151" spans="1:70" x14ac:dyDescent="0.25">
      <c r="A151" s="9" t="str">
        <f>IF(ISBLANK('Signal Definition'!J151),"",'Signal Definition'!J151)</f>
        <v/>
      </c>
      <c r="B151" s="9">
        <f t="array" ref="B151">COUNT(FIND("input",$D151:$CD151))</f>
        <v>0</v>
      </c>
      <c r="C151" s="9">
        <f t="array" ref="C151">COUNT(FIND("output",$D151:$CD151))</f>
        <v>0</v>
      </c>
      <c r="D151" s="9"/>
      <c r="E151" s="9"/>
      <c r="F151" s="9"/>
      <c r="G151" s="9"/>
      <c r="H151" s="9"/>
      <c r="I151" s="9"/>
      <c r="J151" s="9"/>
      <c r="K151" s="9"/>
      <c r="L151" s="9"/>
      <c r="M151" s="9"/>
      <c r="N151" s="9"/>
      <c r="O151" s="9"/>
      <c r="P151" s="9"/>
      <c r="Q151" s="9"/>
      <c r="R151" s="9"/>
      <c r="S151" s="9"/>
      <c r="T151" s="9"/>
      <c r="U151" s="9"/>
      <c r="V151" s="9"/>
      <c r="W151" s="9"/>
      <c r="X151" s="9"/>
      <c r="Y151" s="9"/>
      <c r="Z151" s="9"/>
      <c r="AA151" s="9"/>
      <c r="AB151" s="9"/>
      <c r="AC151" s="9"/>
      <c r="AD151" s="9"/>
      <c r="AE151" s="9"/>
      <c r="AF151" s="9"/>
      <c r="AG151" s="9"/>
      <c r="AH151" s="9"/>
      <c r="AI151" s="9"/>
      <c r="AJ151" s="9"/>
      <c r="AK151" s="9"/>
      <c r="AL151" s="9"/>
      <c r="AM151" s="9"/>
      <c r="AN151" s="9"/>
      <c r="AO151" s="9"/>
      <c r="AP151" s="9"/>
      <c r="AQ151" s="9"/>
      <c r="AR151" s="9"/>
      <c r="AS151" s="9"/>
      <c r="AT151" s="9"/>
      <c r="AU151" s="9"/>
      <c r="AV151" s="9"/>
      <c r="AW151" s="9"/>
      <c r="AX151" s="9"/>
      <c r="AY151" s="9"/>
      <c r="AZ151" s="9"/>
      <c r="BA151" s="9"/>
      <c r="BB151" s="9"/>
      <c r="BC151" s="9"/>
      <c r="BD151" s="9"/>
      <c r="BE151" s="9"/>
      <c r="BF151" s="9"/>
      <c r="BG151" s="9"/>
      <c r="BH151" s="9"/>
      <c r="BI151" s="9"/>
      <c r="BJ151" s="9"/>
      <c r="BK151" s="9"/>
      <c r="BL151" s="9"/>
      <c r="BM151" s="9"/>
      <c r="BN151" s="9"/>
      <c r="BO151" s="9"/>
      <c r="BP151" s="9"/>
      <c r="BQ151" s="9"/>
      <c r="BR151" s="9"/>
    </row>
    <row r="152" spans="1:70" x14ac:dyDescent="0.25">
      <c r="A152" s="9" t="str">
        <f>IF(ISBLANK('Signal Definition'!J152),"",'Signal Definition'!J152)</f>
        <v/>
      </c>
      <c r="B152" s="9">
        <f t="array" ref="B152">COUNT(FIND("input",$D152:$CD152))</f>
        <v>0</v>
      </c>
      <c r="C152" s="9">
        <f t="array" ref="C152">COUNT(FIND("output",$D152:$CD152))</f>
        <v>0</v>
      </c>
      <c r="D152" s="9"/>
      <c r="E152" s="9"/>
      <c r="F152" s="9"/>
      <c r="G152" s="9"/>
      <c r="H152" s="9"/>
      <c r="I152" s="9"/>
      <c r="J152" s="9"/>
      <c r="K152" s="9"/>
      <c r="L152" s="9"/>
      <c r="M152" s="9"/>
      <c r="N152" s="9"/>
      <c r="O152" s="9"/>
      <c r="P152" s="9"/>
      <c r="Q152" s="9"/>
      <c r="R152" s="9"/>
      <c r="S152" s="9"/>
      <c r="T152" s="9"/>
      <c r="U152" s="9"/>
      <c r="V152" s="9"/>
      <c r="W152" s="9"/>
      <c r="X152" s="9"/>
      <c r="Y152" s="9"/>
      <c r="Z152" s="9"/>
      <c r="AA152" s="9"/>
      <c r="AB152" s="9"/>
      <c r="AC152" s="9"/>
      <c r="AD152" s="9"/>
      <c r="AE152" s="9"/>
      <c r="AF152" s="9"/>
      <c r="AG152" s="9"/>
      <c r="AH152" s="9"/>
      <c r="AI152" s="9"/>
      <c r="AJ152" s="9"/>
      <c r="AK152" s="9"/>
      <c r="AL152" s="9"/>
      <c r="AM152" s="9"/>
      <c r="AN152" s="9"/>
      <c r="AO152" s="9"/>
      <c r="AP152" s="9"/>
      <c r="AQ152" s="9"/>
      <c r="AR152" s="9"/>
      <c r="AS152" s="9"/>
      <c r="AT152" s="9"/>
      <c r="AU152" s="9"/>
      <c r="AV152" s="9"/>
      <c r="AW152" s="9"/>
      <c r="AX152" s="9"/>
      <c r="AY152" s="9"/>
      <c r="AZ152" s="9"/>
      <c r="BA152" s="9"/>
      <c r="BB152" s="9"/>
      <c r="BC152" s="9"/>
      <c r="BD152" s="9"/>
      <c r="BE152" s="9"/>
      <c r="BF152" s="9"/>
      <c r="BG152" s="9"/>
      <c r="BH152" s="9"/>
      <c r="BI152" s="9"/>
      <c r="BJ152" s="9"/>
      <c r="BK152" s="9"/>
      <c r="BL152" s="9"/>
      <c r="BM152" s="9"/>
      <c r="BN152" s="9"/>
      <c r="BO152" s="9"/>
      <c r="BP152" s="9"/>
      <c r="BQ152" s="9"/>
      <c r="BR152" s="9"/>
    </row>
    <row r="153" spans="1:70" x14ac:dyDescent="0.25">
      <c r="A153" s="9" t="str">
        <f>IF(ISBLANK('Signal Definition'!J153),"",'Signal Definition'!J153)</f>
        <v/>
      </c>
      <c r="B153" s="9">
        <f t="array" ref="B153">COUNT(FIND("input",$D153:$CD153))</f>
        <v>0</v>
      </c>
      <c r="C153" s="9">
        <f t="array" ref="C153">COUNT(FIND("output",$D153:$CD153))</f>
        <v>0</v>
      </c>
      <c r="D153" s="9"/>
      <c r="E153" s="9"/>
      <c r="F153" s="9"/>
      <c r="G153" s="9"/>
      <c r="H153" s="9"/>
      <c r="I153" s="9"/>
      <c r="J153" s="9"/>
      <c r="K153" s="9"/>
      <c r="L153" s="9"/>
      <c r="M153" s="9"/>
      <c r="N153" s="9"/>
      <c r="O153" s="9"/>
      <c r="P153" s="9"/>
      <c r="Q153" s="9"/>
      <c r="R153" s="9"/>
      <c r="S153" s="9"/>
      <c r="T153" s="9"/>
      <c r="U153" s="9"/>
      <c r="V153" s="9"/>
      <c r="W153" s="9"/>
      <c r="X153" s="9"/>
      <c r="Y153" s="9"/>
      <c r="Z153" s="9"/>
      <c r="AA153" s="9"/>
      <c r="AB153" s="9"/>
      <c r="AC153" s="9"/>
      <c r="AD153" s="9"/>
      <c r="AE153" s="9"/>
      <c r="AF153" s="9"/>
      <c r="AG153" s="9"/>
      <c r="AH153" s="9"/>
      <c r="AI153" s="9"/>
      <c r="AJ153" s="9"/>
      <c r="AK153" s="9"/>
      <c r="AL153" s="9"/>
      <c r="AM153" s="9"/>
      <c r="AN153" s="9"/>
      <c r="AO153" s="9"/>
      <c r="AP153" s="9"/>
      <c r="AQ153" s="9"/>
      <c r="AR153" s="9"/>
      <c r="AS153" s="9"/>
      <c r="AT153" s="9"/>
      <c r="AU153" s="9"/>
      <c r="AV153" s="9"/>
      <c r="AW153" s="9"/>
      <c r="AX153" s="9"/>
      <c r="AY153" s="9"/>
      <c r="AZ153" s="9"/>
      <c r="BA153" s="9"/>
      <c r="BB153" s="9"/>
      <c r="BC153" s="9"/>
      <c r="BD153" s="9"/>
      <c r="BE153" s="9"/>
      <c r="BF153" s="9"/>
      <c r="BG153" s="9"/>
      <c r="BH153" s="9"/>
      <c r="BI153" s="9"/>
      <c r="BJ153" s="9"/>
      <c r="BK153" s="9"/>
      <c r="BL153" s="9"/>
      <c r="BM153" s="9"/>
      <c r="BN153" s="9"/>
      <c r="BO153" s="9"/>
      <c r="BP153" s="9"/>
      <c r="BQ153" s="9"/>
      <c r="BR153" s="9"/>
    </row>
    <row r="154" spans="1:70" x14ac:dyDescent="0.25">
      <c r="A154" s="9" t="str">
        <f>IF(ISBLANK('Signal Definition'!J154),"",'Signal Definition'!J154)</f>
        <v/>
      </c>
      <c r="B154" s="9">
        <f t="array" ref="B154">COUNT(FIND("input",$D154:$CD154))</f>
        <v>0</v>
      </c>
      <c r="C154" s="9">
        <f t="array" ref="C154">COUNT(FIND("output",$D154:$CD154))</f>
        <v>0</v>
      </c>
      <c r="D154" s="9"/>
      <c r="E154" s="9"/>
      <c r="F154" s="9"/>
      <c r="G154" s="9"/>
      <c r="H154" s="9"/>
      <c r="I154" s="9"/>
      <c r="J154" s="9"/>
      <c r="K154" s="9"/>
      <c r="L154" s="9"/>
      <c r="M154" s="9"/>
      <c r="N154" s="9"/>
      <c r="O154" s="9"/>
      <c r="P154" s="9"/>
      <c r="Q154" s="9"/>
      <c r="R154" s="9"/>
      <c r="S154" s="9"/>
      <c r="T154" s="9"/>
      <c r="U154" s="9"/>
      <c r="V154" s="9"/>
      <c r="W154" s="9"/>
      <c r="X154" s="9"/>
      <c r="Y154" s="9"/>
      <c r="Z154" s="9"/>
      <c r="AA154" s="9"/>
      <c r="AB154" s="9"/>
      <c r="AC154" s="9"/>
      <c r="AD154" s="9"/>
      <c r="AE154" s="9"/>
      <c r="AF154" s="9"/>
      <c r="AG154" s="9"/>
      <c r="AH154" s="9"/>
      <c r="AI154" s="9"/>
      <c r="AJ154" s="9"/>
      <c r="AK154" s="9"/>
      <c r="AL154" s="9"/>
      <c r="AM154" s="9"/>
      <c r="AN154" s="9"/>
      <c r="AO154" s="9"/>
      <c r="AP154" s="9"/>
      <c r="AQ154" s="9"/>
      <c r="AR154" s="9"/>
      <c r="AS154" s="9"/>
      <c r="AT154" s="9"/>
      <c r="AU154" s="9"/>
      <c r="AV154" s="9"/>
      <c r="AW154" s="9"/>
      <c r="AX154" s="9"/>
      <c r="AY154" s="9"/>
      <c r="AZ154" s="9"/>
      <c r="BA154" s="9"/>
      <c r="BB154" s="9"/>
      <c r="BC154" s="9"/>
      <c r="BD154" s="9"/>
      <c r="BE154" s="9"/>
      <c r="BF154" s="9"/>
      <c r="BG154" s="9"/>
      <c r="BH154" s="9"/>
      <c r="BI154" s="9"/>
      <c r="BJ154" s="9"/>
      <c r="BK154" s="9"/>
      <c r="BL154" s="9"/>
      <c r="BM154" s="9"/>
      <c r="BN154" s="9"/>
      <c r="BO154" s="9"/>
      <c r="BP154" s="9"/>
      <c r="BQ154" s="9"/>
      <c r="BR154" s="9"/>
    </row>
    <row r="155" spans="1:70" x14ac:dyDescent="0.25">
      <c r="A155" s="9" t="str">
        <f>IF(ISBLANK('Signal Definition'!J155),"",'Signal Definition'!J155)</f>
        <v/>
      </c>
      <c r="B155" s="9">
        <f t="array" ref="B155">COUNT(FIND("input",$D155:$CD155))</f>
        <v>0</v>
      </c>
      <c r="C155" s="9">
        <f t="array" ref="C155">COUNT(FIND("output",$D155:$CD155))</f>
        <v>0</v>
      </c>
      <c r="D155" s="9"/>
      <c r="E155" s="9"/>
      <c r="F155" s="9"/>
      <c r="G155" s="9"/>
      <c r="H155" s="9"/>
      <c r="I155" s="9"/>
      <c r="J155" s="9"/>
      <c r="K155" s="9"/>
      <c r="L155" s="9"/>
      <c r="M155" s="9"/>
      <c r="N155" s="9"/>
      <c r="O155" s="9"/>
      <c r="P155" s="9"/>
      <c r="Q155" s="9"/>
      <c r="R155" s="9"/>
      <c r="S155" s="9"/>
      <c r="T155" s="9"/>
      <c r="U155" s="9"/>
      <c r="V155" s="9"/>
      <c r="W155" s="9"/>
      <c r="X155" s="9"/>
      <c r="Y155" s="9"/>
      <c r="Z155" s="9"/>
      <c r="AA155" s="9"/>
      <c r="AB155" s="9"/>
      <c r="AC155" s="9"/>
      <c r="AD155" s="9"/>
      <c r="AE155" s="9"/>
      <c r="AF155" s="9"/>
      <c r="AG155" s="9"/>
      <c r="AH155" s="9"/>
      <c r="AI155" s="9"/>
      <c r="AJ155" s="9"/>
      <c r="AK155" s="9"/>
      <c r="AL155" s="9"/>
      <c r="AM155" s="9"/>
      <c r="AN155" s="9"/>
      <c r="AO155" s="9"/>
      <c r="AP155" s="9"/>
      <c r="AQ155" s="9"/>
      <c r="AR155" s="9"/>
      <c r="AS155" s="9"/>
      <c r="AT155" s="9"/>
      <c r="AU155" s="9"/>
      <c r="AV155" s="9"/>
      <c r="AW155" s="9"/>
      <c r="AX155" s="9"/>
      <c r="AY155" s="9"/>
      <c r="AZ155" s="9"/>
      <c r="BA155" s="9"/>
      <c r="BB155" s="9"/>
      <c r="BC155" s="9"/>
      <c r="BD155" s="9"/>
      <c r="BE155" s="9"/>
      <c r="BF155" s="9"/>
      <c r="BG155" s="9"/>
      <c r="BH155" s="9"/>
      <c r="BI155" s="9"/>
      <c r="BJ155" s="9"/>
      <c r="BK155" s="9"/>
      <c r="BL155" s="9"/>
      <c r="BM155" s="9"/>
      <c r="BN155" s="9"/>
      <c r="BO155" s="9"/>
      <c r="BP155" s="9"/>
      <c r="BQ155" s="9"/>
      <c r="BR155" s="9"/>
    </row>
    <row r="156" spans="1:70" x14ac:dyDescent="0.25">
      <c r="A156" s="9" t="str">
        <f>IF(ISBLANK('Signal Definition'!J156),"",'Signal Definition'!J156)</f>
        <v/>
      </c>
      <c r="B156" s="9">
        <f t="array" ref="B156">COUNT(FIND("input",$D156:$CD156))</f>
        <v>0</v>
      </c>
      <c r="C156" s="9">
        <f t="array" ref="C156">COUNT(FIND("output",$D156:$CD156))</f>
        <v>0</v>
      </c>
      <c r="D156" s="9"/>
      <c r="E156" s="9"/>
      <c r="F156" s="9"/>
      <c r="G156" s="9"/>
      <c r="H156" s="9"/>
      <c r="I156" s="9"/>
      <c r="J156" s="9"/>
      <c r="K156" s="9"/>
      <c r="L156" s="9"/>
      <c r="M156" s="9"/>
      <c r="N156" s="9"/>
      <c r="O156" s="9"/>
      <c r="P156" s="9"/>
      <c r="Q156" s="9"/>
      <c r="R156" s="9"/>
      <c r="S156" s="9"/>
      <c r="T156" s="9"/>
      <c r="U156" s="9"/>
      <c r="V156" s="9"/>
      <c r="W156" s="9"/>
      <c r="X156" s="9"/>
      <c r="Y156" s="9"/>
      <c r="Z156" s="9"/>
      <c r="AA156" s="9"/>
      <c r="AB156" s="9"/>
      <c r="AC156" s="9"/>
      <c r="AD156" s="9"/>
      <c r="AE156" s="9"/>
      <c r="AF156" s="9"/>
      <c r="AG156" s="9"/>
      <c r="AH156" s="9"/>
      <c r="AI156" s="9"/>
      <c r="AJ156" s="9"/>
      <c r="AK156" s="9"/>
      <c r="AL156" s="9"/>
      <c r="AM156" s="9"/>
      <c r="AN156" s="9"/>
      <c r="AO156" s="9"/>
      <c r="AP156" s="9"/>
      <c r="AQ156" s="9"/>
      <c r="AR156" s="9"/>
      <c r="AS156" s="9"/>
      <c r="AT156" s="9"/>
      <c r="AU156" s="9"/>
      <c r="AV156" s="9"/>
      <c r="AW156" s="9"/>
      <c r="AX156" s="9"/>
      <c r="AY156" s="9"/>
      <c r="AZ156" s="9"/>
      <c r="BA156" s="9"/>
      <c r="BB156" s="9"/>
      <c r="BC156" s="9"/>
      <c r="BD156" s="9"/>
      <c r="BE156" s="9"/>
      <c r="BF156" s="9"/>
      <c r="BG156" s="9"/>
      <c r="BH156" s="9"/>
      <c r="BI156" s="9"/>
      <c r="BJ156" s="9"/>
      <c r="BK156" s="9"/>
      <c r="BL156" s="9"/>
      <c r="BM156" s="9"/>
      <c r="BN156" s="9"/>
      <c r="BO156" s="9"/>
      <c r="BP156" s="9"/>
      <c r="BQ156" s="9"/>
      <c r="BR156" s="9"/>
    </row>
    <row r="157" spans="1:70" x14ac:dyDescent="0.25">
      <c r="A157" s="9" t="str">
        <f>IF(ISBLANK('Signal Definition'!J157),"",'Signal Definition'!J157)</f>
        <v/>
      </c>
      <c r="B157" s="9">
        <f t="array" ref="B157">COUNT(FIND("input",$D157:$CD157))</f>
        <v>0</v>
      </c>
      <c r="C157" s="9">
        <f t="array" ref="C157">COUNT(FIND("output",$D157:$CD157))</f>
        <v>0</v>
      </c>
      <c r="D157" s="9"/>
      <c r="E157" s="9"/>
      <c r="F157" s="9"/>
      <c r="G157" s="9"/>
      <c r="H157" s="9"/>
      <c r="I157" s="9"/>
      <c r="J157" s="9"/>
      <c r="K157" s="9"/>
      <c r="L157" s="9"/>
      <c r="M157" s="9"/>
      <c r="N157" s="9"/>
      <c r="O157" s="9"/>
      <c r="P157" s="9"/>
      <c r="Q157" s="9"/>
      <c r="R157" s="9"/>
      <c r="S157" s="9"/>
      <c r="T157" s="9"/>
      <c r="U157" s="9"/>
      <c r="V157" s="9"/>
      <c r="W157" s="9"/>
      <c r="X157" s="9"/>
      <c r="Y157" s="9"/>
      <c r="Z157" s="9"/>
      <c r="AA157" s="9"/>
      <c r="AB157" s="9"/>
      <c r="AC157" s="9"/>
      <c r="AD157" s="9"/>
      <c r="AE157" s="9"/>
      <c r="AF157" s="9"/>
      <c r="AG157" s="9"/>
      <c r="AH157" s="9"/>
      <c r="AI157" s="9"/>
      <c r="AJ157" s="9"/>
      <c r="AK157" s="9"/>
      <c r="AL157" s="9"/>
      <c r="AM157" s="9"/>
      <c r="AN157" s="9"/>
      <c r="AO157" s="9"/>
      <c r="AP157" s="9"/>
      <c r="AQ157" s="9"/>
      <c r="AR157" s="9"/>
      <c r="AS157" s="9"/>
      <c r="AT157" s="9"/>
      <c r="AU157" s="9"/>
      <c r="AV157" s="9"/>
      <c r="AW157" s="9"/>
      <c r="AX157" s="9"/>
      <c r="AY157" s="9"/>
      <c r="AZ157" s="9"/>
      <c r="BA157" s="9"/>
      <c r="BB157" s="9"/>
      <c r="BC157" s="9"/>
      <c r="BD157" s="9"/>
      <c r="BE157" s="9"/>
      <c r="BF157" s="9"/>
      <c r="BG157" s="9"/>
      <c r="BH157" s="9"/>
      <c r="BI157" s="9"/>
      <c r="BJ157" s="9"/>
      <c r="BK157" s="9"/>
      <c r="BL157" s="9"/>
      <c r="BM157" s="9"/>
      <c r="BN157" s="9"/>
      <c r="BO157" s="9"/>
      <c r="BP157" s="9"/>
      <c r="BQ157" s="9"/>
      <c r="BR157" s="9"/>
    </row>
    <row r="158" spans="1:70" x14ac:dyDescent="0.25">
      <c r="A158" s="9" t="str">
        <f>IF(ISBLANK('Signal Definition'!J158),"",'Signal Definition'!J158)</f>
        <v/>
      </c>
      <c r="B158" s="9">
        <f t="array" ref="B158">COUNT(FIND("input",$D158:$CD158))</f>
        <v>0</v>
      </c>
      <c r="C158" s="9">
        <f t="array" ref="C158">COUNT(FIND("output",$D158:$CD158))</f>
        <v>0</v>
      </c>
      <c r="D158" s="9"/>
      <c r="E158" s="9"/>
      <c r="F158" s="9"/>
      <c r="G158" s="9"/>
      <c r="H158" s="9"/>
      <c r="I158" s="9"/>
      <c r="J158" s="9"/>
      <c r="K158" s="9"/>
      <c r="L158" s="9"/>
      <c r="M158" s="9"/>
      <c r="N158" s="9"/>
      <c r="O158" s="9"/>
      <c r="P158" s="9"/>
      <c r="Q158" s="9"/>
      <c r="R158" s="9"/>
      <c r="S158" s="9"/>
      <c r="T158" s="9"/>
      <c r="U158" s="9"/>
      <c r="V158" s="9"/>
      <c r="W158" s="9"/>
      <c r="X158" s="9"/>
      <c r="Y158" s="9"/>
      <c r="Z158" s="9"/>
      <c r="AA158" s="9"/>
      <c r="AB158" s="9"/>
      <c r="AC158" s="9"/>
      <c r="AD158" s="9"/>
      <c r="AE158" s="9"/>
      <c r="AF158" s="9"/>
      <c r="AG158" s="9"/>
      <c r="AH158" s="9"/>
      <c r="AI158" s="9"/>
      <c r="AJ158" s="9"/>
      <c r="AK158" s="9"/>
      <c r="AL158" s="9"/>
      <c r="AM158" s="9"/>
      <c r="AN158" s="9"/>
      <c r="AO158" s="9"/>
      <c r="AP158" s="9"/>
      <c r="AQ158" s="9"/>
      <c r="AR158" s="9"/>
      <c r="AS158" s="9"/>
      <c r="AT158" s="9"/>
      <c r="AU158" s="9"/>
      <c r="AV158" s="9"/>
      <c r="AW158" s="9"/>
      <c r="AX158" s="9"/>
      <c r="AY158" s="9"/>
      <c r="AZ158" s="9"/>
      <c r="BA158" s="9"/>
      <c r="BB158" s="9"/>
      <c r="BC158" s="9"/>
      <c r="BD158" s="9"/>
      <c r="BE158" s="9"/>
      <c r="BF158" s="9"/>
      <c r="BG158" s="9"/>
      <c r="BH158" s="9"/>
      <c r="BI158" s="9"/>
      <c r="BJ158" s="9"/>
      <c r="BK158" s="9"/>
      <c r="BL158" s="9"/>
      <c r="BM158" s="9"/>
      <c r="BN158" s="9"/>
      <c r="BO158" s="9"/>
      <c r="BP158" s="9"/>
      <c r="BQ158" s="9"/>
      <c r="BR158" s="9"/>
    </row>
    <row r="159" spans="1:70" x14ac:dyDescent="0.25">
      <c r="A159" s="9" t="str">
        <f>IF(ISBLANK('Signal Definition'!J159),"",'Signal Definition'!J159)</f>
        <v/>
      </c>
      <c r="B159" s="9">
        <f t="array" ref="B159">COUNT(FIND("input",$D159:$CD159))</f>
        <v>0</v>
      </c>
      <c r="C159" s="9">
        <f t="array" ref="C159">COUNT(FIND("output",$D159:$CD159))</f>
        <v>0</v>
      </c>
      <c r="D159" s="9"/>
      <c r="E159" s="9"/>
      <c r="F159" s="9"/>
      <c r="G159" s="9"/>
      <c r="H159" s="9"/>
      <c r="I159" s="9"/>
      <c r="J159" s="9"/>
      <c r="K159" s="9"/>
      <c r="L159" s="9"/>
      <c r="M159" s="9"/>
      <c r="N159" s="9"/>
      <c r="O159" s="9"/>
      <c r="P159" s="9"/>
      <c r="Q159" s="9"/>
      <c r="R159" s="9"/>
      <c r="S159" s="9"/>
      <c r="T159" s="9"/>
      <c r="U159" s="9"/>
      <c r="V159" s="9"/>
      <c r="W159" s="9"/>
      <c r="X159" s="9"/>
      <c r="Y159" s="9"/>
      <c r="Z159" s="9"/>
      <c r="AA159" s="9"/>
      <c r="AB159" s="9"/>
      <c r="AC159" s="9"/>
      <c r="AD159" s="9"/>
      <c r="AE159" s="9"/>
      <c r="AF159" s="9"/>
      <c r="AG159" s="9"/>
      <c r="AH159" s="9"/>
      <c r="AI159" s="9"/>
      <c r="AJ159" s="9"/>
      <c r="AK159" s="9"/>
      <c r="AL159" s="9"/>
      <c r="AM159" s="9"/>
      <c r="AN159" s="9"/>
      <c r="AO159" s="9"/>
      <c r="AP159" s="9"/>
      <c r="AQ159" s="9"/>
      <c r="AR159" s="9"/>
      <c r="AS159" s="9"/>
      <c r="AT159" s="9"/>
      <c r="AU159" s="9"/>
      <c r="AV159" s="9"/>
      <c r="AW159" s="9"/>
      <c r="AX159" s="9"/>
      <c r="AY159" s="9"/>
      <c r="AZ159" s="9"/>
      <c r="BA159" s="9"/>
      <c r="BB159" s="9"/>
      <c r="BC159" s="9"/>
      <c r="BD159" s="9"/>
      <c r="BE159" s="9"/>
      <c r="BF159" s="9"/>
      <c r="BG159" s="9"/>
      <c r="BH159" s="9"/>
      <c r="BI159" s="9"/>
      <c r="BJ159" s="9"/>
      <c r="BK159" s="9"/>
      <c r="BL159" s="9"/>
      <c r="BM159" s="9"/>
      <c r="BN159" s="9"/>
      <c r="BO159" s="9"/>
      <c r="BP159" s="9"/>
      <c r="BQ159" s="9"/>
      <c r="BR159" s="9"/>
    </row>
    <row r="160" spans="1:70" x14ac:dyDescent="0.25">
      <c r="A160" s="9" t="str">
        <f>IF(ISBLANK('Signal Definition'!J160),"",'Signal Definition'!J160)</f>
        <v/>
      </c>
      <c r="B160" s="9">
        <f t="array" ref="B160">COUNT(FIND("input",$D160:$CD160))</f>
        <v>0</v>
      </c>
      <c r="C160" s="9">
        <f t="array" ref="C160">COUNT(FIND("output",$D160:$CD160))</f>
        <v>0</v>
      </c>
      <c r="D160" s="9"/>
      <c r="E160" s="9"/>
      <c r="F160" s="9"/>
      <c r="G160" s="9"/>
      <c r="H160" s="9"/>
      <c r="I160" s="9"/>
      <c r="J160" s="9"/>
      <c r="K160" s="9"/>
      <c r="L160" s="9"/>
      <c r="M160" s="9"/>
      <c r="N160" s="9"/>
      <c r="O160" s="9"/>
      <c r="P160" s="9"/>
      <c r="Q160" s="9"/>
      <c r="R160" s="9"/>
      <c r="S160" s="9"/>
      <c r="T160" s="9"/>
      <c r="U160" s="9"/>
      <c r="V160" s="9"/>
      <c r="W160" s="9"/>
      <c r="X160" s="9"/>
      <c r="Y160" s="9"/>
      <c r="Z160" s="9"/>
      <c r="AA160" s="9"/>
      <c r="AB160" s="9"/>
      <c r="AC160" s="9"/>
      <c r="AD160" s="9"/>
      <c r="AE160" s="9"/>
      <c r="AF160" s="9"/>
      <c r="AG160" s="9"/>
      <c r="AH160" s="9"/>
      <c r="AI160" s="9"/>
      <c r="AJ160" s="9"/>
      <c r="AK160" s="9"/>
      <c r="AL160" s="9"/>
      <c r="AM160" s="9"/>
      <c r="AN160" s="9"/>
      <c r="AO160" s="9"/>
      <c r="AP160" s="9"/>
      <c r="AQ160" s="9"/>
      <c r="AR160" s="9"/>
      <c r="AS160" s="9"/>
      <c r="AT160" s="9"/>
      <c r="AU160" s="9"/>
      <c r="AV160" s="9"/>
      <c r="AW160" s="9"/>
      <c r="AX160" s="9"/>
      <c r="AY160" s="9"/>
      <c r="AZ160" s="9"/>
      <c r="BA160" s="9"/>
      <c r="BB160" s="9"/>
      <c r="BC160" s="9"/>
      <c r="BD160" s="9"/>
      <c r="BE160" s="9"/>
      <c r="BF160" s="9"/>
      <c r="BG160" s="9"/>
      <c r="BH160" s="9"/>
      <c r="BI160" s="9"/>
      <c r="BJ160" s="9"/>
      <c r="BK160" s="9"/>
      <c r="BL160" s="9"/>
      <c r="BM160" s="9"/>
      <c r="BN160" s="9"/>
      <c r="BO160" s="9"/>
      <c r="BP160" s="9"/>
      <c r="BQ160" s="9"/>
      <c r="BR160" s="9"/>
    </row>
    <row r="161" spans="1:70" x14ac:dyDescent="0.25">
      <c r="A161" s="9" t="str">
        <f>IF(ISBLANK('Signal Definition'!J161),"",'Signal Definition'!J161)</f>
        <v/>
      </c>
      <c r="B161" s="9">
        <f t="array" ref="B161">COUNT(FIND("input",$D161:$CD161))</f>
        <v>0</v>
      </c>
      <c r="C161" s="9">
        <f t="array" ref="C161">COUNT(FIND("output",$D161:$CD161))</f>
        <v>0</v>
      </c>
      <c r="D161" s="9"/>
      <c r="E161" s="9"/>
      <c r="F161" s="9"/>
      <c r="G161" s="9"/>
      <c r="H161" s="9"/>
      <c r="I161" s="9"/>
      <c r="J161" s="9"/>
      <c r="K161" s="9"/>
      <c r="L161" s="9"/>
      <c r="M161" s="9"/>
      <c r="N161" s="9"/>
      <c r="O161" s="9"/>
      <c r="P161" s="9"/>
      <c r="Q161" s="9"/>
      <c r="R161" s="9"/>
      <c r="S161" s="9"/>
      <c r="T161" s="9"/>
      <c r="U161" s="9"/>
      <c r="V161" s="9"/>
      <c r="W161" s="9"/>
      <c r="X161" s="9"/>
      <c r="Y161" s="9"/>
      <c r="Z161" s="9"/>
      <c r="AA161" s="9"/>
      <c r="AB161" s="9"/>
      <c r="AC161" s="9"/>
      <c r="AD161" s="9"/>
      <c r="AE161" s="9"/>
      <c r="AF161" s="9"/>
      <c r="AG161" s="9"/>
      <c r="AH161" s="9"/>
      <c r="AI161" s="9"/>
      <c r="AJ161" s="9"/>
      <c r="AK161" s="9"/>
      <c r="AL161" s="9"/>
      <c r="AM161" s="9"/>
      <c r="AN161" s="9"/>
      <c r="AO161" s="9"/>
      <c r="AP161" s="9"/>
      <c r="AQ161" s="9"/>
      <c r="AR161" s="9"/>
      <c r="AS161" s="9"/>
      <c r="AT161" s="9"/>
      <c r="AU161" s="9"/>
      <c r="AV161" s="9"/>
      <c r="AW161" s="9"/>
      <c r="AX161" s="9"/>
      <c r="AY161" s="9"/>
      <c r="AZ161" s="9"/>
      <c r="BA161" s="9"/>
      <c r="BB161" s="9"/>
      <c r="BC161" s="9"/>
      <c r="BD161" s="9"/>
      <c r="BE161" s="9"/>
      <c r="BF161" s="9"/>
      <c r="BG161" s="9"/>
      <c r="BH161" s="9"/>
      <c r="BI161" s="9"/>
      <c r="BJ161" s="9"/>
      <c r="BK161" s="9"/>
      <c r="BL161" s="9"/>
      <c r="BM161" s="9"/>
      <c r="BN161" s="9"/>
      <c r="BO161" s="9"/>
      <c r="BP161" s="9"/>
      <c r="BQ161" s="9"/>
      <c r="BR161" s="9"/>
    </row>
    <row r="162" spans="1:70" x14ac:dyDescent="0.25">
      <c r="A162" s="9" t="str">
        <f>IF(ISBLANK('Signal Definition'!J162),"",'Signal Definition'!J162)</f>
        <v/>
      </c>
      <c r="B162" s="9">
        <f t="array" ref="B162">COUNT(FIND("input",$D162:$CD162))</f>
        <v>0</v>
      </c>
      <c r="C162" s="9">
        <f t="array" ref="C162">COUNT(FIND("output",$D162:$CD162))</f>
        <v>0</v>
      </c>
      <c r="D162" s="9"/>
      <c r="E162" s="9"/>
      <c r="F162" s="9"/>
      <c r="G162" s="9"/>
      <c r="H162" s="9"/>
      <c r="I162" s="9"/>
      <c r="J162" s="9"/>
      <c r="K162" s="9"/>
      <c r="L162" s="9"/>
      <c r="M162" s="9"/>
      <c r="N162" s="9"/>
      <c r="O162" s="9"/>
      <c r="P162" s="9"/>
      <c r="Q162" s="9"/>
      <c r="R162" s="9"/>
      <c r="S162" s="9"/>
      <c r="T162" s="9"/>
      <c r="U162" s="9"/>
      <c r="V162" s="9"/>
      <c r="W162" s="9"/>
      <c r="X162" s="9"/>
      <c r="Y162" s="9"/>
      <c r="Z162" s="9"/>
      <c r="AA162" s="9"/>
      <c r="AB162" s="9"/>
      <c r="AC162" s="9"/>
      <c r="AD162" s="9"/>
      <c r="AE162" s="9"/>
      <c r="AF162" s="9"/>
      <c r="AG162" s="9"/>
      <c r="AH162" s="9"/>
      <c r="AI162" s="9"/>
      <c r="AJ162" s="9"/>
      <c r="AK162" s="9"/>
      <c r="AL162" s="9"/>
      <c r="AM162" s="9"/>
      <c r="AN162" s="9"/>
      <c r="AO162" s="9"/>
      <c r="AP162" s="9"/>
      <c r="AQ162" s="9"/>
      <c r="AR162" s="9"/>
      <c r="AS162" s="9"/>
      <c r="AT162" s="9"/>
      <c r="AU162" s="9"/>
      <c r="AV162" s="9"/>
      <c r="AW162" s="9"/>
      <c r="AX162" s="9"/>
      <c r="AY162" s="9"/>
      <c r="AZ162" s="9"/>
      <c r="BA162" s="9"/>
      <c r="BB162" s="9"/>
      <c r="BC162" s="9"/>
      <c r="BD162" s="9"/>
      <c r="BE162" s="9"/>
      <c r="BF162" s="9"/>
      <c r="BG162" s="9"/>
      <c r="BH162" s="9"/>
      <c r="BI162" s="9"/>
      <c r="BJ162" s="9"/>
      <c r="BK162" s="9"/>
      <c r="BL162" s="9"/>
      <c r="BM162" s="9"/>
      <c r="BN162" s="9"/>
      <c r="BO162" s="9"/>
      <c r="BP162" s="9"/>
      <c r="BQ162" s="9"/>
      <c r="BR162" s="9"/>
    </row>
    <row r="163" spans="1:70" x14ac:dyDescent="0.25">
      <c r="A163" s="9" t="str">
        <f>IF(ISBLANK('Signal Definition'!J163),"",'Signal Definition'!J163)</f>
        <v/>
      </c>
      <c r="B163" s="9">
        <f t="array" ref="B163">COUNT(FIND("input",$D163:$CD163))</f>
        <v>0</v>
      </c>
      <c r="C163" s="9">
        <f t="array" ref="C163">COUNT(FIND("output",$D163:$CD163))</f>
        <v>0</v>
      </c>
      <c r="D163" s="9"/>
      <c r="E163" s="9"/>
      <c r="F163" s="9"/>
      <c r="G163" s="9"/>
      <c r="H163" s="9"/>
      <c r="I163" s="9"/>
      <c r="J163" s="9"/>
      <c r="K163" s="9"/>
      <c r="L163" s="9"/>
      <c r="M163" s="9"/>
      <c r="N163" s="9"/>
      <c r="O163" s="9"/>
      <c r="P163" s="9"/>
      <c r="Q163" s="9"/>
      <c r="R163" s="9"/>
      <c r="S163" s="9"/>
      <c r="T163" s="9"/>
      <c r="U163" s="9"/>
      <c r="V163" s="9"/>
      <c r="W163" s="9"/>
      <c r="X163" s="9"/>
      <c r="Y163" s="9"/>
      <c r="Z163" s="9"/>
      <c r="AA163" s="9"/>
      <c r="AB163" s="9"/>
      <c r="AC163" s="9"/>
      <c r="AD163" s="9"/>
      <c r="AE163" s="9"/>
      <c r="AF163" s="9"/>
      <c r="AG163" s="9"/>
      <c r="AH163" s="9"/>
      <c r="AI163" s="9"/>
      <c r="AJ163" s="9"/>
      <c r="AK163" s="9"/>
      <c r="AL163" s="9"/>
      <c r="AM163" s="9"/>
      <c r="AN163" s="9"/>
      <c r="AO163" s="9"/>
      <c r="AP163" s="9"/>
      <c r="AQ163" s="9"/>
      <c r="AR163" s="9"/>
      <c r="AS163" s="9"/>
      <c r="AT163" s="9"/>
      <c r="AU163" s="9"/>
      <c r="AV163" s="9"/>
      <c r="AW163" s="9"/>
      <c r="AX163" s="9"/>
      <c r="AY163" s="9"/>
      <c r="AZ163" s="9"/>
      <c r="BA163" s="9"/>
      <c r="BB163" s="9"/>
      <c r="BC163" s="9"/>
      <c r="BD163" s="9"/>
      <c r="BE163" s="9"/>
      <c r="BF163" s="9"/>
      <c r="BG163" s="9"/>
      <c r="BH163" s="9"/>
      <c r="BI163" s="9"/>
      <c r="BJ163" s="9"/>
      <c r="BK163" s="9"/>
      <c r="BL163" s="9"/>
      <c r="BM163" s="9"/>
      <c r="BN163" s="9"/>
      <c r="BO163" s="9"/>
      <c r="BP163" s="9"/>
      <c r="BQ163" s="9"/>
      <c r="BR163" s="9"/>
    </row>
    <row r="164" spans="1:70" x14ac:dyDescent="0.25">
      <c r="A164" s="9" t="str">
        <f>IF(ISBLANK('Signal Definition'!J164),"",'Signal Definition'!J164)</f>
        <v/>
      </c>
      <c r="B164" s="9">
        <f t="array" ref="B164">COUNT(FIND("input",$D164:$CD164))</f>
        <v>0</v>
      </c>
      <c r="C164" s="9">
        <f t="array" ref="C164">COUNT(FIND("output",$D164:$CD164))</f>
        <v>0</v>
      </c>
      <c r="D164" s="9"/>
      <c r="E164" s="9"/>
      <c r="F164" s="9"/>
      <c r="G164" s="9"/>
      <c r="H164" s="9"/>
      <c r="I164" s="9"/>
      <c r="J164" s="9"/>
      <c r="K164" s="9"/>
      <c r="L164" s="9"/>
      <c r="M164" s="9"/>
      <c r="N164" s="9"/>
      <c r="O164" s="9"/>
      <c r="P164" s="9"/>
      <c r="Q164" s="9"/>
      <c r="R164" s="9"/>
      <c r="S164" s="9"/>
      <c r="T164" s="9"/>
      <c r="U164" s="9"/>
      <c r="V164" s="9"/>
      <c r="W164" s="9"/>
      <c r="X164" s="9"/>
      <c r="Y164" s="9"/>
      <c r="Z164" s="9"/>
      <c r="AA164" s="9"/>
      <c r="AB164" s="9"/>
      <c r="AC164" s="9"/>
      <c r="AD164" s="9"/>
      <c r="AE164" s="9"/>
      <c r="AF164" s="9"/>
      <c r="AG164" s="9"/>
      <c r="AH164" s="9"/>
      <c r="AI164" s="9"/>
      <c r="AJ164" s="9"/>
      <c r="AK164" s="9"/>
      <c r="AL164" s="9"/>
      <c r="AM164" s="9"/>
      <c r="AN164" s="9"/>
      <c r="AO164" s="9"/>
      <c r="AP164" s="9"/>
      <c r="AQ164" s="9"/>
      <c r="AR164" s="9"/>
      <c r="AS164" s="9"/>
      <c r="AT164" s="9"/>
      <c r="AU164" s="9"/>
      <c r="AV164" s="9"/>
      <c r="AW164" s="9"/>
      <c r="AX164" s="9"/>
      <c r="AY164" s="9"/>
      <c r="AZ164" s="9"/>
      <c r="BA164" s="9"/>
      <c r="BB164" s="9"/>
      <c r="BC164" s="9"/>
      <c r="BD164" s="9"/>
      <c r="BE164" s="9"/>
      <c r="BF164" s="9"/>
      <c r="BG164" s="9"/>
      <c r="BH164" s="9"/>
      <c r="BI164" s="9"/>
      <c r="BJ164" s="9"/>
      <c r="BK164" s="9"/>
      <c r="BL164" s="9"/>
      <c r="BM164" s="9"/>
      <c r="BN164" s="9"/>
      <c r="BO164" s="9"/>
      <c r="BP164" s="9"/>
      <c r="BQ164" s="9"/>
      <c r="BR164" s="9"/>
    </row>
    <row r="165" spans="1:70" x14ac:dyDescent="0.25">
      <c r="A165" s="9" t="str">
        <f>IF(ISBLANK('Signal Definition'!J165),"",'Signal Definition'!J165)</f>
        <v/>
      </c>
      <c r="B165" s="9">
        <f t="array" ref="B165">COUNT(FIND("input",$D165:$CD165))</f>
        <v>0</v>
      </c>
      <c r="C165" s="9">
        <f t="array" ref="C165">COUNT(FIND("output",$D165:$CD165))</f>
        <v>0</v>
      </c>
      <c r="D165" s="9"/>
      <c r="E165" s="9"/>
      <c r="F165" s="9"/>
      <c r="G165" s="9"/>
      <c r="H165" s="9"/>
      <c r="I165" s="9"/>
      <c r="J165" s="9"/>
      <c r="K165" s="9"/>
      <c r="L165" s="9"/>
      <c r="M165" s="9"/>
      <c r="N165" s="9"/>
      <c r="O165" s="9"/>
      <c r="P165" s="9"/>
      <c r="Q165" s="9"/>
      <c r="R165" s="9"/>
      <c r="S165" s="9"/>
      <c r="T165" s="9"/>
      <c r="U165" s="9"/>
      <c r="V165" s="9"/>
      <c r="W165" s="9"/>
      <c r="X165" s="9"/>
      <c r="Y165" s="9"/>
      <c r="Z165" s="9"/>
      <c r="AA165" s="9"/>
      <c r="AB165" s="9"/>
      <c r="AC165" s="9"/>
      <c r="AD165" s="9"/>
      <c r="AE165" s="9"/>
      <c r="AF165" s="9"/>
      <c r="AG165" s="9"/>
      <c r="AH165" s="9"/>
      <c r="AI165" s="9"/>
      <c r="AJ165" s="9"/>
      <c r="AK165" s="9"/>
      <c r="AL165" s="9"/>
      <c r="AM165" s="9"/>
      <c r="AN165" s="9"/>
      <c r="AO165" s="9"/>
      <c r="AP165" s="9"/>
      <c r="AQ165" s="9"/>
      <c r="AR165" s="9"/>
      <c r="AS165" s="9"/>
      <c r="AT165" s="9"/>
      <c r="AU165" s="9"/>
      <c r="AV165" s="9"/>
      <c r="AW165" s="9"/>
      <c r="AX165" s="9"/>
      <c r="AY165" s="9"/>
      <c r="AZ165" s="9"/>
      <c r="BA165" s="9"/>
      <c r="BB165" s="9"/>
      <c r="BC165" s="9"/>
      <c r="BD165" s="9"/>
      <c r="BE165" s="9"/>
      <c r="BF165" s="9"/>
      <c r="BG165" s="9"/>
      <c r="BH165" s="9"/>
      <c r="BI165" s="9"/>
      <c r="BJ165" s="9"/>
      <c r="BK165" s="9"/>
      <c r="BL165" s="9"/>
      <c r="BM165" s="9"/>
      <c r="BN165" s="9"/>
      <c r="BO165" s="9"/>
      <c r="BP165" s="9"/>
      <c r="BQ165" s="9"/>
      <c r="BR165" s="9"/>
    </row>
    <row r="166" spans="1:70" x14ac:dyDescent="0.25">
      <c r="A166" s="9" t="str">
        <f>IF(ISBLANK('Signal Definition'!J166),"",'Signal Definition'!J166)</f>
        <v/>
      </c>
      <c r="B166" s="9">
        <f t="array" ref="B166">COUNT(FIND("input",$D166:$CD166))</f>
        <v>0</v>
      </c>
      <c r="C166" s="9">
        <f t="array" ref="C166">COUNT(FIND("output",$D166:$CD166))</f>
        <v>0</v>
      </c>
      <c r="D166" s="9"/>
      <c r="E166" s="9"/>
      <c r="F166" s="9"/>
      <c r="G166" s="9"/>
      <c r="H166" s="9"/>
      <c r="I166" s="9"/>
      <c r="J166" s="9"/>
      <c r="K166" s="9"/>
      <c r="L166" s="9"/>
      <c r="M166" s="9"/>
      <c r="N166" s="9"/>
      <c r="O166" s="9"/>
      <c r="P166" s="9"/>
      <c r="Q166" s="9"/>
      <c r="R166" s="9"/>
      <c r="S166" s="9"/>
      <c r="T166" s="9"/>
      <c r="U166" s="9"/>
      <c r="V166" s="9"/>
      <c r="W166" s="9"/>
      <c r="X166" s="9"/>
      <c r="Y166" s="9"/>
      <c r="Z166" s="9"/>
      <c r="AA166" s="9"/>
      <c r="AB166" s="9"/>
      <c r="AC166" s="9"/>
      <c r="AD166" s="9"/>
      <c r="AE166" s="9"/>
      <c r="AF166" s="9"/>
      <c r="AG166" s="9"/>
      <c r="AH166" s="9"/>
      <c r="AI166" s="9"/>
      <c r="AJ166" s="9"/>
      <c r="AK166" s="9"/>
      <c r="AL166" s="9"/>
      <c r="AM166" s="9"/>
      <c r="AN166" s="9"/>
      <c r="AO166" s="9"/>
      <c r="AP166" s="9"/>
      <c r="AQ166" s="9"/>
      <c r="AR166" s="9"/>
      <c r="AS166" s="9"/>
      <c r="AT166" s="9"/>
      <c r="AU166" s="9"/>
      <c r="AV166" s="9"/>
      <c r="AW166" s="9"/>
      <c r="AX166" s="9"/>
      <c r="AY166" s="9"/>
      <c r="AZ166" s="9"/>
      <c r="BA166" s="9"/>
      <c r="BB166" s="9"/>
      <c r="BC166" s="9"/>
      <c r="BD166" s="9"/>
      <c r="BE166" s="9"/>
      <c r="BF166" s="9"/>
      <c r="BG166" s="9"/>
      <c r="BH166" s="9"/>
      <c r="BI166" s="9"/>
      <c r="BJ166" s="9"/>
      <c r="BK166" s="9"/>
      <c r="BL166" s="9"/>
      <c r="BM166" s="9"/>
      <c r="BN166" s="9"/>
      <c r="BO166" s="9"/>
      <c r="BP166" s="9"/>
      <c r="BQ166" s="9"/>
      <c r="BR166" s="9"/>
    </row>
    <row r="167" spans="1:70" x14ac:dyDescent="0.25">
      <c r="A167" s="9" t="str">
        <f>IF(ISBLANK('Signal Definition'!J167),"",'Signal Definition'!J167)</f>
        <v/>
      </c>
      <c r="B167" s="9">
        <f t="array" ref="B167">COUNT(FIND("input",$D167:$CD167))</f>
        <v>0</v>
      </c>
      <c r="C167" s="9">
        <f t="array" ref="C167">COUNT(FIND("output",$D167:$CD167))</f>
        <v>0</v>
      </c>
      <c r="D167" s="9"/>
      <c r="E167" s="9"/>
      <c r="F167" s="9"/>
      <c r="G167" s="9"/>
      <c r="H167" s="9"/>
      <c r="I167" s="9"/>
      <c r="J167" s="9"/>
      <c r="K167" s="9"/>
      <c r="L167" s="9"/>
      <c r="M167" s="9"/>
      <c r="N167" s="9"/>
      <c r="O167" s="9"/>
      <c r="P167" s="9"/>
      <c r="Q167" s="9"/>
      <c r="R167" s="9"/>
      <c r="S167" s="9"/>
      <c r="T167" s="9"/>
      <c r="U167" s="9"/>
      <c r="V167" s="9"/>
      <c r="W167" s="9"/>
      <c r="X167" s="9"/>
      <c r="Y167" s="9"/>
      <c r="Z167" s="9"/>
      <c r="AA167" s="9"/>
      <c r="AB167" s="9"/>
      <c r="AC167" s="9"/>
      <c r="AD167" s="9"/>
      <c r="AE167" s="9"/>
      <c r="AF167" s="9"/>
      <c r="AG167" s="9"/>
      <c r="AH167" s="9"/>
      <c r="AI167" s="9"/>
      <c r="AJ167" s="9"/>
      <c r="AK167" s="9"/>
      <c r="AL167" s="9"/>
      <c r="AM167" s="9"/>
      <c r="AN167" s="9"/>
      <c r="AO167" s="9"/>
      <c r="AP167" s="9"/>
      <c r="AQ167" s="9"/>
      <c r="AR167" s="9"/>
      <c r="AS167" s="9"/>
      <c r="AT167" s="9"/>
      <c r="AU167" s="9"/>
      <c r="AV167" s="9"/>
      <c r="AW167" s="9"/>
      <c r="AX167" s="9"/>
      <c r="AY167" s="9"/>
      <c r="AZ167" s="9"/>
      <c r="BA167" s="9"/>
      <c r="BB167" s="9"/>
      <c r="BC167" s="9"/>
      <c r="BD167" s="9"/>
      <c r="BE167" s="9"/>
      <c r="BF167" s="9"/>
      <c r="BG167" s="9"/>
      <c r="BH167" s="9"/>
      <c r="BI167" s="9"/>
      <c r="BJ167" s="9"/>
      <c r="BK167" s="9"/>
      <c r="BL167" s="9"/>
      <c r="BM167" s="9"/>
      <c r="BN167" s="9"/>
      <c r="BO167" s="9"/>
      <c r="BP167" s="9"/>
      <c r="BQ167" s="9"/>
      <c r="BR167" s="9"/>
    </row>
    <row r="168" spans="1:70" x14ac:dyDescent="0.25">
      <c r="A168" s="9" t="str">
        <f>IF(ISBLANK('Signal Definition'!J168),"",'Signal Definition'!J168)</f>
        <v/>
      </c>
      <c r="B168" s="9">
        <f t="array" ref="B168">COUNT(FIND("input",$D168:$CD168))</f>
        <v>0</v>
      </c>
      <c r="C168" s="9">
        <f t="array" ref="C168">COUNT(FIND("output",$D168:$CD168))</f>
        <v>0</v>
      </c>
      <c r="D168" s="9"/>
      <c r="E168" s="9"/>
      <c r="F168" s="9"/>
      <c r="G168" s="9"/>
      <c r="H168" s="9"/>
      <c r="I168" s="9"/>
      <c r="J168" s="9"/>
      <c r="K168" s="9"/>
      <c r="L168" s="9"/>
      <c r="M168" s="9"/>
      <c r="N168" s="9"/>
      <c r="O168" s="9"/>
      <c r="P168" s="9"/>
      <c r="Q168" s="9"/>
      <c r="R168" s="9"/>
      <c r="S168" s="9"/>
      <c r="T168" s="9"/>
      <c r="U168" s="9"/>
      <c r="V168" s="9"/>
      <c r="W168" s="9"/>
      <c r="X168" s="9"/>
      <c r="Y168" s="9"/>
      <c r="Z168" s="9"/>
      <c r="AA168" s="9"/>
      <c r="AB168" s="9"/>
      <c r="AC168" s="9"/>
      <c r="AD168" s="9"/>
      <c r="AE168" s="9"/>
      <c r="AF168" s="9"/>
      <c r="AG168" s="9"/>
      <c r="AH168" s="9"/>
      <c r="AI168" s="9"/>
      <c r="AJ168" s="9"/>
      <c r="AK168" s="9"/>
      <c r="AL168" s="9"/>
      <c r="AM168" s="9"/>
      <c r="AN168" s="9"/>
      <c r="AO168" s="9"/>
      <c r="AP168" s="9"/>
      <c r="AQ168" s="9"/>
      <c r="AR168" s="9"/>
      <c r="AS168" s="9"/>
      <c r="AT168" s="9"/>
      <c r="AU168" s="9"/>
      <c r="AV168" s="9"/>
      <c r="AW168" s="9"/>
      <c r="AX168" s="9"/>
      <c r="AY168" s="9"/>
      <c r="AZ168" s="9"/>
      <c r="BA168" s="9"/>
      <c r="BB168" s="9"/>
      <c r="BC168" s="9"/>
      <c r="BD168" s="9"/>
      <c r="BE168" s="9"/>
      <c r="BF168" s="9"/>
      <c r="BG168" s="9"/>
      <c r="BH168" s="9"/>
      <c r="BI168" s="9"/>
      <c r="BJ168" s="9"/>
      <c r="BK168" s="9"/>
      <c r="BL168" s="9"/>
      <c r="BM168" s="9"/>
      <c r="BN168" s="9"/>
      <c r="BO168" s="9"/>
      <c r="BP168" s="9"/>
      <c r="BQ168" s="9"/>
      <c r="BR168" s="9"/>
    </row>
    <row r="169" spans="1:70" x14ac:dyDescent="0.25">
      <c r="A169" s="9" t="str">
        <f>IF(ISBLANK('Signal Definition'!J169),"",'Signal Definition'!J169)</f>
        <v/>
      </c>
      <c r="B169" s="9">
        <f t="array" ref="B169">COUNT(FIND("input",$D169:$CD169))</f>
        <v>0</v>
      </c>
      <c r="C169" s="9">
        <f t="array" ref="C169">COUNT(FIND("output",$D169:$CD169))</f>
        <v>0</v>
      </c>
      <c r="D169" s="9"/>
      <c r="E169" s="9"/>
      <c r="F169" s="9"/>
      <c r="G169" s="9"/>
      <c r="H169" s="9"/>
      <c r="I169" s="9"/>
      <c r="J169" s="9"/>
      <c r="K169" s="9"/>
      <c r="L169" s="9"/>
      <c r="M169" s="9"/>
      <c r="N169" s="9"/>
      <c r="O169" s="9"/>
      <c r="P169" s="9"/>
      <c r="Q169" s="9"/>
      <c r="R169" s="9"/>
      <c r="S169" s="9"/>
      <c r="T169" s="9"/>
      <c r="U169" s="9"/>
      <c r="V169" s="9"/>
      <c r="W169" s="9"/>
      <c r="X169" s="9"/>
      <c r="Y169" s="9"/>
      <c r="Z169" s="9"/>
      <c r="AA169" s="9"/>
      <c r="AB169" s="9"/>
      <c r="AC169" s="9"/>
      <c r="AD169" s="9"/>
      <c r="AE169" s="9"/>
      <c r="AF169" s="9"/>
      <c r="AG169" s="9"/>
      <c r="AH169" s="9"/>
      <c r="AI169" s="9"/>
      <c r="AJ169" s="9"/>
      <c r="AK169" s="9"/>
      <c r="AL169" s="9"/>
      <c r="AM169" s="9"/>
      <c r="AN169" s="9"/>
      <c r="AO169" s="9"/>
      <c r="AP169" s="9"/>
      <c r="AQ169" s="9"/>
      <c r="AR169" s="9"/>
      <c r="AS169" s="9"/>
      <c r="AT169" s="9"/>
      <c r="AU169" s="9"/>
      <c r="AV169" s="9"/>
      <c r="AW169" s="9"/>
      <c r="AX169" s="9"/>
      <c r="AY169" s="9"/>
      <c r="AZ169" s="9"/>
      <c r="BA169" s="9"/>
      <c r="BB169" s="9"/>
      <c r="BC169" s="9"/>
      <c r="BD169" s="9"/>
      <c r="BE169" s="9"/>
      <c r="BF169" s="9"/>
      <c r="BG169" s="9"/>
      <c r="BH169" s="9"/>
      <c r="BI169" s="9"/>
      <c r="BJ169" s="9"/>
      <c r="BK169" s="9"/>
      <c r="BL169" s="9"/>
      <c r="BM169" s="9"/>
      <c r="BN169" s="9"/>
      <c r="BO169" s="9"/>
      <c r="BP169" s="9"/>
      <c r="BQ169" s="9"/>
      <c r="BR169" s="9"/>
    </row>
    <row r="170" spans="1:70" x14ac:dyDescent="0.25">
      <c r="A170" s="9" t="str">
        <f>IF(ISBLANK('Signal Definition'!J170),"",'Signal Definition'!J170)</f>
        <v/>
      </c>
      <c r="B170" s="9">
        <f t="array" ref="B170">COUNT(FIND("input",$D170:$CD170))</f>
        <v>0</v>
      </c>
      <c r="C170" s="9">
        <f t="array" ref="C170">COUNT(FIND("output",$D170:$CD170))</f>
        <v>0</v>
      </c>
      <c r="D170" s="9"/>
      <c r="E170" s="9"/>
      <c r="F170" s="9"/>
      <c r="G170" s="9"/>
      <c r="H170" s="9"/>
      <c r="I170" s="9"/>
      <c r="J170" s="9"/>
      <c r="K170" s="9"/>
      <c r="L170" s="9"/>
      <c r="M170" s="9"/>
      <c r="N170" s="9"/>
      <c r="O170" s="9"/>
      <c r="P170" s="9"/>
      <c r="Q170" s="9"/>
      <c r="R170" s="9"/>
      <c r="S170" s="9"/>
      <c r="T170" s="9"/>
      <c r="U170" s="9"/>
      <c r="V170" s="9"/>
      <c r="W170" s="9"/>
      <c r="X170" s="9"/>
      <c r="Y170" s="9"/>
      <c r="Z170" s="9"/>
      <c r="AA170" s="9"/>
      <c r="AB170" s="9"/>
      <c r="AC170" s="9"/>
      <c r="AD170" s="9"/>
      <c r="AE170" s="9"/>
      <c r="AF170" s="9"/>
      <c r="AG170" s="9"/>
      <c r="AH170" s="9"/>
      <c r="AI170" s="9"/>
      <c r="AJ170" s="9"/>
      <c r="AK170" s="9"/>
      <c r="AL170" s="9"/>
      <c r="AM170" s="9"/>
      <c r="AN170" s="9"/>
      <c r="AO170" s="9"/>
      <c r="AP170" s="9"/>
      <c r="AQ170" s="9"/>
      <c r="AR170" s="9"/>
      <c r="AS170" s="9"/>
      <c r="AT170" s="9"/>
      <c r="AU170" s="9"/>
      <c r="AV170" s="9"/>
      <c r="AW170" s="9"/>
      <c r="AX170" s="9"/>
      <c r="AY170" s="9"/>
      <c r="AZ170" s="9"/>
      <c r="BA170" s="9"/>
      <c r="BB170" s="9"/>
      <c r="BC170" s="9"/>
      <c r="BD170" s="9"/>
      <c r="BE170" s="9"/>
      <c r="BF170" s="9"/>
      <c r="BG170" s="9"/>
      <c r="BH170" s="9"/>
      <c r="BI170" s="9"/>
      <c r="BJ170" s="9"/>
      <c r="BK170" s="9"/>
      <c r="BL170" s="9"/>
      <c r="BM170" s="9"/>
      <c r="BN170" s="9"/>
      <c r="BO170" s="9"/>
      <c r="BP170" s="9"/>
      <c r="BQ170" s="9"/>
      <c r="BR170" s="9"/>
    </row>
    <row r="171" spans="1:70" x14ac:dyDescent="0.25">
      <c r="A171" s="9" t="str">
        <f>IF(ISBLANK('Signal Definition'!J171),"",'Signal Definition'!J171)</f>
        <v/>
      </c>
      <c r="B171" s="9">
        <f t="array" ref="B171">COUNT(FIND("input",$D171:$CD171))</f>
        <v>0</v>
      </c>
      <c r="C171" s="9">
        <f t="array" ref="C171">COUNT(FIND("output",$D171:$CD171))</f>
        <v>0</v>
      </c>
      <c r="D171" s="9"/>
      <c r="E171" s="9"/>
      <c r="F171" s="9"/>
      <c r="G171" s="9"/>
      <c r="H171" s="9"/>
      <c r="I171" s="9"/>
      <c r="J171" s="9"/>
      <c r="K171" s="9"/>
      <c r="L171" s="9"/>
      <c r="M171" s="9"/>
      <c r="N171" s="9"/>
      <c r="O171" s="9"/>
      <c r="P171" s="9"/>
      <c r="Q171" s="9"/>
      <c r="R171" s="9"/>
      <c r="S171" s="9"/>
      <c r="T171" s="9"/>
      <c r="U171" s="9"/>
      <c r="V171" s="9"/>
      <c r="W171" s="9"/>
      <c r="X171" s="9"/>
      <c r="Y171" s="9"/>
      <c r="Z171" s="9"/>
      <c r="AA171" s="9"/>
      <c r="AB171" s="9"/>
      <c r="AC171" s="9"/>
      <c r="AD171" s="9"/>
      <c r="AE171" s="9"/>
      <c r="AF171" s="9"/>
      <c r="AG171" s="9"/>
      <c r="AH171" s="9"/>
      <c r="AI171" s="9"/>
      <c r="AJ171" s="9"/>
      <c r="AK171" s="9"/>
      <c r="AL171" s="9"/>
      <c r="AM171" s="9"/>
      <c r="AN171" s="9"/>
      <c r="AO171" s="9"/>
      <c r="AP171" s="9"/>
      <c r="AQ171" s="9"/>
      <c r="AR171" s="9"/>
      <c r="AS171" s="9"/>
      <c r="AT171" s="9"/>
      <c r="AU171" s="9"/>
      <c r="AV171" s="9"/>
      <c r="AW171" s="9"/>
      <c r="AX171" s="9"/>
      <c r="AY171" s="9"/>
      <c r="AZ171" s="9"/>
      <c r="BA171" s="9"/>
      <c r="BB171" s="9"/>
      <c r="BC171" s="9"/>
      <c r="BD171" s="9"/>
      <c r="BE171" s="9"/>
      <c r="BF171" s="9"/>
      <c r="BG171" s="9"/>
      <c r="BH171" s="9"/>
      <c r="BI171" s="9"/>
      <c r="BJ171" s="9"/>
      <c r="BK171" s="9"/>
      <c r="BL171" s="9"/>
      <c r="BM171" s="9"/>
      <c r="BN171" s="9"/>
      <c r="BO171" s="9"/>
      <c r="BP171" s="9"/>
      <c r="BQ171" s="9"/>
      <c r="BR171" s="9"/>
    </row>
    <row r="172" spans="1:70" x14ac:dyDescent="0.25">
      <c r="A172" s="9" t="str">
        <f>IF(ISBLANK('Signal Definition'!J172),"",'Signal Definition'!J172)</f>
        <v/>
      </c>
      <c r="B172" s="9">
        <f t="array" ref="B172">COUNT(FIND("input",$D172:$CD172))</f>
        <v>0</v>
      </c>
      <c r="C172" s="9">
        <f t="array" ref="C172">COUNT(FIND("output",$D172:$CD172))</f>
        <v>0</v>
      </c>
      <c r="D172" s="9"/>
      <c r="E172" s="9"/>
      <c r="F172" s="9"/>
      <c r="G172" s="9"/>
      <c r="H172" s="9"/>
      <c r="I172" s="9"/>
      <c r="J172" s="9"/>
      <c r="K172" s="9"/>
      <c r="L172" s="9"/>
      <c r="M172" s="9"/>
      <c r="N172" s="9"/>
      <c r="O172" s="9"/>
      <c r="P172" s="9"/>
      <c r="Q172" s="9"/>
      <c r="R172" s="9"/>
      <c r="S172" s="9"/>
      <c r="T172" s="9"/>
      <c r="U172" s="9"/>
      <c r="V172" s="9"/>
      <c r="W172" s="9"/>
      <c r="X172" s="9"/>
      <c r="Y172" s="9"/>
      <c r="Z172" s="9"/>
      <c r="AA172" s="9"/>
      <c r="AB172" s="9"/>
      <c r="AC172" s="9"/>
      <c r="AD172" s="9"/>
      <c r="AE172" s="9"/>
      <c r="AF172" s="9"/>
      <c r="AG172" s="9"/>
      <c r="AH172" s="9"/>
      <c r="AI172" s="9"/>
      <c r="AJ172" s="9"/>
      <c r="AK172" s="9"/>
      <c r="AL172" s="9"/>
      <c r="AM172" s="9"/>
      <c r="AN172" s="9"/>
      <c r="AO172" s="9"/>
      <c r="AP172" s="9"/>
      <c r="AQ172" s="9"/>
      <c r="AR172" s="9"/>
      <c r="AS172" s="9"/>
      <c r="AT172" s="9"/>
      <c r="AU172" s="9"/>
      <c r="AV172" s="9"/>
      <c r="AW172" s="9"/>
      <c r="AX172" s="9"/>
      <c r="AY172" s="9"/>
      <c r="AZ172" s="9"/>
      <c r="BA172" s="9"/>
      <c r="BB172" s="9"/>
      <c r="BC172" s="9"/>
      <c r="BD172" s="9"/>
      <c r="BE172" s="9"/>
      <c r="BF172" s="9"/>
      <c r="BG172" s="9"/>
      <c r="BH172" s="9"/>
      <c r="BI172" s="9"/>
      <c r="BJ172" s="9"/>
      <c r="BK172" s="9"/>
      <c r="BL172" s="9"/>
      <c r="BM172" s="9"/>
      <c r="BN172" s="9"/>
      <c r="BO172" s="9"/>
      <c r="BP172" s="9"/>
      <c r="BQ172" s="9"/>
      <c r="BR172" s="9"/>
    </row>
    <row r="173" spans="1:70" x14ac:dyDescent="0.25">
      <c r="A173" s="9" t="str">
        <f>IF(ISBLANK('Signal Definition'!J173),"",'Signal Definition'!J173)</f>
        <v/>
      </c>
      <c r="B173" s="9">
        <f t="array" ref="B173">COUNT(FIND("input",$D173:$CD173))</f>
        <v>0</v>
      </c>
      <c r="C173" s="9">
        <f t="array" ref="C173">COUNT(FIND("output",$D173:$CD173))</f>
        <v>0</v>
      </c>
    </row>
    <row r="174" spans="1:70" x14ac:dyDescent="0.25">
      <c r="A174" s="9" t="str">
        <f>IF(ISBLANK('Signal Definition'!J174),"",'Signal Definition'!J174)</f>
        <v/>
      </c>
      <c r="B174" s="9">
        <f t="array" ref="B174">COUNT(FIND("input",$D174:$CD174))</f>
        <v>0</v>
      </c>
      <c r="C174" s="9">
        <f t="array" ref="C174">COUNT(FIND("output",$D174:$CD174))</f>
        <v>0</v>
      </c>
    </row>
    <row r="175" spans="1:70" x14ac:dyDescent="0.25">
      <c r="A175" s="9" t="str">
        <f>IF(ISBLANK('Signal Definition'!J175),"",'Signal Definition'!J175)</f>
        <v/>
      </c>
      <c r="B175" s="9">
        <f t="array" ref="B175">COUNT(FIND("input",$D175:$CD175))</f>
        <v>0</v>
      </c>
      <c r="C175" s="9">
        <f t="array" ref="C175">COUNT(FIND("output",$D175:$CD175))</f>
        <v>0</v>
      </c>
    </row>
    <row r="176" spans="1:70" x14ac:dyDescent="0.25">
      <c r="A176" s="9" t="str">
        <f>IF(ISBLANK('Signal Definition'!J176),"",'Signal Definition'!J176)</f>
        <v/>
      </c>
      <c r="B176" s="9">
        <f t="array" ref="B176">COUNT(FIND("input",$D176:$CD176))</f>
        <v>0</v>
      </c>
      <c r="C176" s="9">
        <f t="array" ref="C176">COUNT(FIND("output",$D176:$CD176))</f>
        <v>0</v>
      </c>
    </row>
    <row r="177" spans="1:3" x14ac:dyDescent="0.25">
      <c r="A177" s="9" t="str">
        <f>IF(ISBLANK('Signal Definition'!J177),"",'Signal Definition'!J177)</f>
        <v/>
      </c>
      <c r="B177" s="9">
        <f t="array" ref="B177">COUNT(FIND("input",$D177:$CD177))</f>
        <v>0</v>
      </c>
      <c r="C177" s="9">
        <f t="array" ref="C177">COUNT(FIND("output",$D177:$CD177))</f>
        <v>0</v>
      </c>
    </row>
    <row r="178" spans="1:3" x14ac:dyDescent="0.25">
      <c r="A178" s="9" t="str">
        <f>IF(ISBLANK('Signal Definition'!J178),"",'Signal Definition'!J178)</f>
        <v/>
      </c>
      <c r="B178" s="9">
        <f t="array" ref="B178">COUNT(FIND("input",$D178:$CD178))</f>
        <v>0</v>
      </c>
      <c r="C178" s="9">
        <f t="array" ref="C178">COUNT(FIND("output",$D178:$CD178))</f>
        <v>0</v>
      </c>
    </row>
    <row r="179" spans="1:3" x14ac:dyDescent="0.25">
      <c r="A179" s="9" t="str">
        <f>IF(ISBLANK('Signal Definition'!J179),"",'Signal Definition'!J179)</f>
        <v/>
      </c>
      <c r="B179" s="9">
        <f t="array" ref="B179">COUNT(FIND("input",$D179:$CD179))</f>
        <v>0</v>
      </c>
      <c r="C179" s="9">
        <f t="array" ref="C179">COUNT(FIND("output",$D179:$CD179))</f>
        <v>0</v>
      </c>
    </row>
    <row r="180" spans="1:3" x14ac:dyDescent="0.25">
      <c r="A180" s="9" t="str">
        <f>IF(ISBLANK('Signal Definition'!J180),"",'Signal Definition'!J180)</f>
        <v/>
      </c>
      <c r="B180" s="9">
        <f t="array" ref="B180">COUNT(FIND("input",$D180:$CD180))</f>
        <v>0</v>
      </c>
      <c r="C180" s="9">
        <f t="array" ref="C180">COUNT(FIND("output",$D180:$CD180))</f>
        <v>0</v>
      </c>
    </row>
    <row r="181" spans="1:3" x14ac:dyDescent="0.25">
      <c r="A181" s="9" t="str">
        <f>IF(ISBLANK('Signal Definition'!J181),"",'Signal Definition'!J181)</f>
        <v/>
      </c>
      <c r="B181" s="9">
        <f t="array" ref="B181">COUNT(FIND("input",$D181:$CD181))</f>
        <v>0</v>
      </c>
      <c r="C181" s="9">
        <f t="array" ref="C181">COUNT(FIND("output",$D181:$CD181))</f>
        <v>0</v>
      </c>
    </row>
    <row r="182" spans="1:3" x14ac:dyDescent="0.25">
      <c r="A182" s="9" t="str">
        <f>IF(ISBLANK('Signal Definition'!J182),"",'Signal Definition'!J182)</f>
        <v/>
      </c>
      <c r="B182" s="9">
        <f t="array" ref="B182">COUNT(FIND("input",$D182:$CD182))</f>
        <v>0</v>
      </c>
      <c r="C182" s="9">
        <f t="array" ref="C182">COUNT(FIND("output",$D182:$CD182))</f>
        <v>0</v>
      </c>
    </row>
    <row r="183" spans="1:3" x14ac:dyDescent="0.25">
      <c r="A183" s="9" t="str">
        <f>IF(ISBLANK('Signal Definition'!J183),"",'Signal Definition'!J183)</f>
        <v/>
      </c>
      <c r="B183" s="9">
        <f t="array" ref="B183">COUNT(FIND("input",$D183:$CD183))</f>
        <v>0</v>
      </c>
      <c r="C183" s="9">
        <f t="array" ref="C183">COUNT(FIND("output",$D183:$CD183))</f>
        <v>0</v>
      </c>
    </row>
    <row r="184" spans="1:3" x14ac:dyDescent="0.25">
      <c r="A184" s="9" t="str">
        <f>IF(ISBLANK('Signal Definition'!J184),"",'Signal Definition'!J184)</f>
        <v/>
      </c>
      <c r="B184" s="9">
        <f t="array" ref="B184">COUNT(FIND("input",$D184:$CD184))</f>
        <v>0</v>
      </c>
      <c r="C184" s="9">
        <f t="array" ref="C184">COUNT(FIND("output",$D184:$CD184))</f>
        <v>0</v>
      </c>
    </row>
    <row r="185" spans="1:3" x14ac:dyDescent="0.25">
      <c r="A185" s="9" t="str">
        <f>IF(ISBLANK('Signal Definition'!J185),"",'Signal Definition'!J185)</f>
        <v/>
      </c>
      <c r="B185" s="9">
        <f t="array" ref="B185">COUNT(FIND("input",$D185:$CD185))</f>
        <v>0</v>
      </c>
      <c r="C185" s="9">
        <f t="array" ref="C185">COUNT(FIND("output",$D185:$CD185))</f>
        <v>0</v>
      </c>
    </row>
    <row r="186" spans="1:3" x14ac:dyDescent="0.25">
      <c r="A186" s="9" t="str">
        <f>IF(ISBLANK('Signal Definition'!J186),"",'Signal Definition'!J186)</f>
        <v/>
      </c>
      <c r="B186" s="9">
        <f t="array" ref="B186">COUNT(FIND("input",$D186:$CD186))</f>
        <v>0</v>
      </c>
      <c r="C186" s="9">
        <f t="array" ref="C186">COUNT(FIND("output",$D186:$CD186))</f>
        <v>0</v>
      </c>
    </row>
    <row r="187" spans="1:3" x14ac:dyDescent="0.25">
      <c r="A187" s="9" t="str">
        <f>IF(ISBLANK('Signal Definition'!J187),"",'Signal Definition'!J187)</f>
        <v/>
      </c>
      <c r="B187" s="9">
        <f t="array" ref="B187">COUNT(FIND("input",$D187:$CD187))</f>
        <v>0</v>
      </c>
      <c r="C187" s="9">
        <f t="array" ref="C187">COUNT(FIND("output",$D187:$CD187))</f>
        <v>0</v>
      </c>
    </row>
    <row r="188" spans="1:3" x14ac:dyDescent="0.25">
      <c r="A188" s="9" t="str">
        <f>IF(ISBLANK('Signal Definition'!J188),"",'Signal Definition'!J188)</f>
        <v/>
      </c>
      <c r="B188" s="9">
        <f t="array" ref="B188">COUNT(FIND("input",$D188:$CD188))</f>
        <v>0</v>
      </c>
      <c r="C188" s="9">
        <f t="array" ref="C188">COUNT(FIND("output",$D188:$CD188))</f>
        <v>0</v>
      </c>
    </row>
    <row r="189" spans="1:3" x14ac:dyDescent="0.25">
      <c r="A189" s="9" t="str">
        <f>IF(ISBLANK('Signal Definition'!J189),"",'Signal Definition'!J189)</f>
        <v/>
      </c>
      <c r="B189" s="9">
        <f t="array" ref="B189">COUNT(FIND("input",$D189:$CD189))</f>
        <v>0</v>
      </c>
      <c r="C189" s="9">
        <f t="array" ref="C189">COUNT(FIND("output",$D189:$CD189))</f>
        <v>0</v>
      </c>
    </row>
    <row r="190" spans="1:3" x14ac:dyDescent="0.25">
      <c r="A190" s="9" t="str">
        <f>IF(ISBLANK('Signal Definition'!J190),"",'Signal Definition'!J190)</f>
        <v/>
      </c>
      <c r="B190" s="9">
        <f t="array" ref="B190">COUNT(FIND("input",$D190:$CD190))</f>
        <v>0</v>
      </c>
      <c r="C190" s="9">
        <f t="array" ref="C190">COUNT(FIND("output",$D190:$CD190))</f>
        <v>0</v>
      </c>
    </row>
    <row r="191" spans="1:3" x14ac:dyDescent="0.25">
      <c r="A191" s="9" t="str">
        <f>IF(ISBLANK('Signal Definition'!J191),"",'Signal Definition'!J191)</f>
        <v/>
      </c>
      <c r="B191" s="9">
        <f t="array" ref="B191">COUNT(FIND("input",$D191:$CD191))</f>
        <v>0</v>
      </c>
      <c r="C191" s="9">
        <f t="array" ref="C191">COUNT(FIND("output",$D191:$CD191))</f>
        <v>0</v>
      </c>
    </row>
    <row r="192" spans="1:3" x14ac:dyDescent="0.25">
      <c r="A192" s="9" t="str">
        <f>IF(ISBLANK('Signal Definition'!J192),"",'Signal Definition'!J192)</f>
        <v/>
      </c>
      <c r="B192" s="9">
        <f t="array" ref="B192">COUNT(FIND("input",$D192:$CD192))</f>
        <v>0</v>
      </c>
      <c r="C192" s="9">
        <f t="array" ref="C192">COUNT(FIND("output",$D192:$CD192))</f>
        <v>0</v>
      </c>
    </row>
    <row r="193" spans="1:3" x14ac:dyDescent="0.25">
      <c r="A193" s="9" t="str">
        <f>IF(ISBLANK('Signal Definition'!J193),"",'Signal Definition'!J193)</f>
        <v/>
      </c>
      <c r="B193" s="9">
        <f t="array" ref="B193">COUNT(FIND("input",$D193:$CD193))</f>
        <v>0</v>
      </c>
      <c r="C193" s="9">
        <f t="array" ref="C193">COUNT(FIND("output",$D193:$CD193))</f>
        <v>0</v>
      </c>
    </row>
    <row r="194" spans="1:3" x14ac:dyDescent="0.25">
      <c r="A194" s="9" t="str">
        <f>IF(ISBLANK('Signal Definition'!J194),"",'Signal Definition'!J194)</f>
        <v/>
      </c>
      <c r="B194" s="9">
        <f t="array" ref="B194">COUNT(FIND("input",$D194:$CD194))</f>
        <v>0</v>
      </c>
      <c r="C194" s="9">
        <f t="array" ref="C194">COUNT(FIND("output",$D194:$CD194))</f>
        <v>0</v>
      </c>
    </row>
    <row r="195" spans="1:3" x14ac:dyDescent="0.25">
      <c r="A195" s="9" t="str">
        <f>IF(ISBLANK('Signal Definition'!J195),"",'Signal Definition'!J195)</f>
        <v/>
      </c>
      <c r="B195" s="9">
        <f t="array" ref="B195">COUNT(FIND("input",$D195:$CD195))</f>
        <v>0</v>
      </c>
      <c r="C195" s="9">
        <f t="array" ref="C195">COUNT(FIND("output",$D195:$CD195))</f>
        <v>0</v>
      </c>
    </row>
    <row r="196" spans="1:3" x14ac:dyDescent="0.25">
      <c r="A196" s="9" t="str">
        <f>IF(ISBLANK('Signal Definition'!J196),"",'Signal Definition'!J196)</f>
        <v/>
      </c>
      <c r="B196" s="9">
        <f t="array" ref="B196">COUNT(FIND("input",$D196:$CD196))</f>
        <v>0</v>
      </c>
      <c r="C196" s="9">
        <f t="array" ref="C196">COUNT(FIND("output",$D196:$CD196))</f>
        <v>0</v>
      </c>
    </row>
    <row r="197" spans="1:3" x14ac:dyDescent="0.25">
      <c r="A197" s="9" t="str">
        <f>IF(ISBLANK('Signal Definition'!J197),"",'Signal Definition'!J197)</f>
        <v/>
      </c>
      <c r="B197" s="9">
        <f t="array" ref="B197">COUNT(FIND("input",$D197:$CD197))</f>
        <v>0</v>
      </c>
      <c r="C197" s="9">
        <f t="array" ref="C197">COUNT(FIND("output",$D197:$CD197))</f>
        <v>0</v>
      </c>
    </row>
    <row r="198" spans="1:3" x14ac:dyDescent="0.25">
      <c r="A198" s="9" t="str">
        <f>IF(ISBLANK('Signal Definition'!J198),"",'Signal Definition'!J198)</f>
        <v/>
      </c>
      <c r="B198" s="9">
        <f t="array" ref="B198">COUNT(FIND("input",$D198:$CD198))</f>
        <v>0</v>
      </c>
      <c r="C198" s="9">
        <f t="array" ref="C198">COUNT(FIND("output",$D198:$CD198))</f>
        <v>0</v>
      </c>
    </row>
    <row r="199" spans="1:3" x14ac:dyDescent="0.25">
      <c r="A199" s="9" t="str">
        <f>IF(ISBLANK('Signal Definition'!J199),"",'Signal Definition'!J199)</f>
        <v/>
      </c>
      <c r="B199" s="9">
        <f t="array" ref="B199">COUNT(FIND("input",$D199:$CD199))</f>
        <v>0</v>
      </c>
      <c r="C199" s="9">
        <f t="array" ref="C199">COUNT(FIND("output",$D199:$CD199))</f>
        <v>0</v>
      </c>
    </row>
    <row r="200" spans="1:3" x14ac:dyDescent="0.25">
      <c r="A200" s="9" t="str">
        <f>IF(ISBLANK('Signal Definition'!J200),"",'Signal Definition'!J200)</f>
        <v/>
      </c>
      <c r="B200" s="9">
        <f t="array" ref="B200">COUNT(FIND("input",$D200:$CD200))</f>
        <v>0</v>
      </c>
      <c r="C200" s="9">
        <f t="array" ref="C200">COUNT(FIND("output",$D200:$CD200))</f>
        <v>0</v>
      </c>
    </row>
    <row r="201" spans="1:3" x14ac:dyDescent="0.25">
      <c r="A201" s="9" t="str">
        <f>IF(ISBLANK('Signal Definition'!J201),"",'Signal Definition'!J201)</f>
        <v/>
      </c>
      <c r="B201" s="9">
        <f t="array" ref="B201">COUNT(FIND("input",$D201:$CD201))</f>
        <v>0</v>
      </c>
      <c r="C201" s="9">
        <f t="array" ref="C201">COUNT(FIND("output",$D201:$CD201))</f>
        <v>0</v>
      </c>
    </row>
    <row r="202" spans="1:3" x14ac:dyDescent="0.25">
      <c r="A202" s="9" t="str">
        <f>IF(ISBLANK('Signal Definition'!J202),"",'Signal Definition'!J202)</f>
        <v/>
      </c>
      <c r="B202" s="9">
        <f t="array" ref="B202">COUNT(FIND("input",$D202:$CD202))</f>
        <v>0</v>
      </c>
      <c r="C202" s="9">
        <f t="array" ref="C202">COUNT(FIND("output",$D202:$CD202))</f>
        <v>0</v>
      </c>
    </row>
    <row r="203" spans="1:3" x14ac:dyDescent="0.25">
      <c r="A203" s="9" t="str">
        <f>IF(ISBLANK('Signal Definition'!J203),"",'Signal Definition'!J203)</f>
        <v/>
      </c>
      <c r="B203" s="9">
        <f t="array" ref="B203">COUNT(FIND("input",$D203:$CD203))</f>
        <v>0</v>
      </c>
      <c r="C203" s="9">
        <f t="array" ref="C203">COUNT(FIND("output",$D203:$CD203))</f>
        <v>0</v>
      </c>
    </row>
    <row r="204" spans="1:3" x14ac:dyDescent="0.25">
      <c r="A204" s="9" t="str">
        <f>IF(ISBLANK('Signal Definition'!J204),"",'Signal Definition'!J204)</f>
        <v/>
      </c>
      <c r="B204" s="9">
        <f t="array" ref="B204">COUNT(FIND("input",$D204:$CD204))</f>
        <v>0</v>
      </c>
      <c r="C204" s="9">
        <f t="array" ref="C204">COUNT(FIND("output",$D204:$CD204))</f>
        <v>0</v>
      </c>
    </row>
    <row r="205" spans="1:3" x14ac:dyDescent="0.25">
      <c r="A205" s="9" t="str">
        <f>IF(ISBLANK('Signal Definition'!J205),"",'Signal Definition'!J205)</f>
        <v/>
      </c>
      <c r="B205" s="9">
        <f t="array" ref="B205">COUNT(FIND("input",$D205:$CD205))</f>
        <v>0</v>
      </c>
      <c r="C205" s="9">
        <f t="array" ref="C205">COUNT(FIND("output",$D205:$CD205))</f>
        <v>0</v>
      </c>
    </row>
    <row r="206" spans="1:3" x14ac:dyDescent="0.25">
      <c r="A206" s="9" t="str">
        <f>IF(ISBLANK('Signal Definition'!J206),"",'Signal Definition'!J206)</f>
        <v/>
      </c>
      <c r="B206" s="9">
        <f t="array" ref="B206">COUNT(FIND("input",$D206:$CD206))</f>
        <v>0</v>
      </c>
      <c r="C206" s="9">
        <f t="array" ref="C206">COUNT(FIND("output",$D206:$CD206))</f>
        <v>0</v>
      </c>
    </row>
    <row r="207" spans="1:3" x14ac:dyDescent="0.25">
      <c r="A207" s="9" t="str">
        <f>IF(ISBLANK('Signal Definition'!J207),"",'Signal Definition'!J207)</f>
        <v/>
      </c>
      <c r="B207" s="9">
        <f t="array" ref="B207">COUNT(FIND("input",$D207:$CD207))</f>
        <v>0</v>
      </c>
      <c r="C207" s="9">
        <f t="array" ref="C207">COUNT(FIND("output",$D207:$CD207))</f>
        <v>0</v>
      </c>
    </row>
    <row r="208" spans="1:3" x14ac:dyDescent="0.25">
      <c r="A208" s="9" t="str">
        <f>IF(ISBLANK('Signal Definition'!J208),"",'Signal Definition'!J208)</f>
        <v/>
      </c>
      <c r="B208" s="9">
        <f t="array" ref="B208">COUNT(FIND("input",$D208:$CD208))</f>
        <v>0</v>
      </c>
      <c r="C208" s="9">
        <f t="array" ref="C208">COUNT(FIND("output",$D208:$CD208))</f>
        <v>0</v>
      </c>
    </row>
    <row r="209" spans="1:3" x14ac:dyDescent="0.25">
      <c r="A209" s="9" t="str">
        <f>IF(ISBLANK('Signal Definition'!J209),"",'Signal Definition'!J209)</f>
        <v/>
      </c>
      <c r="B209" s="9">
        <f t="array" ref="B209">COUNT(FIND("input",$D209:$CD209))</f>
        <v>0</v>
      </c>
      <c r="C209" s="9">
        <f t="array" ref="C209">COUNT(FIND("output",$D209:$CD209))</f>
        <v>0</v>
      </c>
    </row>
    <row r="210" spans="1:3" x14ac:dyDescent="0.25">
      <c r="A210" s="9" t="str">
        <f>IF(ISBLANK('Signal Definition'!J210),"",'Signal Definition'!J210)</f>
        <v/>
      </c>
      <c r="B210" s="9">
        <f t="array" ref="B210">COUNT(FIND("input",$D210:$CD210))</f>
        <v>0</v>
      </c>
      <c r="C210" s="9">
        <f t="array" ref="C210">COUNT(FIND("output",$D210:$CD210))</f>
        <v>0</v>
      </c>
    </row>
    <row r="211" spans="1:3" x14ac:dyDescent="0.25">
      <c r="A211" s="9" t="str">
        <f>IF(ISBLANK('Signal Definition'!J211),"",'Signal Definition'!J211)</f>
        <v/>
      </c>
      <c r="B211" s="9">
        <f t="array" ref="B211">COUNT(FIND("input",$D211:$CD211))</f>
        <v>0</v>
      </c>
      <c r="C211" s="9">
        <f t="array" ref="C211">COUNT(FIND("output",$D211:$CD211))</f>
        <v>0</v>
      </c>
    </row>
    <row r="212" spans="1:3" x14ac:dyDescent="0.25">
      <c r="A212" s="9" t="str">
        <f>IF(ISBLANK('Signal Definition'!J212),"",'Signal Definition'!J212)</f>
        <v/>
      </c>
      <c r="B212" s="9">
        <f t="array" ref="B212">COUNT(FIND("input",$D212:$CD212))</f>
        <v>0</v>
      </c>
      <c r="C212" s="9">
        <f t="array" ref="C212">COUNT(FIND("output",$D212:$CD212))</f>
        <v>0</v>
      </c>
    </row>
    <row r="213" spans="1:3" x14ac:dyDescent="0.25">
      <c r="A213" s="9" t="str">
        <f>IF(ISBLANK('Signal Definition'!J213),"",'Signal Definition'!J213)</f>
        <v/>
      </c>
      <c r="B213" s="9">
        <f t="array" ref="B213">COUNT(FIND("input",$D213:$CD213))</f>
        <v>0</v>
      </c>
      <c r="C213" s="9">
        <f t="array" ref="C213">COUNT(FIND("output",$D213:$CD213))</f>
        <v>0</v>
      </c>
    </row>
    <row r="214" spans="1:3" x14ac:dyDescent="0.25">
      <c r="A214" s="9" t="str">
        <f>IF(ISBLANK('Signal Definition'!J214),"",'Signal Definition'!J214)</f>
        <v/>
      </c>
      <c r="B214" s="9">
        <f t="array" ref="B214">COUNT(FIND("input",$D214:$CD214))</f>
        <v>0</v>
      </c>
      <c r="C214" s="9">
        <f t="array" ref="C214">COUNT(FIND("output",$D214:$CD214))</f>
        <v>0</v>
      </c>
    </row>
    <row r="215" spans="1:3" x14ac:dyDescent="0.25">
      <c r="A215" s="9" t="str">
        <f>IF(ISBLANK('Signal Definition'!J215),"",'Signal Definition'!J215)</f>
        <v/>
      </c>
      <c r="B215" s="9">
        <f t="array" ref="B215">COUNT(FIND("input",$D215:$CD215))</f>
        <v>0</v>
      </c>
      <c r="C215" s="9">
        <f t="array" ref="C215">COUNT(FIND("output",$D215:$CD215))</f>
        <v>0</v>
      </c>
    </row>
    <row r="216" spans="1:3" x14ac:dyDescent="0.25">
      <c r="A216" s="9" t="str">
        <f>IF(ISBLANK('Signal Definition'!J216),"",'Signal Definition'!J216)</f>
        <v/>
      </c>
      <c r="B216" s="9">
        <f t="array" ref="B216">COUNT(FIND("input",$D216:$CD216))</f>
        <v>0</v>
      </c>
      <c r="C216" s="9">
        <f t="array" ref="C216">COUNT(FIND("output",$D216:$CD216))</f>
        <v>0</v>
      </c>
    </row>
    <row r="217" spans="1:3" x14ac:dyDescent="0.25">
      <c r="A217" s="9" t="str">
        <f>IF(ISBLANK('Signal Definition'!J217),"",'Signal Definition'!J217)</f>
        <v/>
      </c>
      <c r="B217" s="9">
        <f t="array" ref="B217">COUNT(FIND("input",$D217:$CD217))</f>
        <v>0</v>
      </c>
      <c r="C217" s="9">
        <f t="array" ref="C217">COUNT(FIND("output",$D217:$CD217))</f>
        <v>0</v>
      </c>
    </row>
    <row r="218" spans="1:3" x14ac:dyDescent="0.25">
      <c r="A218" s="9" t="str">
        <f>IF(ISBLANK('Signal Definition'!J218),"",'Signal Definition'!J218)</f>
        <v/>
      </c>
      <c r="B218" s="9">
        <f t="array" ref="B218">COUNT(FIND("input",$D218:$CD218))</f>
        <v>0</v>
      </c>
      <c r="C218" s="9">
        <f t="array" ref="C218">COUNT(FIND("output",$D218:$CD218))</f>
        <v>0</v>
      </c>
    </row>
    <row r="219" spans="1:3" x14ac:dyDescent="0.25">
      <c r="A219" s="9" t="str">
        <f>IF(ISBLANK('Signal Definition'!J219),"",'Signal Definition'!J219)</f>
        <v/>
      </c>
      <c r="B219" s="9">
        <f t="array" ref="B219">COUNT(FIND("input",$D219:$CD219))</f>
        <v>0</v>
      </c>
      <c r="C219" s="9">
        <f t="array" ref="C219">COUNT(FIND("output",$D219:$CD219))</f>
        <v>0</v>
      </c>
    </row>
    <row r="220" spans="1:3" x14ac:dyDescent="0.25">
      <c r="A220" s="9" t="str">
        <f>IF(ISBLANK('Signal Definition'!J220),"",'Signal Definition'!J220)</f>
        <v/>
      </c>
      <c r="B220" s="9">
        <f t="array" ref="B220">COUNT(FIND("input",$D220:$CD220))</f>
        <v>0</v>
      </c>
      <c r="C220" s="9">
        <f t="array" ref="C220">COUNT(FIND("output",$D220:$CD220))</f>
        <v>0</v>
      </c>
    </row>
    <row r="221" spans="1:3" x14ac:dyDescent="0.25">
      <c r="A221" s="9" t="str">
        <f>IF(ISBLANK('Signal Definition'!J221),"",'Signal Definition'!J221)</f>
        <v/>
      </c>
      <c r="B221" s="9">
        <f t="array" ref="B221">COUNT(FIND("input",$D221:$CD221))</f>
        <v>0</v>
      </c>
      <c r="C221" s="9">
        <f t="array" ref="C221">COUNT(FIND("output",$D221:$CD221))</f>
        <v>0</v>
      </c>
    </row>
    <row r="222" spans="1:3" x14ac:dyDescent="0.25">
      <c r="A222" s="9" t="str">
        <f>IF(ISBLANK('Signal Definition'!J222),"",'Signal Definition'!J222)</f>
        <v/>
      </c>
      <c r="B222" s="9">
        <f t="array" ref="B222">COUNT(FIND("input",$D222:$CD222))</f>
        <v>0</v>
      </c>
      <c r="C222" s="9">
        <f t="array" ref="C222">COUNT(FIND("output",$D222:$CD222))</f>
        <v>0</v>
      </c>
    </row>
    <row r="223" spans="1:3" x14ac:dyDescent="0.25">
      <c r="A223" s="9" t="str">
        <f>IF(ISBLANK('Signal Definition'!J223),"",'Signal Definition'!J223)</f>
        <v/>
      </c>
      <c r="B223" s="9">
        <f t="array" ref="B223">COUNT(FIND("input",$D223:$CD223))</f>
        <v>0</v>
      </c>
      <c r="C223" s="9">
        <f t="array" ref="C223">COUNT(FIND("output",$D223:$CD223))</f>
        <v>0</v>
      </c>
    </row>
    <row r="224" spans="1:3" x14ac:dyDescent="0.25">
      <c r="A224" s="9" t="str">
        <f>IF(ISBLANK('Signal Definition'!J224),"",'Signal Definition'!J224)</f>
        <v/>
      </c>
      <c r="B224" s="9">
        <f t="array" ref="B224">COUNT(FIND("input",$D224:$CD224))</f>
        <v>0</v>
      </c>
      <c r="C224" s="9">
        <f t="array" ref="C224">COUNT(FIND("output",$D224:$CD224))</f>
        <v>0</v>
      </c>
    </row>
    <row r="225" spans="1:3" x14ac:dyDescent="0.25">
      <c r="A225" s="9" t="str">
        <f>IF(ISBLANK('Signal Definition'!J225),"",'Signal Definition'!J225)</f>
        <v/>
      </c>
      <c r="B225" s="9">
        <f t="array" ref="B225">COUNT(FIND("input",$D225:$CD225))</f>
        <v>0</v>
      </c>
      <c r="C225" s="9">
        <f t="array" ref="C225">COUNT(FIND("output",$D225:$CD225))</f>
        <v>0</v>
      </c>
    </row>
    <row r="226" spans="1:3" x14ac:dyDescent="0.25">
      <c r="A226" s="9" t="str">
        <f>IF(ISBLANK('Signal Definition'!J226),"",'Signal Definition'!J226)</f>
        <v/>
      </c>
      <c r="B226" s="9">
        <f t="array" ref="B226">COUNT(FIND("input",$D226:$CD226))</f>
        <v>0</v>
      </c>
      <c r="C226" s="9">
        <f t="array" ref="C226">COUNT(FIND("output",$D226:$CD226))</f>
        <v>0</v>
      </c>
    </row>
    <row r="227" spans="1:3" x14ac:dyDescent="0.25">
      <c r="A227" s="9" t="str">
        <f>IF(ISBLANK('Signal Definition'!J227),"",'Signal Definition'!J227)</f>
        <v/>
      </c>
      <c r="B227" s="9">
        <f t="array" ref="B227">COUNT(FIND("input",$D227:$CD227))</f>
        <v>0</v>
      </c>
      <c r="C227" s="9">
        <f t="array" ref="C227">COUNT(FIND("output",$D227:$CD227))</f>
        <v>0</v>
      </c>
    </row>
    <row r="228" spans="1:3" x14ac:dyDescent="0.25">
      <c r="A228" s="9" t="str">
        <f>IF(ISBLANK('Signal Definition'!J228),"",'Signal Definition'!J228)</f>
        <v/>
      </c>
      <c r="B228" s="9">
        <f t="array" ref="B228">COUNT(FIND("input",$D228:$CD228))</f>
        <v>0</v>
      </c>
      <c r="C228" s="9">
        <f t="array" ref="C228">COUNT(FIND("output",$D228:$CD228))</f>
        <v>0</v>
      </c>
    </row>
    <row r="229" spans="1:3" x14ac:dyDescent="0.25">
      <c r="A229" s="9" t="str">
        <f>IF(ISBLANK('Signal Definition'!J229),"",'Signal Definition'!J229)</f>
        <v/>
      </c>
      <c r="B229" s="9">
        <f t="array" ref="B229">COUNT(FIND("input",$D229:$CD229))</f>
        <v>0</v>
      </c>
      <c r="C229" s="9">
        <f t="array" ref="C229">COUNT(FIND("output",$D229:$CD229))</f>
        <v>0</v>
      </c>
    </row>
    <row r="230" spans="1:3" x14ac:dyDescent="0.25">
      <c r="A230" s="9" t="str">
        <f>IF(ISBLANK('Signal Definition'!J230),"",'Signal Definition'!J230)</f>
        <v/>
      </c>
      <c r="B230" s="9">
        <f t="array" ref="B230">COUNT(FIND("input",$D230:$CD230))</f>
        <v>0</v>
      </c>
      <c r="C230" s="9">
        <f t="array" ref="C230">COUNT(FIND("output",$D230:$CD230))</f>
        <v>0</v>
      </c>
    </row>
    <row r="231" spans="1:3" x14ac:dyDescent="0.25">
      <c r="A231" s="9" t="str">
        <f>IF(ISBLANK('Signal Definition'!J231),"",'Signal Definition'!J231)</f>
        <v/>
      </c>
      <c r="B231" s="9">
        <f t="array" ref="B231">COUNT(FIND("input",$D231:$CD231))</f>
        <v>0</v>
      </c>
      <c r="C231" s="9">
        <f t="array" ref="C231">COUNT(FIND("output",$D231:$CD231))</f>
        <v>0</v>
      </c>
    </row>
    <row r="232" spans="1:3" x14ac:dyDescent="0.25">
      <c r="A232" s="9" t="str">
        <f>IF(ISBLANK('Signal Definition'!J232),"",'Signal Definition'!J232)</f>
        <v/>
      </c>
      <c r="B232" s="9">
        <f t="array" ref="B232">COUNT(FIND("input",$D232:$CD232))</f>
        <v>0</v>
      </c>
      <c r="C232" s="9">
        <f t="array" ref="C232">COUNT(FIND("output",$D232:$CD232))</f>
        <v>0</v>
      </c>
    </row>
    <row r="233" spans="1:3" x14ac:dyDescent="0.25">
      <c r="A233" s="9" t="str">
        <f>IF(ISBLANK('Signal Definition'!J233),"",'Signal Definition'!J233)</f>
        <v/>
      </c>
      <c r="B233" s="9">
        <f t="array" ref="B233">COUNT(FIND("input",$D233:$CD233))</f>
        <v>0</v>
      </c>
      <c r="C233" s="9">
        <f t="array" ref="C233">COUNT(FIND("output",$D233:$CD233))</f>
        <v>0</v>
      </c>
    </row>
    <row r="234" spans="1:3" x14ac:dyDescent="0.25">
      <c r="A234" s="9" t="str">
        <f>IF(ISBLANK('Signal Definition'!J234),"",'Signal Definition'!J234)</f>
        <v/>
      </c>
      <c r="B234" s="9">
        <f t="array" ref="B234">COUNT(FIND("input",$D234:$CD234))</f>
        <v>0</v>
      </c>
      <c r="C234" s="9">
        <f t="array" ref="C234">COUNT(FIND("output",$D234:$CD234))</f>
        <v>0</v>
      </c>
    </row>
    <row r="235" spans="1:3" x14ac:dyDescent="0.25">
      <c r="A235" s="9" t="str">
        <f>IF(ISBLANK('Signal Definition'!J235),"",'Signal Definition'!J235)</f>
        <v/>
      </c>
      <c r="B235" s="9">
        <f t="array" ref="B235">COUNT(FIND("input",$D235:$CD235))</f>
        <v>0</v>
      </c>
      <c r="C235" s="9">
        <f t="array" ref="C235">COUNT(FIND("output",$D235:$CD235))</f>
        <v>0</v>
      </c>
    </row>
    <row r="236" spans="1:3" x14ac:dyDescent="0.25">
      <c r="A236" s="9" t="str">
        <f>IF(ISBLANK('Signal Definition'!J236),"",'Signal Definition'!J236)</f>
        <v/>
      </c>
      <c r="B236" s="9">
        <f t="array" ref="B236">COUNT(FIND("input",$D236:$CD236))</f>
        <v>0</v>
      </c>
      <c r="C236" s="9">
        <f t="array" ref="C236">COUNT(FIND("output",$D236:$CD236))</f>
        <v>0</v>
      </c>
    </row>
    <row r="237" spans="1:3" x14ac:dyDescent="0.25">
      <c r="A237" s="9" t="str">
        <f>IF(ISBLANK('Signal Definition'!J237),"",'Signal Definition'!J237)</f>
        <v/>
      </c>
      <c r="B237" s="9">
        <f t="array" ref="B237">COUNT(FIND("input",$D237:$CD237))</f>
        <v>0</v>
      </c>
      <c r="C237" s="9">
        <f t="array" ref="C237">COUNT(FIND("output",$D237:$CD237))</f>
        <v>0</v>
      </c>
    </row>
    <row r="238" spans="1:3" x14ac:dyDescent="0.25">
      <c r="A238" s="9" t="str">
        <f>IF(ISBLANK('Signal Definition'!J238),"",'Signal Definition'!J238)</f>
        <v/>
      </c>
      <c r="B238" s="9">
        <f t="array" ref="B238">COUNT(FIND("input",$D238:$CD238))</f>
        <v>0</v>
      </c>
      <c r="C238" s="9">
        <f t="array" ref="C238">COUNT(FIND("output",$D238:$CD238))</f>
        <v>0</v>
      </c>
    </row>
    <row r="239" spans="1:3" x14ac:dyDescent="0.25">
      <c r="A239" s="9" t="str">
        <f>IF(ISBLANK('Signal Definition'!J239),"",'Signal Definition'!J239)</f>
        <v/>
      </c>
      <c r="B239" s="9">
        <f t="array" ref="B239">COUNT(FIND("input",$D239:$CD239))</f>
        <v>0</v>
      </c>
      <c r="C239" s="9">
        <f t="array" ref="C239">COUNT(FIND("output",$D239:$CD239))</f>
        <v>0</v>
      </c>
    </row>
    <row r="240" spans="1:3" x14ac:dyDescent="0.25">
      <c r="A240" s="9" t="str">
        <f>IF(ISBLANK('Signal Definition'!J240),"",'Signal Definition'!J240)</f>
        <v/>
      </c>
      <c r="B240" s="9">
        <f t="array" ref="B240">COUNT(FIND("input",$D240:$CD240))</f>
        <v>0</v>
      </c>
      <c r="C240" s="9">
        <f t="array" ref="C240">COUNT(FIND("output",$D240:$CD240))</f>
        <v>0</v>
      </c>
    </row>
    <row r="241" spans="1:3" x14ac:dyDescent="0.25">
      <c r="A241" s="9" t="str">
        <f>IF(ISBLANK('Signal Definition'!J241),"",'Signal Definition'!J241)</f>
        <v/>
      </c>
      <c r="B241" s="9">
        <f t="array" ref="B241">COUNT(FIND("input",$D241:$CD241))</f>
        <v>0</v>
      </c>
      <c r="C241" s="9">
        <f t="array" ref="C241">COUNT(FIND("output",$D241:$CD241))</f>
        <v>0</v>
      </c>
    </row>
    <row r="242" spans="1:3" x14ac:dyDescent="0.25">
      <c r="A242" s="9" t="str">
        <f>IF(ISBLANK('Signal Definition'!J242),"",'Signal Definition'!J242)</f>
        <v/>
      </c>
      <c r="B242" s="9">
        <f t="array" ref="B242">COUNT(FIND("input",$D242:$CD242))</f>
        <v>0</v>
      </c>
      <c r="C242" s="9">
        <f t="array" ref="C242">COUNT(FIND("output",$D242:$CD242))</f>
        <v>0</v>
      </c>
    </row>
    <row r="243" spans="1:3" x14ac:dyDescent="0.25">
      <c r="A243" s="9" t="str">
        <f>IF(ISBLANK('Signal Definition'!J243),"",'Signal Definition'!J243)</f>
        <v/>
      </c>
      <c r="B243" s="9">
        <f t="array" ref="B243">COUNT(FIND("input",$D243:$CD243))</f>
        <v>0</v>
      </c>
      <c r="C243" s="9">
        <f t="array" ref="C243">COUNT(FIND("output",$D243:$CD243))</f>
        <v>0</v>
      </c>
    </row>
    <row r="244" spans="1:3" x14ac:dyDescent="0.25">
      <c r="A244" s="9" t="str">
        <f>IF(ISBLANK('Signal Definition'!J244),"",'Signal Definition'!J244)</f>
        <v/>
      </c>
      <c r="B244" s="9">
        <f t="array" ref="B244">COUNT(FIND("input",$D244:$CD244))</f>
        <v>0</v>
      </c>
      <c r="C244" s="9">
        <f t="array" ref="C244">COUNT(FIND("output",$D244:$CD244))</f>
        <v>0</v>
      </c>
    </row>
    <row r="245" spans="1:3" x14ac:dyDescent="0.25">
      <c r="A245" s="9" t="str">
        <f>IF(ISBLANK('Signal Definition'!J245),"",'Signal Definition'!J245)</f>
        <v/>
      </c>
      <c r="B245" s="9">
        <f t="array" ref="B245">COUNT(FIND("input",$D245:$CD245))</f>
        <v>0</v>
      </c>
      <c r="C245" s="9">
        <f t="array" ref="C245">COUNT(FIND("output",$D245:$CD245))</f>
        <v>0</v>
      </c>
    </row>
    <row r="246" spans="1:3" x14ac:dyDescent="0.25">
      <c r="A246" s="9" t="str">
        <f>IF(ISBLANK('Signal Definition'!J246),"",'Signal Definition'!J246)</f>
        <v/>
      </c>
      <c r="B246" s="9">
        <f t="array" ref="B246">COUNT(FIND("input",$D246:$CD246))</f>
        <v>0</v>
      </c>
      <c r="C246" s="9">
        <f t="array" ref="C246">COUNT(FIND("output",$D246:$CD246))</f>
        <v>0</v>
      </c>
    </row>
    <row r="247" spans="1:3" x14ac:dyDescent="0.25">
      <c r="A247" s="9" t="str">
        <f>IF(ISBLANK('Signal Definition'!J247),"",'Signal Definition'!J247)</f>
        <v/>
      </c>
      <c r="B247" s="9">
        <f t="array" ref="B247">COUNT(FIND("input",$D247:$CD247))</f>
        <v>0</v>
      </c>
      <c r="C247" s="9">
        <f t="array" ref="C247">COUNT(FIND("output",$D247:$CD247))</f>
        <v>0</v>
      </c>
    </row>
    <row r="248" spans="1:3" x14ac:dyDescent="0.25">
      <c r="A248" s="9" t="str">
        <f>IF(ISBLANK('Signal Definition'!J248),"",'Signal Definition'!J248)</f>
        <v/>
      </c>
      <c r="B248" s="9">
        <f t="array" ref="B248">COUNT(FIND("input",$D248:$CD248))</f>
        <v>0</v>
      </c>
      <c r="C248" s="9">
        <f t="array" ref="C248">COUNT(FIND("output",$D248:$CD248))</f>
        <v>0</v>
      </c>
    </row>
    <row r="249" spans="1:3" x14ac:dyDescent="0.25">
      <c r="A249" s="9" t="str">
        <f>IF(ISBLANK('Signal Definition'!J249),"",'Signal Definition'!J249)</f>
        <v/>
      </c>
      <c r="B249" s="9">
        <f t="array" ref="B249">COUNT(FIND("input",$D249:$CD249))</f>
        <v>0</v>
      </c>
      <c r="C249" s="9">
        <f t="array" ref="C249">COUNT(FIND("output",$D249:$CD249))</f>
        <v>0</v>
      </c>
    </row>
    <row r="250" spans="1:3" x14ac:dyDescent="0.25">
      <c r="A250" s="9" t="str">
        <f>IF(ISBLANK('Signal Definition'!J250),"",'Signal Definition'!J250)</f>
        <v/>
      </c>
      <c r="B250" s="9">
        <f t="array" ref="B250">COUNT(FIND("input",$D250:$CD250))</f>
        <v>0</v>
      </c>
      <c r="C250" s="9">
        <f t="array" ref="C250">COUNT(FIND("output",$D250:$CD250))</f>
        <v>0</v>
      </c>
    </row>
    <row r="251" spans="1:3" x14ac:dyDescent="0.25">
      <c r="A251" s="9" t="str">
        <f>IF(ISBLANK('Signal Definition'!J251),"",'Signal Definition'!J251)</f>
        <v/>
      </c>
      <c r="B251" s="9">
        <f t="array" ref="B251">COUNT(FIND("input",$D251:$CD251))</f>
        <v>0</v>
      </c>
      <c r="C251" s="9">
        <f t="array" ref="C251">COUNT(FIND("output",$D251:$CD251))</f>
        <v>0</v>
      </c>
    </row>
    <row r="252" spans="1:3" x14ac:dyDescent="0.25">
      <c r="A252" s="9" t="str">
        <f>IF(ISBLANK('Signal Definition'!J252),"",'Signal Definition'!J252)</f>
        <v/>
      </c>
      <c r="B252" s="9">
        <f t="array" ref="B252">COUNT(FIND("input",$D252:$CD252))</f>
        <v>0</v>
      </c>
      <c r="C252" s="9">
        <f t="array" ref="C252">COUNT(FIND("output",$D252:$CD252))</f>
        <v>0</v>
      </c>
    </row>
    <row r="253" spans="1:3" x14ac:dyDescent="0.25">
      <c r="A253" s="9" t="str">
        <f>IF(ISBLANK('Signal Definition'!J253),"",'Signal Definition'!J253)</f>
        <v/>
      </c>
      <c r="B253" s="9">
        <f t="array" ref="B253">COUNT(FIND("input",$D253:$CD253))</f>
        <v>0</v>
      </c>
      <c r="C253" s="9">
        <f t="array" ref="C253">COUNT(FIND("output",$D253:$CD253))</f>
        <v>0</v>
      </c>
    </row>
    <row r="254" spans="1:3" x14ac:dyDescent="0.25">
      <c r="A254" s="9" t="str">
        <f>IF(ISBLANK('Signal Definition'!J254),"",'Signal Definition'!J254)</f>
        <v/>
      </c>
      <c r="B254" s="9">
        <f t="array" ref="B254">COUNT(FIND("input",$D254:$CD254))</f>
        <v>0</v>
      </c>
      <c r="C254" s="9">
        <f t="array" ref="C254">COUNT(FIND("output",$D254:$CD254))</f>
        <v>0</v>
      </c>
    </row>
    <row r="255" spans="1:3" x14ac:dyDescent="0.25">
      <c r="A255" s="9" t="str">
        <f>IF(ISBLANK('Signal Definition'!J255),"",'Signal Definition'!J255)</f>
        <v/>
      </c>
      <c r="B255" s="9">
        <f t="array" ref="B255">COUNT(FIND("input",$D255:$CD255))</f>
        <v>0</v>
      </c>
      <c r="C255" s="9">
        <f t="array" ref="C255">COUNT(FIND("output",$D255:$CD255))</f>
        <v>0</v>
      </c>
    </row>
    <row r="256" spans="1:3" x14ac:dyDescent="0.25">
      <c r="A256" s="9" t="str">
        <f>IF(ISBLANK('Signal Definition'!J256),"",'Signal Definition'!J256)</f>
        <v/>
      </c>
      <c r="B256" s="9">
        <f t="array" ref="B256">COUNT(FIND("input",$D256:$CD256))</f>
        <v>0</v>
      </c>
      <c r="C256" s="9">
        <f t="array" ref="C256">COUNT(FIND("output",$D256:$CD256))</f>
        <v>0</v>
      </c>
    </row>
    <row r="257" spans="1:3" x14ac:dyDescent="0.25">
      <c r="A257" s="9" t="str">
        <f>IF(ISBLANK('Signal Definition'!J257),"",'Signal Definition'!J257)</f>
        <v/>
      </c>
      <c r="B257" s="9">
        <f t="array" ref="B257">COUNT(FIND("input",$D257:$CD257))</f>
        <v>0</v>
      </c>
      <c r="C257" s="9">
        <f t="array" ref="C257">COUNT(FIND("output",$D257:$CD257))</f>
        <v>0</v>
      </c>
    </row>
    <row r="258" spans="1:3" x14ac:dyDescent="0.25">
      <c r="A258" s="9" t="str">
        <f>IF(ISBLANK('Signal Definition'!J258),"",'Signal Definition'!J258)</f>
        <v/>
      </c>
      <c r="B258" s="9">
        <f t="array" ref="B258">COUNT(FIND("input",$D258:$CD258))</f>
        <v>0</v>
      </c>
      <c r="C258" s="9">
        <f t="array" ref="C258">COUNT(FIND("output",$D258:$CD258))</f>
        <v>0</v>
      </c>
    </row>
    <row r="259" spans="1:3" x14ac:dyDescent="0.25">
      <c r="A259" s="9" t="str">
        <f>IF(ISBLANK('Signal Definition'!J259),"",'Signal Definition'!J259)</f>
        <v/>
      </c>
      <c r="B259" s="9">
        <f t="array" ref="B259">COUNT(FIND("input",$D259:$CD259))</f>
        <v>0</v>
      </c>
      <c r="C259" s="9">
        <f t="array" ref="C259">COUNT(FIND("output",$D259:$CD259))</f>
        <v>0</v>
      </c>
    </row>
    <row r="260" spans="1:3" x14ac:dyDescent="0.25">
      <c r="A260" s="9" t="str">
        <f>IF(ISBLANK('Signal Definition'!J260),"",'Signal Definition'!J260)</f>
        <v/>
      </c>
      <c r="B260" s="9">
        <f t="array" ref="B260">COUNT(FIND("input",$D260:$CD260))</f>
        <v>0</v>
      </c>
      <c r="C260" s="9">
        <f t="array" ref="C260">COUNT(FIND("output",$D260:$CD260))</f>
        <v>0</v>
      </c>
    </row>
    <row r="261" spans="1:3" x14ac:dyDescent="0.25">
      <c r="A261" s="9" t="str">
        <f>IF(ISBLANK('Signal Definition'!J261),"",'Signal Definition'!J261)</f>
        <v/>
      </c>
      <c r="B261" s="9">
        <f t="array" ref="B261">COUNT(FIND("input",$D261:$CD261))</f>
        <v>0</v>
      </c>
      <c r="C261" s="9">
        <f t="array" ref="C261">COUNT(FIND("output",$D261:$CD261))</f>
        <v>0</v>
      </c>
    </row>
    <row r="262" spans="1:3" x14ac:dyDescent="0.25">
      <c r="A262" s="9" t="str">
        <f>IF(ISBLANK('Signal Definition'!J262),"",'Signal Definition'!J262)</f>
        <v/>
      </c>
      <c r="B262" s="9">
        <f t="array" ref="B262">COUNT(FIND("input",$D262:$CD262))</f>
        <v>0</v>
      </c>
      <c r="C262" s="9">
        <f t="array" ref="C262">COUNT(FIND("output",$D262:$CD262))</f>
        <v>0</v>
      </c>
    </row>
    <row r="263" spans="1:3" x14ac:dyDescent="0.25">
      <c r="A263" s="9" t="str">
        <f>IF(ISBLANK('Signal Definition'!J263),"",'Signal Definition'!J263)</f>
        <v/>
      </c>
      <c r="B263" s="9">
        <f t="array" ref="B263">COUNT(FIND("input",$D263:$CD263))</f>
        <v>0</v>
      </c>
      <c r="C263" s="9">
        <f t="array" ref="C263">COUNT(FIND("output",$D263:$CD263))</f>
        <v>0</v>
      </c>
    </row>
    <row r="264" spans="1:3" x14ac:dyDescent="0.25">
      <c r="A264" s="9" t="str">
        <f>IF(ISBLANK('Signal Definition'!J264),"",'Signal Definition'!J264)</f>
        <v/>
      </c>
      <c r="B264" s="9">
        <f t="array" ref="B264">COUNT(FIND("input",$D264:$CD264))</f>
        <v>0</v>
      </c>
      <c r="C264" s="9">
        <f t="array" ref="C264">COUNT(FIND("output",$D264:$CD264))</f>
        <v>0</v>
      </c>
    </row>
    <row r="265" spans="1:3" x14ac:dyDescent="0.25">
      <c r="A265" s="9" t="str">
        <f>IF(ISBLANK('Signal Definition'!J265),"",'Signal Definition'!J265)</f>
        <v/>
      </c>
      <c r="B265" s="9">
        <f t="array" ref="B265">COUNT(FIND("input",$D265:$CD265))</f>
        <v>0</v>
      </c>
      <c r="C265" s="9">
        <f t="array" ref="C265">COUNT(FIND("output",$D265:$CD265))</f>
        <v>0</v>
      </c>
    </row>
    <row r="266" spans="1:3" x14ac:dyDescent="0.25">
      <c r="A266" s="9" t="str">
        <f>IF(ISBLANK('Signal Definition'!J266),"",'Signal Definition'!J266)</f>
        <v/>
      </c>
      <c r="B266" s="9">
        <f t="array" ref="B266">COUNT(FIND("input",$D266:$CD266))</f>
        <v>0</v>
      </c>
      <c r="C266" s="9">
        <f t="array" ref="C266">COUNT(FIND("output",$D266:$CD266))</f>
        <v>0</v>
      </c>
    </row>
    <row r="267" spans="1:3" x14ac:dyDescent="0.25">
      <c r="A267" s="9" t="str">
        <f>IF(ISBLANK('Signal Definition'!J267),"",'Signal Definition'!J267)</f>
        <v/>
      </c>
      <c r="B267" s="9">
        <f t="array" ref="B267">COUNT(FIND("input",$D267:$CD267))</f>
        <v>0</v>
      </c>
      <c r="C267" s="9">
        <f t="array" ref="C267">COUNT(FIND("output",$D267:$CD267))</f>
        <v>0</v>
      </c>
    </row>
    <row r="268" spans="1:3" x14ac:dyDescent="0.25">
      <c r="A268" s="9" t="str">
        <f>IF(ISBLANK('Signal Definition'!J268),"",'Signal Definition'!J268)</f>
        <v/>
      </c>
      <c r="B268" s="9">
        <f t="array" ref="B268">COUNT(FIND("input",$D268:$CD268))</f>
        <v>0</v>
      </c>
      <c r="C268" s="9">
        <f t="array" ref="C268">COUNT(FIND("output",$D268:$CD268))</f>
        <v>0</v>
      </c>
    </row>
    <row r="269" spans="1:3" x14ac:dyDescent="0.25">
      <c r="A269" s="9" t="str">
        <f>IF(ISBLANK('Signal Definition'!J269),"",'Signal Definition'!J269)</f>
        <v/>
      </c>
      <c r="B269" s="9">
        <f t="array" ref="B269">COUNT(FIND("input",$D269:$CD269))</f>
        <v>0</v>
      </c>
      <c r="C269" s="9">
        <f t="array" ref="C269">COUNT(FIND("output",$D269:$CD269))</f>
        <v>0</v>
      </c>
    </row>
    <row r="270" spans="1:3" x14ac:dyDescent="0.25">
      <c r="A270" s="9" t="str">
        <f>IF(ISBLANK('Signal Definition'!J270),"",'Signal Definition'!J270)</f>
        <v/>
      </c>
      <c r="B270" s="9">
        <f t="array" ref="B270">COUNT(FIND("input",$D270:$CD270))</f>
        <v>0</v>
      </c>
      <c r="C270" s="9">
        <f t="array" ref="C270">COUNT(FIND("output",$D270:$CD270))</f>
        <v>0</v>
      </c>
    </row>
    <row r="271" spans="1:3" x14ac:dyDescent="0.25">
      <c r="A271" s="9" t="str">
        <f>IF(ISBLANK('Signal Definition'!J271),"",'Signal Definition'!J271)</f>
        <v/>
      </c>
      <c r="B271" s="9">
        <f t="array" ref="B271">COUNT(FIND("input",$D271:$CD271))</f>
        <v>0</v>
      </c>
      <c r="C271" s="9">
        <f t="array" ref="C271">COUNT(FIND("output",$D271:$CD271))</f>
        <v>0</v>
      </c>
    </row>
    <row r="272" spans="1:3" x14ac:dyDescent="0.25">
      <c r="A272" s="9" t="str">
        <f>IF(ISBLANK('Signal Definition'!J272),"",'Signal Definition'!J272)</f>
        <v/>
      </c>
      <c r="B272" s="9">
        <f t="array" ref="B272">COUNT(FIND("input",$D272:$CD272))</f>
        <v>0</v>
      </c>
      <c r="C272" s="9">
        <f t="array" ref="C272">COUNT(FIND("output",$D272:$CD272))</f>
        <v>0</v>
      </c>
    </row>
    <row r="273" spans="1:3" x14ac:dyDescent="0.25">
      <c r="A273" s="9" t="str">
        <f>IF(ISBLANK('Signal Definition'!J273),"",'Signal Definition'!J273)</f>
        <v/>
      </c>
      <c r="B273" s="9">
        <f t="array" ref="B273">COUNT(FIND("input",$D273:$CD273))</f>
        <v>0</v>
      </c>
      <c r="C273" s="9">
        <f t="array" ref="C273">COUNT(FIND("output",$D273:$CD273))</f>
        <v>0</v>
      </c>
    </row>
    <row r="274" spans="1:3" x14ac:dyDescent="0.25">
      <c r="A274" s="9" t="str">
        <f>IF(ISBLANK('Signal Definition'!J274),"",'Signal Definition'!J274)</f>
        <v/>
      </c>
      <c r="B274" s="9">
        <f t="array" ref="B274">COUNT(FIND("input",$D274:$CD274))</f>
        <v>0</v>
      </c>
      <c r="C274" s="9">
        <f t="array" ref="C274">COUNT(FIND("output",$D274:$CD274))</f>
        <v>0</v>
      </c>
    </row>
    <row r="275" spans="1:3" x14ac:dyDescent="0.25">
      <c r="A275" s="9" t="str">
        <f>IF(ISBLANK('Signal Definition'!J275),"",'Signal Definition'!J275)</f>
        <v/>
      </c>
      <c r="B275" s="9">
        <f t="array" ref="B275">COUNT(FIND("input",$D275:$CD275))</f>
        <v>0</v>
      </c>
      <c r="C275" s="9">
        <f t="array" ref="C275">COUNT(FIND("output",$D275:$CD275))</f>
        <v>0</v>
      </c>
    </row>
    <row r="276" spans="1:3" x14ac:dyDescent="0.25">
      <c r="A276" s="9" t="str">
        <f>IF(ISBLANK('Signal Definition'!J276),"",'Signal Definition'!J276)</f>
        <v/>
      </c>
      <c r="B276" s="9">
        <f t="array" ref="B276">COUNT(FIND("input",$D276:$CD276))</f>
        <v>0</v>
      </c>
      <c r="C276" s="9">
        <f t="array" ref="C276">COUNT(FIND("output",$D276:$CD276))</f>
        <v>0</v>
      </c>
    </row>
    <row r="277" spans="1:3" x14ac:dyDescent="0.25">
      <c r="A277" s="9" t="str">
        <f>IF(ISBLANK('Signal Definition'!J277),"",'Signal Definition'!J277)</f>
        <v/>
      </c>
      <c r="B277" s="9">
        <f t="array" ref="B277">COUNT(FIND("input",$D277:$CD277))</f>
        <v>0</v>
      </c>
      <c r="C277" s="9">
        <f t="array" ref="C277">COUNT(FIND("output",$D277:$CD277))</f>
        <v>0</v>
      </c>
    </row>
    <row r="278" spans="1:3" x14ac:dyDescent="0.25">
      <c r="A278" s="9" t="str">
        <f>IF(ISBLANK('Signal Definition'!J278),"",'Signal Definition'!J278)</f>
        <v/>
      </c>
      <c r="B278" s="9">
        <f t="array" ref="B278">COUNT(FIND("input",$D278:$CD278))</f>
        <v>0</v>
      </c>
      <c r="C278" s="9">
        <f t="array" ref="C278">COUNT(FIND("output",$D278:$CD278))</f>
        <v>0</v>
      </c>
    </row>
    <row r="279" spans="1:3" x14ac:dyDescent="0.25">
      <c r="A279" s="9" t="str">
        <f>IF(ISBLANK('Signal Definition'!J279),"",'Signal Definition'!J279)</f>
        <v/>
      </c>
      <c r="B279" s="9">
        <f t="array" ref="B279">COUNT(FIND("input",$D279:$CD279))</f>
        <v>0</v>
      </c>
      <c r="C279" s="9">
        <f t="array" ref="C279">COUNT(FIND("output",$D279:$CD279))</f>
        <v>0</v>
      </c>
    </row>
    <row r="280" spans="1:3" x14ac:dyDescent="0.25">
      <c r="A280" s="9" t="str">
        <f>IF(ISBLANK('Signal Definition'!J280),"",'Signal Definition'!J280)</f>
        <v/>
      </c>
      <c r="B280" s="9">
        <f t="array" ref="B280">COUNT(FIND("input",$D280:$CD280))</f>
        <v>0</v>
      </c>
      <c r="C280" s="9">
        <f t="array" ref="C280">COUNT(FIND("output",$D280:$CD280))</f>
        <v>0</v>
      </c>
    </row>
    <row r="281" spans="1:3" x14ac:dyDescent="0.25">
      <c r="A281" s="9" t="str">
        <f>IF(ISBLANK('Signal Definition'!J281),"",'Signal Definition'!J281)</f>
        <v/>
      </c>
      <c r="B281" s="9">
        <f t="array" ref="B281">COUNT(FIND("input",$D281:$CD281))</f>
        <v>0</v>
      </c>
      <c r="C281" s="9">
        <f t="array" ref="C281">COUNT(FIND("output",$D281:$CD281))</f>
        <v>0</v>
      </c>
    </row>
    <row r="282" spans="1:3" x14ac:dyDescent="0.25">
      <c r="A282" s="9" t="str">
        <f>IF(ISBLANK('Signal Definition'!J282),"",'Signal Definition'!J282)</f>
        <v/>
      </c>
      <c r="B282" s="9">
        <f t="array" ref="B282">COUNT(FIND("input",$D282:$CD282))</f>
        <v>0</v>
      </c>
      <c r="C282" s="9">
        <f t="array" ref="C282">COUNT(FIND("output",$D282:$CD282))</f>
        <v>0</v>
      </c>
    </row>
    <row r="283" spans="1:3" x14ac:dyDescent="0.25">
      <c r="A283" s="9" t="str">
        <f>IF(ISBLANK('Signal Definition'!J283),"",'Signal Definition'!J283)</f>
        <v/>
      </c>
      <c r="B283" s="9">
        <f t="array" ref="B283">COUNT(FIND("input",$D283:$CD283))</f>
        <v>0</v>
      </c>
      <c r="C283" s="9">
        <f t="array" ref="C283">COUNT(FIND("output",$D283:$CD283))</f>
        <v>0</v>
      </c>
    </row>
    <row r="284" spans="1:3" x14ac:dyDescent="0.25">
      <c r="A284" s="9" t="str">
        <f>IF(ISBLANK('Signal Definition'!J284),"",'Signal Definition'!J284)</f>
        <v/>
      </c>
      <c r="B284" s="9">
        <f t="array" ref="B284">COUNT(FIND("input",$D284:$CD284))</f>
        <v>0</v>
      </c>
      <c r="C284" s="9">
        <f t="array" ref="C284">COUNT(FIND("output",$D284:$CD284))</f>
        <v>0</v>
      </c>
    </row>
    <row r="285" spans="1:3" x14ac:dyDescent="0.25">
      <c r="A285" s="9" t="str">
        <f>IF(ISBLANK('Signal Definition'!J285),"",'Signal Definition'!J285)</f>
        <v/>
      </c>
      <c r="B285" s="9">
        <f t="array" ref="B285">COUNT(FIND("input",$D285:$CD285))</f>
        <v>0</v>
      </c>
      <c r="C285" s="9">
        <f t="array" ref="C285">COUNT(FIND("output",$D285:$CD285))</f>
        <v>0</v>
      </c>
    </row>
    <row r="286" spans="1:3" x14ac:dyDescent="0.25">
      <c r="A286" s="9" t="str">
        <f>IF(ISBLANK('Signal Definition'!J286),"",'Signal Definition'!J286)</f>
        <v/>
      </c>
      <c r="B286" s="9">
        <f t="array" ref="B286">COUNT(FIND("input",$D286:$CD286))</f>
        <v>0</v>
      </c>
      <c r="C286" s="9">
        <f t="array" ref="C286">COUNT(FIND("output",$D286:$CD286))</f>
        <v>0</v>
      </c>
    </row>
    <row r="287" spans="1:3" x14ac:dyDescent="0.25">
      <c r="A287" s="9" t="str">
        <f>IF(ISBLANK('Signal Definition'!J287),"",'Signal Definition'!J287)</f>
        <v/>
      </c>
      <c r="B287" s="9">
        <f t="array" ref="B287">COUNT(FIND("input",$D287:$CD287))</f>
        <v>0</v>
      </c>
      <c r="C287" s="9">
        <f t="array" ref="C287">COUNT(FIND("output",$D287:$CD287))</f>
        <v>0</v>
      </c>
    </row>
    <row r="288" spans="1:3" x14ac:dyDescent="0.25">
      <c r="A288" s="9" t="str">
        <f>IF(ISBLANK('Signal Definition'!J288),"",'Signal Definition'!J288)</f>
        <v/>
      </c>
      <c r="B288" s="9">
        <f t="array" ref="B288">COUNT(FIND("input",$D288:$CD288))</f>
        <v>0</v>
      </c>
      <c r="C288" s="9">
        <f t="array" ref="C288">COUNT(FIND("output",$D288:$CD288))</f>
        <v>0</v>
      </c>
    </row>
    <row r="289" spans="1:3" x14ac:dyDescent="0.25">
      <c r="A289" s="9" t="str">
        <f>IF(ISBLANK('Signal Definition'!J289),"",'Signal Definition'!J289)</f>
        <v/>
      </c>
      <c r="B289" s="9">
        <f t="array" ref="B289">COUNT(FIND("input",$D289:$CD289))</f>
        <v>0</v>
      </c>
      <c r="C289" s="9">
        <f t="array" ref="C289">COUNT(FIND("output",$D289:$CD289))</f>
        <v>0</v>
      </c>
    </row>
    <row r="290" spans="1:3" x14ac:dyDescent="0.25">
      <c r="A290" s="9" t="str">
        <f>IF(ISBLANK('Signal Definition'!J290),"",'Signal Definition'!J290)</f>
        <v/>
      </c>
      <c r="B290" s="9">
        <f t="array" ref="B290">COUNT(FIND("input",$D290:$CD290))</f>
        <v>0</v>
      </c>
      <c r="C290" s="9">
        <f t="array" ref="C290">COUNT(FIND("output",$D290:$CD290))</f>
        <v>0</v>
      </c>
    </row>
    <row r="291" spans="1:3" x14ac:dyDescent="0.25">
      <c r="A291" s="9" t="str">
        <f>IF(ISBLANK('Signal Definition'!J291),"",'Signal Definition'!J291)</f>
        <v/>
      </c>
      <c r="B291" s="9">
        <f t="array" ref="B291">COUNT(FIND("input",$D291:$CD291))</f>
        <v>0</v>
      </c>
      <c r="C291" s="9">
        <f t="array" ref="C291">COUNT(FIND("output",$D291:$CD291))</f>
        <v>0</v>
      </c>
    </row>
    <row r="292" spans="1:3" x14ac:dyDescent="0.25">
      <c r="A292" s="9" t="str">
        <f>IF(ISBLANK('Signal Definition'!J292),"",'Signal Definition'!J292)</f>
        <v/>
      </c>
      <c r="B292" s="9">
        <f t="array" ref="B292">COUNT(FIND("input",$D292:$CD292))</f>
        <v>0</v>
      </c>
      <c r="C292" s="9">
        <f t="array" ref="C292">COUNT(FIND("output",$D292:$CD292))</f>
        <v>0</v>
      </c>
    </row>
    <row r="293" spans="1:3" x14ac:dyDescent="0.25">
      <c r="A293" s="9" t="str">
        <f>IF(ISBLANK('Signal Definition'!J293),"",'Signal Definition'!J293)</f>
        <v/>
      </c>
      <c r="B293" s="9">
        <f t="array" ref="B293">COUNT(FIND("input",$D293:$CD293))</f>
        <v>0</v>
      </c>
      <c r="C293" s="9">
        <f t="array" ref="C293">COUNT(FIND("output",$D293:$CD293))</f>
        <v>0</v>
      </c>
    </row>
    <row r="294" spans="1:3" x14ac:dyDescent="0.25">
      <c r="A294" s="9" t="str">
        <f>IF(ISBLANK('Signal Definition'!J294),"",'Signal Definition'!J294)</f>
        <v/>
      </c>
      <c r="B294" s="9">
        <f t="array" ref="B294">COUNT(FIND("input",$D294:$CD294))</f>
        <v>0</v>
      </c>
      <c r="C294" s="9">
        <f t="array" ref="C294">COUNT(FIND("output",$D294:$CD294))</f>
        <v>0</v>
      </c>
    </row>
    <row r="295" spans="1:3" x14ac:dyDescent="0.25">
      <c r="A295" s="9" t="str">
        <f>IF(ISBLANK('Signal Definition'!J295),"",'Signal Definition'!J295)</f>
        <v/>
      </c>
      <c r="B295" s="9">
        <f t="array" ref="B295">COUNT(FIND("input",$D295:$CD295))</f>
        <v>0</v>
      </c>
      <c r="C295" s="9">
        <f t="array" ref="C295">COUNT(FIND("output",$D295:$CD295))</f>
        <v>0</v>
      </c>
    </row>
    <row r="296" spans="1:3" x14ac:dyDescent="0.25">
      <c r="A296" s="9" t="str">
        <f>IF(ISBLANK('Signal Definition'!J296),"",'Signal Definition'!J296)</f>
        <v/>
      </c>
      <c r="B296" s="9">
        <f t="array" ref="B296">COUNT(FIND("input",$D296:$CD296))</f>
        <v>0</v>
      </c>
      <c r="C296" s="9">
        <f t="array" ref="C296">COUNT(FIND("output",$D296:$CD296))</f>
        <v>0</v>
      </c>
    </row>
    <row r="297" spans="1:3" x14ac:dyDescent="0.25">
      <c r="A297" s="9" t="str">
        <f>IF(ISBLANK('Signal Definition'!J297),"",'Signal Definition'!J297)</f>
        <v/>
      </c>
      <c r="B297" s="9">
        <f t="array" ref="B297">COUNT(FIND("input",$D297:$CD297))</f>
        <v>0</v>
      </c>
      <c r="C297" s="9">
        <f t="array" ref="C297">COUNT(FIND("output",$D297:$CD297))</f>
        <v>0</v>
      </c>
    </row>
    <row r="298" spans="1:3" x14ac:dyDescent="0.25">
      <c r="A298" s="9" t="str">
        <f>IF(ISBLANK('Signal Definition'!J298),"",'Signal Definition'!J298)</f>
        <v/>
      </c>
      <c r="B298" s="9">
        <f t="array" ref="B298">COUNT(FIND("input",$D298:$CD298))</f>
        <v>0</v>
      </c>
      <c r="C298" s="9">
        <f t="array" ref="C298">COUNT(FIND("output",$D298:$CD298))</f>
        <v>0</v>
      </c>
    </row>
    <row r="299" spans="1:3" x14ac:dyDescent="0.25">
      <c r="A299" s="9" t="str">
        <f>IF(ISBLANK('Signal Definition'!J299),"",'Signal Definition'!J299)</f>
        <v/>
      </c>
      <c r="B299" s="9">
        <f t="array" ref="B299">COUNT(FIND("input",$D299:$CD299))</f>
        <v>0</v>
      </c>
      <c r="C299" s="9">
        <f t="array" ref="C299">COUNT(FIND("output",$D299:$CD299))</f>
        <v>0</v>
      </c>
    </row>
    <row r="300" spans="1:3" x14ac:dyDescent="0.25">
      <c r="A300" s="9" t="str">
        <f>IF(ISBLANK('Signal Definition'!J300),"",'Signal Definition'!J300)</f>
        <v/>
      </c>
      <c r="B300" s="9">
        <f t="array" ref="B300">COUNT(FIND("input",$D300:$CD300))</f>
        <v>0</v>
      </c>
      <c r="C300" s="9">
        <f t="array" ref="C300">COUNT(FIND("output",$D300:$CD300))</f>
        <v>0</v>
      </c>
    </row>
    <row r="301" spans="1:3" x14ac:dyDescent="0.25">
      <c r="A301" s="9" t="str">
        <f>IF(ISBLANK('Signal Definition'!J301),"",'Signal Definition'!J301)</f>
        <v/>
      </c>
      <c r="B301" s="9">
        <f t="array" ref="B301">COUNT(FIND("input",$D301:$CD301))</f>
        <v>0</v>
      </c>
      <c r="C301" s="9">
        <f t="array" ref="C301">COUNT(FIND("output",$D301:$CD301))</f>
        <v>0</v>
      </c>
    </row>
    <row r="302" spans="1:3" x14ac:dyDescent="0.25">
      <c r="A302" s="9" t="str">
        <f>IF(ISBLANK('Signal Definition'!J302),"",'Signal Definition'!J302)</f>
        <v/>
      </c>
      <c r="B302" s="9">
        <f t="array" ref="B302">COUNT(FIND("input",$D302:$CD302))</f>
        <v>0</v>
      </c>
      <c r="C302" s="9">
        <f t="array" ref="C302">COUNT(FIND("output",$D302:$CD302))</f>
        <v>0</v>
      </c>
    </row>
    <row r="303" spans="1:3" x14ac:dyDescent="0.25">
      <c r="A303" s="9" t="str">
        <f>IF(ISBLANK('Signal Definition'!J303),"",'Signal Definition'!J303)</f>
        <v/>
      </c>
      <c r="B303" s="9">
        <f t="array" ref="B303">COUNT(FIND("input",$D303:$CD303))</f>
        <v>0</v>
      </c>
      <c r="C303" s="9">
        <f t="array" ref="C303">COUNT(FIND("output",$D303:$CD303))</f>
        <v>0</v>
      </c>
    </row>
    <row r="304" spans="1:3" x14ac:dyDescent="0.25">
      <c r="A304" s="9" t="str">
        <f>IF(ISBLANK('Signal Definition'!J304),"",'Signal Definition'!J304)</f>
        <v/>
      </c>
      <c r="B304" s="9">
        <f t="array" ref="B304">COUNT(FIND("input",$D304:$CD304))</f>
        <v>0</v>
      </c>
      <c r="C304" s="9">
        <f t="array" ref="C304">COUNT(FIND("output",$D304:$CD304))</f>
        <v>0</v>
      </c>
    </row>
    <row r="305" spans="1:3" x14ac:dyDescent="0.25">
      <c r="A305" s="9" t="str">
        <f>IF(ISBLANK('Signal Definition'!J305),"",'Signal Definition'!J305)</f>
        <v/>
      </c>
      <c r="B305" s="9">
        <f t="array" ref="B305">COUNT(FIND("input",$D305:$CD305))</f>
        <v>0</v>
      </c>
      <c r="C305" s="9">
        <f t="array" ref="C305">COUNT(FIND("output",$D305:$CD305))</f>
        <v>0</v>
      </c>
    </row>
    <row r="306" spans="1:3" x14ac:dyDescent="0.25">
      <c r="A306" s="9" t="str">
        <f>IF(ISBLANK('Signal Definition'!J306),"",'Signal Definition'!J306)</f>
        <v/>
      </c>
      <c r="B306" s="9">
        <f t="array" ref="B306">COUNT(FIND("input",$D306:$CD306))</f>
        <v>0</v>
      </c>
      <c r="C306" s="9">
        <f t="array" ref="C306">COUNT(FIND("output",$D306:$CD306))</f>
        <v>0</v>
      </c>
    </row>
    <row r="307" spans="1:3" x14ac:dyDescent="0.25">
      <c r="A307" s="9" t="str">
        <f>IF(ISBLANK('Signal Definition'!J307),"",'Signal Definition'!J307)</f>
        <v/>
      </c>
      <c r="B307" s="9">
        <f t="array" ref="B307">COUNT(FIND("input",$D307:$CD307))</f>
        <v>0</v>
      </c>
      <c r="C307" s="9">
        <f t="array" ref="C307">COUNT(FIND("output",$D307:$CD307))</f>
        <v>0</v>
      </c>
    </row>
    <row r="308" spans="1:3" x14ac:dyDescent="0.25">
      <c r="A308" s="9" t="str">
        <f>IF(ISBLANK('Signal Definition'!J308),"",'Signal Definition'!J308)</f>
        <v/>
      </c>
      <c r="B308" s="9">
        <f t="array" ref="B308">COUNT(FIND("input",$D308:$CD308))</f>
        <v>0</v>
      </c>
      <c r="C308" s="9">
        <f t="array" ref="C308">COUNT(FIND("output",$D308:$CD308))</f>
        <v>0</v>
      </c>
    </row>
    <row r="309" spans="1:3" x14ac:dyDescent="0.25">
      <c r="A309" s="9" t="str">
        <f>IF(ISBLANK('Signal Definition'!J309),"",'Signal Definition'!J309)</f>
        <v/>
      </c>
      <c r="B309" s="9">
        <f t="array" ref="B309">COUNT(FIND("input",$D309:$CD309))</f>
        <v>0</v>
      </c>
      <c r="C309" s="9">
        <f t="array" ref="C309">COUNT(FIND("output",$D309:$CD309))</f>
        <v>0</v>
      </c>
    </row>
    <row r="310" spans="1:3" x14ac:dyDescent="0.25">
      <c r="A310" s="9" t="str">
        <f>IF(ISBLANK('Signal Definition'!J310),"",'Signal Definition'!J310)</f>
        <v/>
      </c>
      <c r="B310" s="9">
        <f t="array" ref="B310">COUNT(FIND("input",$D310:$CD310))</f>
        <v>0</v>
      </c>
      <c r="C310" s="9">
        <f t="array" ref="C310">COUNT(FIND("output",$D310:$CD310))</f>
        <v>0</v>
      </c>
    </row>
    <row r="311" spans="1:3" x14ac:dyDescent="0.25">
      <c r="A311" s="9" t="str">
        <f>IF(ISBLANK('Signal Definition'!J311),"",'Signal Definition'!J311)</f>
        <v/>
      </c>
      <c r="B311" s="9">
        <f t="array" ref="B311">COUNT(FIND("input",$D311:$CD311))</f>
        <v>0</v>
      </c>
      <c r="C311" s="9">
        <f t="array" ref="C311">COUNT(FIND("output",$D311:$CD311))</f>
        <v>0</v>
      </c>
    </row>
    <row r="312" spans="1:3" x14ac:dyDescent="0.25">
      <c r="A312" s="9" t="str">
        <f>IF(ISBLANK('Signal Definition'!J312),"",'Signal Definition'!J312)</f>
        <v/>
      </c>
      <c r="B312" s="9">
        <f t="array" ref="B312">COUNT(FIND("input",$D312:$CD312))</f>
        <v>0</v>
      </c>
      <c r="C312" s="9">
        <f t="array" ref="C312">COUNT(FIND("output",$D312:$CD312))</f>
        <v>0</v>
      </c>
    </row>
    <row r="313" spans="1:3" x14ac:dyDescent="0.25">
      <c r="A313" s="9" t="str">
        <f>IF(ISBLANK('Signal Definition'!J313),"",'Signal Definition'!J313)</f>
        <v/>
      </c>
      <c r="B313" s="9">
        <f t="array" ref="B313">COUNT(FIND("input",$D313:$CD313))</f>
        <v>0</v>
      </c>
      <c r="C313" s="9">
        <f t="array" ref="C313">COUNT(FIND("output",$D313:$CD313))</f>
        <v>0</v>
      </c>
    </row>
    <row r="314" spans="1:3" x14ac:dyDescent="0.25">
      <c r="A314" s="9" t="str">
        <f>IF(ISBLANK('Signal Definition'!J314),"",'Signal Definition'!J314)</f>
        <v/>
      </c>
      <c r="B314" s="9">
        <f t="array" ref="B314">COUNT(FIND("input",$D314:$CD314))</f>
        <v>0</v>
      </c>
      <c r="C314" s="9">
        <f t="array" ref="C314">COUNT(FIND("output",$D314:$CD314))</f>
        <v>0</v>
      </c>
    </row>
    <row r="315" spans="1:3" x14ac:dyDescent="0.25">
      <c r="A315" s="9" t="str">
        <f>IF(ISBLANK('Signal Definition'!J315),"",'Signal Definition'!J315)</f>
        <v/>
      </c>
      <c r="B315" s="9">
        <f t="array" ref="B315">COUNT(FIND("input",$D315:$CD315))</f>
        <v>0</v>
      </c>
      <c r="C315" s="9">
        <f t="array" ref="C315">COUNT(FIND("output",$D315:$CD315))</f>
        <v>0</v>
      </c>
    </row>
    <row r="316" spans="1:3" x14ac:dyDescent="0.25">
      <c r="A316" s="9" t="str">
        <f>IF(ISBLANK('Signal Definition'!J316),"",'Signal Definition'!J316)</f>
        <v/>
      </c>
      <c r="B316" s="9">
        <f t="array" ref="B316">COUNT(FIND("input",$D316:$CD316))</f>
        <v>0</v>
      </c>
      <c r="C316" s="9">
        <f t="array" ref="C316">COUNT(FIND("output",$D316:$CD316))</f>
        <v>0</v>
      </c>
    </row>
    <row r="317" spans="1:3" x14ac:dyDescent="0.25">
      <c r="A317" s="9" t="str">
        <f>IF(ISBLANK('Signal Definition'!J317),"",'Signal Definition'!J317)</f>
        <v/>
      </c>
      <c r="B317" s="9">
        <f t="array" ref="B317">COUNT(FIND("input",$D317:$CD317))</f>
        <v>0</v>
      </c>
      <c r="C317" s="9">
        <f t="array" ref="C317">COUNT(FIND("output",$D317:$CD317))</f>
        <v>0</v>
      </c>
    </row>
    <row r="318" spans="1:3" x14ac:dyDescent="0.25">
      <c r="A318" s="9" t="str">
        <f>IF(ISBLANK('Signal Definition'!J318),"",'Signal Definition'!J318)</f>
        <v/>
      </c>
      <c r="B318" s="9">
        <f t="array" ref="B318">COUNT(FIND("input",$D318:$CD318))</f>
        <v>0</v>
      </c>
      <c r="C318" s="9">
        <f t="array" ref="C318">COUNT(FIND("output",$D318:$CD318))</f>
        <v>0</v>
      </c>
    </row>
    <row r="319" spans="1:3" x14ac:dyDescent="0.25">
      <c r="A319" s="9" t="str">
        <f>IF(ISBLANK('Signal Definition'!J319),"",'Signal Definition'!J319)</f>
        <v/>
      </c>
      <c r="B319" s="9">
        <f t="array" ref="B319">COUNT(FIND("input",$D319:$CD319))</f>
        <v>0</v>
      </c>
      <c r="C319" s="9">
        <f t="array" ref="C319">COUNT(FIND("output",$D319:$CD319))</f>
        <v>0</v>
      </c>
    </row>
    <row r="320" spans="1:3" x14ac:dyDescent="0.25">
      <c r="A320" s="9" t="str">
        <f>IF(ISBLANK('Signal Definition'!J320),"",'Signal Definition'!J320)</f>
        <v/>
      </c>
      <c r="B320" s="9">
        <f t="array" ref="B320">COUNT(FIND("input",$D320:$CD320))</f>
        <v>0</v>
      </c>
      <c r="C320" s="9">
        <f t="array" ref="C320">COUNT(FIND("output",$D320:$CD320))</f>
        <v>0</v>
      </c>
    </row>
    <row r="321" spans="1:3" x14ac:dyDescent="0.25">
      <c r="A321" s="9" t="str">
        <f>IF(ISBLANK('Signal Definition'!J321),"",'Signal Definition'!J321)</f>
        <v/>
      </c>
      <c r="B321" s="9">
        <f t="array" ref="B321">COUNT(FIND("input",$D321:$CD321))</f>
        <v>0</v>
      </c>
      <c r="C321" s="9">
        <f t="array" ref="C321">COUNT(FIND("output",$D321:$CD321))</f>
        <v>0</v>
      </c>
    </row>
    <row r="322" spans="1:3" x14ac:dyDescent="0.25">
      <c r="A322" s="9" t="str">
        <f>IF(ISBLANK('Signal Definition'!J322),"",'Signal Definition'!J322)</f>
        <v/>
      </c>
      <c r="B322" s="9">
        <f t="array" ref="B322">COUNT(FIND("input",$D322:$CD322))</f>
        <v>0</v>
      </c>
      <c r="C322" s="9">
        <f t="array" ref="C322">COUNT(FIND("output",$D322:$CD322))</f>
        <v>0</v>
      </c>
    </row>
    <row r="323" spans="1:3" x14ac:dyDescent="0.25">
      <c r="A323" s="9" t="str">
        <f>IF(ISBLANK('Signal Definition'!J323),"",'Signal Definition'!J323)</f>
        <v/>
      </c>
      <c r="B323" s="9">
        <f t="array" ref="B323">COUNT(FIND("input",$D323:$CD323))</f>
        <v>0</v>
      </c>
      <c r="C323" s="9">
        <f t="array" ref="C323">COUNT(FIND("output",$D323:$CD323))</f>
        <v>0</v>
      </c>
    </row>
    <row r="324" spans="1:3" x14ac:dyDescent="0.25">
      <c r="A324" s="9" t="str">
        <f>IF(ISBLANK('Signal Definition'!J324),"",'Signal Definition'!J324)</f>
        <v/>
      </c>
      <c r="B324" s="9">
        <f t="array" ref="B324">COUNT(FIND("input",$D324:$CD324))</f>
        <v>0</v>
      </c>
      <c r="C324" s="9">
        <f t="array" ref="C324">COUNT(FIND("output",$D324:$CD324))</f>
        <v>0</v>
      </c>
    </row>
    <row r="325" spans="1:3" x14ac:dyDescent="0.25">
      <c r="A325" s="9" t="str">
        <f>IF(ISBLANK('Signal Definition'!J325),"",'Signal Definition'!J325)</f>
        <v/>
      </c>
      <c r="B325" s="9">
        <f t="array" ref="B325">COUNT(FIND("input",$D325:$CD325))</f>
        <v>0</v>
      </c>
      <c r="C325" s="9">
        <f t="array" ref="C325">COUNT(FIND("output",$D325:$CD325))</f>
        <v>0</v>
      </c>
    </row>
    <row r="326" spans="1:3" x14ac:dyDescent="0.25">
      <c r="A326" s="9" t="str">
        <f>IF(ISBLANK('Signal Definition'!J326),"",'Signal Definition'!J326)</f>
        <v/>
      </c>
      <c r="B326" s="9">
        <f t="array" ref="B326">COUNT(FIND("input",$D326:$CD326))</f>
        <v>0</v>
      </c>
      <c r="C326" s="9">
        <f t="array" ref="C326">COUNT(FIND("output",$D326:$CD326))</f>
        <v>0</v>
      </c>
    </row>
    <row r="327" spans="1:3" x14ac:dyDescent="0.25">
      <c r="A327" s="9" t="str">
        <f>IF(ISBLANK('Signal Definition'!J327),"",'Signal Definition'!J327)</f>
        <v/>
      </c>
      <c r="B327" s="9">
        <f t="array" ref="B327">COUNT(FIND("input",$D327:$CD327))</f>
        <v>0</v>
      </c>
      <c r="C327" s="9">
        <f t="array" ref="C327">COUNT(FIND("output",$D327:$CD327))</f>
        <v>0</v>
      </c>
    </row>
    <row r="328" spans="1:3" x14ac:dyDescent="0.25">
      <c r="A328" s="9" t="str">
        <f>IF(ISBLANK('Signal Definition'!J328),"",'Signal Definition'!J328)</f>
        <v/>
      </c>
      <c r="B328" s="9">
        <f t="array" ref="B328">COUNT(FIND("input",$D328:$CD328))</f>
        <v>0</v>
      </c>
      <c r="C328" s="9">
        <f t="array" ref="C328">COUNT(FIND("output",$D328:$CD328))</f>
        <v>0</v>
      </c>
    </row>
    <row r="329" spans="1:3" x14ac:dyDescent="0.25">
      <c r="A329" s="9" t="str">
        <f>IF(ISBLANK('Signal Definition'!J329),"",'Signal Definition'!J329)</f>
        <v/>
      </c>
      <c r="B329" s="9">
        <f t="array" ref="B329">COUNT(FIND("input",$D329:$CD329))</f>
        <v>0</v>
      </c>
      <c r="C329" s="9">
        <f t="array" ref="C329">COUNT(FIND("output",$D329:$CD329))</f>
        <v>0</v>
      </c>
    </row>
    <row r="330" spans="1:3" x14ac:dyDescent="0.25">
      <c r="A330" s="9" t="str">
        <f>IF(ISBLANK('Signal Definition'!J330),"",'Signal Definition'!J330)</f>
        <v/>
      </c>
      <c r="B330" s="9">
        <f t="array" ref="B330">COUNT(FIND("input",$D330:$CD330))</f>
        <v>0</v>
      </c>
      <c r="C330" s="9">
        <f t="array" ref="C330">COUNT(FIND("output",$D330:$CD330))</f>
        <v>0</v>
      </c>
    </row>
    <row r="331" spans="1:3" x14ac:dyDescent="0.25">
      <c r="A331" s="9" t="str">
        <f>IF(ISBLANK('Signal Definition'!J331),"",'Signal Definition'!J331)</f>
        <v/>
      </c>
      <c r="B331" s="9">
        <f t="array" ref="B331">COUNT(FIND("input",$D331:$CD331))</f>
        <v>0</v>
      </c>
      <c r="C331" s="9">
        <f t="array" ref="C331">COUNT(FIND("output",$D331:$CD331))</f>
        <v>0</v>
      </c>
    </row>
    <row r="332" spans="1:3" x14ac:dyDescent="0.25">
      <c r="A332" s="9" t="str">
        <f>IF(ISBLANK('Signal Definition'!J332),"",'Signal Definition'!J332)</f>
        <v/>
      </c>
      <c r="B332" s="9">
        <f t="array" ref="B332">COUNT(FIND("input",$D332:$CD332))</f>
        <v>0</v>
      </c>
      <c r="C332" s="9">
        <f t="array" ref="C332">COUNT(FIND("output",$D332:$CD332))</f>
        <v>0</v>
      </c>
    </row>
    <row r="333" spans="1:3" x14ac:dyDescent="0.25">
      <c r="A333" s="9" t="str">
        <f>IF(ISBLANK('Signal Definition'!J333),"",'Signal Definition'!J333)</f>
        <v/>
      </c>
      <c r="B333" s="9">
        <f t="array" ref="B333">COUNT(FIND("input",$D333:$CD333))</f>
        <v>0</v>
      </c>
      <c r="C333" s="9">
        <f t="array" ref="C333">COUNT(FIND("output",$D333:$CD333))</f>
        <v>0</v>
      </c>
    </row>
    <row r="334" spans="1:3" x14ac:dyDescent="0.25">
      <c r="A334" s="9" t="str">
        <f>IF(ISBLANK('Signal Definition'!J334),"",'Signal Definition'!J334)</f>
        <v/>
      </c>
      <c r="B334" s="9">
        <f t="array" ref="B334">COUNT(FIND("input",$D334:$CD334))</f>
        <v>0</v>
      </c>
      <c r="C334" s="9">
        <f t="array" ref="C334">COUNT(FIND("output",$D334:$CD334))</f>
        <v>0</v>
      </c>
    </row>
    <row r="335" spans="1:3" x14ac:dyDescent="0.25">
      <c r="A335" s="9" t="str">
        <f>IF(ISBLANK('Signal Definition'!J335),"",'Signal Definition'!J335)</f>
        <v/>
      </c>
      <c r="B335" s="9">
        <f t="array" ref="B335">COUNT(FIND("input",$D335:$CD335))</f>
        <v>0</v>
      </c>
      <c r="C335" s="9">
        <f t="array" ref="C335">COUNT(FIND("output",$D335:$CD335))</f>
        <v>0</v>
      </c>
    </row>
    <row r="336" spans="1:3" x14ac:dyDescent="0.25">
      <c r="A336" s="9" t="str">
        <f>IF(ISBLANK('Signal Definition'!J336),"",'Signal Definition'!J336)</f>
        <v/>
      </c>
      <c r="B336" s="9">
        <f t="array" ref="B336">COUNT(FIND("input",$D336:$CD336))</f>
        <v>0</v>
      </c>
      <c r="C336" s="9">
        <f t="array" ref="C336">COUNT(FIND("output",$D336:$CD336))</f>
        <v>0</v>
      </c>
    </row>
    <row r="337" spans="1:3" x14ac:dyDescent="0.25">
      <c r="A337" s="9" t="str">
        <f>IF(ISBLANK('Signal Definition'!J337),"",'Signal Definition'!J337)</f>
        <v/>
      </c>
      <c r="B337" s="9">
        <f t="array" ref="B337">COUNT(FIND("input",$D337:$CD337))</f>
        <v>0</v>
      </c>
      <c r="C337" s="9">
        <f t="array" ref="C337">COUNT(FIND("output",$D337:$CD337))</f>
        <v>0</v>
      </c>
    </row>
    <row r="338" spans="1:3" x14ac:dyDescent="0.25">
      <c r="A338" s="9" t="str">
        <f>IF(ISBLANK('Signal Definition'!J338),"",'Signal Definition'!J338)</f>
        <v/>
      </c>
      <c r="B338" s="9">
        <f t="array" ref="B338">COUNT(FIND("input",$D338:$CD338))</f>
        <v>0</v>
      </c>
      <c r="C338" s="9">
        <f t="array" ref="C338">COUNT(FIND("output",$D338:$CD338))</f>
        <v>0</v>
      </c>
    </row>
    <row r="339" spans="1:3" x14ac:dyDescent="0.25">
      <c r="A339" s="9" t="str">
        <f>IF(ISBLANK('Signal Definition'!J339),"",'Signal Definition'!J339)</f>
        <v/>
      </c>
      <c r="B339" s="9">
        <f t="array" ref="B339">COUNT(FIND("input",$D339:$CD339))</f>
        <v>0</v>
      </c>
      <c r="C339" s="9">
        <f t="array" ref="C339">COUNT(FIND("output",$D339:$CD339))</f>
        <v>0</v>
      </c>
    </row>
    <row r="340" spans="1:3" x14ac:dyDescent="0.25">
      <c r="A340" s="9" t="str">
        <f>IF(ISBLANK('Signal Definition'!J340),"",'Signal Definition'!J340)</f>
        <v/>
      </c>
      <c r="B340" s="9">
        <f t="array" ref="B340">COUNT(FIND("input",$D340:$CD340))</f>
        <v>0</v>
      </c>
      <c r="C340" s="9">
        <f t="array" ref="C340">COUNT(FIND("output",$D340:$CD340))</f>
        <v>0</v>
      </c>
    </row>
    <row r="341" spans="1:3" x14ac:dyDescent="0.25">
      <c r="A341" s="9" t="str">
        <f>IF(ISBLANK('Signal Definition'!J341),"",'Signal Definition'!J341)</f>
        <v/>
      </c>
      <c r="B341" s="9">
        <f t="array" ref="B341">COUNT(FIND("input",$D341:$CD341))</f>
        <v>0</v>
      </c>
      <c r="C341" s="9">
        <f t="array" ref="C341">COUNT(FIND("output",$D341:$CD341))</f>
        <v>0</v>
      </c>
    </row>
    <row r="342" spans="1:3" x14ac:dyDescent="0.25">
      <c r="A342" s="9" t="str">
        <f>IF(ISBLANK('Signal Definition'!J342),"",'Signal Definition'!J342)</f>
        <v/>
      </c>
      <c r="B342" s="9">
        <f t="array" ref="B342">COUNT(FIND("input",$D342:$CD342))</f>
        <v>0</v>
      </c>
      <c r="C342" s="9">
        <f t="array" ref="C342">COUNT(FIND("output",$D342:$CD342))</f>
        <v>0</v>
      </c>
    </row>
    <row r="343" spans="1:3" x14ac:dyDescent="0.25">
      <c r="A343" s="9" t="str">
        <f>IF(ISBLANK('Signal Definition'!J343),"",'Signal Definition'!J343)</f>
        <v/>
      </c>
      <c r="B343" s="9">
        <f t="array" ref="B343">COUNT(FIND("input",$D343:$CD343))</f>
        <v>0</v>
      </c>
      <c r="C343" s="9">
        <f t="array" ref="C343">COUNT(FIND("output",$D343:$CD343))</f>
        <v>0</v>
      </c>
    </row>
    <row r="344" spans="1:3" x14ac:dyDescent="0.25">
      <c r="A344" s="9" t="str">
        <f>IF(ISBLANK('Signal Definition'!J344),"",'Signal Definition'!J344)</f>
        <v/>
      </c>
      <c r="B344" s="9">
        <f t="array" ref="B344">COUNT(FIND("input",$D344:$CD344))</f>
        <v>0</v>
      </c>
      <c r="C344" s="9">
        <f t="array" ref="C344">COUNT(FIND("output",$D344:$CD344))</f>
        <v>0</v>
      </c>
    </row>
    <row r="345" spans="1:3" x14ac:dyDescent="0.25">
      <c r="A345" s="9" t="str">
        <f>IF(ISBLANK('Signal Definition'!J345),"",'Signal Definition'!J345)</f>
        <v/>
      </c>
      <c r="B345" s="9">
        <f t="array" ref="B345">COUNT(FIND("input",$D345:$CD345))</f>
        <v>0</v>
      </c>
      <c r="C345" s="9">
        <f t="array" ref="C345">COUNT(FIND("output",$D345:$CD345))</f>
        <v>0</v>
      </c>
    </row>
    <row r="346" spans="1:3" x14ac:dyDescent="0.25">
      <c r="A346" s="9" t="str">
        <f>IF(ISBLANK('Signal Definition'!J346),"",'Signal Definition'!J346)</f>
        <v/>
      </c>
      <c r="B346" s="9">
        <f t="array" ref="B346">COUNT(FIND("input",$D346:$CD346))</f>
        <v>0</v>
      </c>
      <c r="C346" s="9">
        <f t="array" ref="C346">COUNT(FIND("output",$D346:$CD346))</f>
        <v>0</v>
      </c>
    </row>
    <row r="347" spans="1:3" x14ac:dyDescent="0.25">
      <c r="A347" s="9" t="str">
        <f>IF(ISBLANK('Signal Definition'!J347),"",'Signal Definition'!J347)</f>
        <v/>
      </c>
      <c r="B347" s="9">
        <f t="array" ref="B347">COUNT(FIND("input",$D347:$CD347))</f>
        <v>0</v>
      </c>
      <c r="C347" s="9">
        <f t="array" ref="C347">COUNT(FIND("output",$D347:$CD347))</f>
        <v>0</v>
      </c>
    </row>
    <row r="348" spans="1:3" x14ac:dyDescent="0.25">
      <c r="A348" s="9" t="str">
        <f>IF(ISBLANK('Signal Definition'!J348),"",'Signal Definition'!J348)</f>
        <v/>
      </c>
      <c r="B348" s="9">
        <f t="array" ref="B348">COUNT(FIND("input",$D348:$CD348))</f>
        <v>0</v>
      </c>
      <c r="C348" s="9">
        <f t="array" ref="C348">COUNT(FIND("output",$D348:$CD348))</f>
        <v>0</v>
      </c>
    </row>
    <row r="349" spans="1:3" x14ac:dyDescent="0.25">
      <c r="A349" s="9" t="str">
        <f>IF(ISBLANK('Signal Definition'!J349),"",'Signal Definition'!J349)</f>
        <v/>
      </c>
      <c r="B349" s="9">
        <f t="array" ref="B349">COUNT(FIND("input",$D349:$CD349))</f>
        <v>0</v>
      </c>
      <c r="C349" s="9">
        <f t="array" ref="C349">COUNT(FIND("output",$D349:$CD349))</f>
        <v>0</v>
      </c>
    </row>
    <row r="350" spans="1:3" x14ac:dyDescent="0.25">
      <c r="A350" s="9" t="str">
        <f>IF(ISBLANK('Signal Definition'!J350),"",'Signal Definition'!J350)</f>
        <v/>
      </c>
      <c r="B350" s="9">
        <f t="array" ref="B350">COUNT(FIND("input",$D350:$CD350))</f>
        <v>0</v>
      </c>
      <c r="C350" s="9">
        <f t="array" ref="C350">COUNT(FIND("output",$D350:$CD350))</f>
        <v>0</v>
      </c>
    </row>
    <row r="351" spans="1:3" x14ac:dyDescent="0.25">
      <c r="A351" s="9" t="str">
        <f>IF(ISBLANK('Signal Definition'!J351),"",'Signal Definition'!J351)</f>
        <v/>
      </c>
      <c r="B351" s="9">
        <f t="array" ref="B351">COUNT(FIND("input",$D351:$CD351))</f>
        <v>0</v>
      </c>
      <c r="C351" s="9">
        <f t="array" ref="C351">COUNT(FIND("output",$D351:$CD351))</f>
        <v>0</v>
      </c>
    </row>
    <row r="352" spans="1:3" x14ac:dyDescent="0.25">
      <c r="A352" s="9" t="str">
        <f>IF(ISBLANK('Signal Definition'!J352),"",'Signal Definition'!J352)</f>
        <v/>
      </c>
      <c r="B352" s="9">
        <f t="array" ref="B352">COUNT(FIND("input",$D352:$CD352))</f>
        <v>0</v>
      </c>
      <c r="C352" s="9">
        <f t="array" ref="C352">COUNT(FIND("output",$D352:$CD352))</f>
        <v>0</v>
      </c>
    </row>
    <row r="353" spans="1:3" x14ac:dyDescent="0.25">
      <c r="A353" s="9" t="str">
        <f>IF(ISBLANK('Signal Definition'!J353),"",'Signal Definition'!J353)</f>
        <v/>
      </c>
      <c r="B353" s="9">
        <f t="array" ref="B353">COUNT(FIND("input",$D353:$CD353))</f>
        <v>0</v>
      </c>
      <c r="C353" s="9">
        <f t="array" ref="C353">COUNT(FIND("output",$D353:$CD353))</f>
        <v>0</v>
      </c>
    </row>
    <row r="354" spans="1:3" x14ac:dyDescent="0.25">
      <c r="A354" s="9" t="str">
        <f>IF(ISBLANK('Signal Definition'!J354),"",'Signal Definition'!J354)</f>
        <v/>
      </c>
      <c r="B354" s="9">
        <f t="array" ref="B354">COUNT(FIND("input",$D354:$CD354))</f>
        <v>0</v>
      </c>
      <c r="C354" s="9">
        <f t="array" ref="C354">COUNT(FIND("output",$D354:$CD354))</f>
        <v>0</v>
      </c>
    </row>
    <row r="355" spans="1:3" x14ac:dyDescent="0.25">
      <c r="A355" s="9" t="str">
        <f>IF(ISBLANK('Signal Definition'!J355),"",'Signal Definition'!J355)</f>
        <v/>
      </c>
      <c r="B355" s="9">
        <f t="array" ref="B355">COUNT(FIND("input",$D355:$CD355))</f>
        <v>0</v>
      </c>
      <c r="C355" s="9">
        <f t="array" ref="C355">COUNT(FIND("output",$D355:$CD355))</f>
        <v>0</v>
      </c>
    </row>
    <row r="356" spans="1:3" x14ac:dyDescent="0.25">
      <c r="A356" s="9" t="str">
        <f>IF(ISBLANK('Signal Definition'!J356),"",'Signal Definition'!J356)</f>
        <v/>
      </c>
      <c r="B356" s="9">
        <f t="array" ref="B356">COUNT(FIND("input",$D356:$CD356))</f>
        <v>0</v>
      </c>
      <c r="C356" s="9">
        <f t="array" ref="C356">COUNT(FIND("output",$D356:$CD356))</f>
        <v>0</v>
      </c>
    </row>
    <row r="357" spans="1:3" x14ac:dyDescent="0.25">
      <c r="A357" s="9" t="str">
        <f>IF(ISBLANK('Signal Definition'!J357),"",'Signal Definition'!J357)</f>
        <v/>
      </c>
      <c r="B357" s="9">
        <f t="array" ref="B357">COUNT(FIND("input",$D357:$CD357))</f>
        <v>0</v>
      </c>
      <c r="C357" s="9">
        <f t="array" ref="C357">COUNT(FIND("output",$D357:$CD357))</f>
        <v>0</v>
      </c>
    </row>
    <row r="358" spans="1:3" x14ac:dyDescent="0.25">
      <c r="A358" s="9" t="str">
        <f>IF(ISBLANK('Signal Definition'!J358),"",'Signal Definition'!J358)</f>
        <v/>
      </c>
      <c r="B358" s="9">
        <f t="array" ref="B358">COUNT(FIND("input",$D358:$CD358))</f>
        <v>0</v>
      </c>
      <c r="C358" s="9">
        <f t="array" ref="C358">COUNT(FIND("output",$D358:$CD358))</f>
        <v>0</v>
      </c>
    </row>
    <row r="359" spans="1:3" x14ac:dyDescent="0.25">
      <c r="A359" s="9" t="str">
        <f>IF(ISBLANK('Signal Definition'!J359),"",'Signal Definition'!J359)</f>
        <v/>
      </c>
      <c r="B359" s="9">
        <f t="array" ref="B359">COUNT(FIND("input",$D359:$CD359))</f>
        <v>0</v>
      </c>
      <c r="C359" s="9">
        <f t="array" ref="C359">COUNT(FIND("output",$D359:$CD359))</f>
        <v>0</v>
      </c>
    </row>
    <row r="360" spans="1:3" x14ac:dyDescent="0.25">
      <c r="A360" s="9" t="str">
        <f>IF(ISBLANK('Signal Definition'!J360),"",'Signal Definition'!J360)</f>
        <v/>
      </c>
      <c r="B360" s="9">
        <f t="array" ref="B360">COUNT(FIND("input",$D360:$CD360))</f>
        <v>0</v>
      </c>
      <c r="C360" s="9">
        <f t="array" ref="C360">COUNT(FIND("output",$D360:$CD360))</f>
        <v>0</v>
      </c>
    </row>
    <row r="361" spans="1:3" x14ac:dyDescent="0.25">
      <c r="A361" s="9" t="str">
        <f>IF(ISBLANK('Signal Definition'!J361),"",'Signal Definition'!J361)</f>
        <v/>
      </c>
      <c r="B361" s="9">
        <f t="array" ref="B361">COUNT(FIND("input",$D361:$CD361))</f>
        <v>0</v>
      </c>
      <c r="C361" s="9">
        <f t="array" ref="C361">COUNT(FIND("output",$D361:$CD361))</f>
        <v>0</v>
      </c>
    </row>
    <row r="362" spans="1:3" x14ac:dyDescent="0.25">
      <c r="A362" s="9" t="str">
        <f>IF(ISBLANK('Signal Definition'!J362),"",'Signal Definition'!J362)</f>
        <v/>
      </c>
      <c r="B362" s="9">
        <f t="array" ref="B362">COUNT(FIND("input",$D362:$CD362))</f>
        <v>0</v>
      </c>
      <c r="C362" s="9">
        <f t="array" ref="C362">COUNT(FIND("output",$D362:$CD362))</f>
        <v>0</v>
      </c>
    </row>
    <row r="363" spans="1:3" x14ac:dyDescent="0.25">
      <c r="A363" s="9" t="str">
        <f>IF(ISBLANK('Signal Definition'!J363),"",'Signal Definition'!J363)</f>
        <v/>
      </c>
      <c r="B363" s="9">
        <f t="array" ref="B363">COUNT(FIND("input",$D363:$CD363))</f>
        <v>0</v>
      </c>
      <c r="C363" s="9">
        <f t="array" ref="C363">COUNT(FIND("output",$D363:$CD363))</f>
        <v>0</v>
      </c>
    </row>
    <row r="364" spans="1:3" x14ac:dyDescent="0.25">
      <c r="A364" s="9" t="str">
        <f>IF(ISBLANK('Signal Definition'!J364),"",'Signal Definition'!J364)</f>
        <v/>
      </c>
      <c r="B364" s="9">
        <f t="array" ref="B364">COUNT(FIND("input",$D364:$CD364))</f>
        <v>0</v>
      </c>
      <c r="C364" s="9">
        <f t="array" ref="C364">COUNT(FIND("output",$D364:$CD364))</f>
        <v>0</v>
      </c>
    </row>
    <row r="365" spans="1:3" x14ac:dyDescent="0.25">
      <c r="A365" s="9" t="str">
        <f>IF(ISBLANK('Signal Definition'!J365),"",'Signal Definition'!J365)</f>
        <v/>
      </c>
      <c r="B365" s="9">
        <f t="array" ref="B365">COUNT(FIND("input",$D365:$CD365))</f>
        <v>0</v>
      </c>
      <c r="C365" s="9">
        <f t="array" ref="C365">COUNT(FIND("output",$D365:$CD365))</f>
        <v>0</v>
      </c>
    </row>
    <row r="366" spans="1:3" x14ac:dyDescent="0.25">
      <c r="A366" s="9" t="str">
        <f>IF(ISBLANK('Signal Definition'!J366),"",'Signal Definition'!J366)</f>
        <v/>
      </c>
      <c r="B366" s="9">
        <f t="array" ref="B366">COUNT(FIND("input",$D366:$CD366))</f>
        <v>0</v>
      </c>
      <c r="C366" s="9">
        <f t="array" ref="C366">COUNT(FIND("output",$D366:$CD366))</f>
        <v>0</v>
      </c>
    </row>
    <row r="367" spans="1:3" x14ac:dyDescent="0.25">
      <c r="A367" s="9" t="str">
        <f>IF(ISBLANK('Signal Definition'!J367),"",'Signal Definition'!J367)</f>
        <v/>
      </c>
      <c r="B367" s="9">
        <f t="array" ref="B367">COUNT(FIND("input",$D367:$CD367))</f>
        <v>0</v>
      </c>
      <c r="C367" s="9">
        <f t="array" ref="C367">COUNT(FIND("output",$D367:$CD367))</f>
        <v>0</v>
      </c>
    </row>
    <row r="368" spans="1:3" x14ac:dyDescent="0.25">
      <c r="A368" s="9" t="str">
        <f>IF(ISBLANK('Signal Definition'!J368),"",'Signal Definition'!J368)</f>
        <v/>
      </c>
      <c r="B368" s="9">
        <f t="array" ref="B368">COUNT(FIND("input",$D368:$CD368))</f>
        <v>0</v>
      </c>
      <c r="C368" s="9">
        <f t="array" ref="C368">COUNT(FIND("output",$D368:$CD368))</f>
        <v>0</v>
      </c>
    </row>
    <row r="369" spans="1:3" x14ac:dyDescent="0.25">
      <c r="A369" s="9" t="str">
        <f>IF(ISBLANK('Signal Definition'!J369),"",'Signal Definition'!J369)</f>
        <v/>
      </c>
      <c r="B369" s="9">
        <f t="array" ref="B369">COUNT(FIND("input",$D369:$CD369))</f>
        <v>0</v>
      </c>
      <c r="C369" s="9">
        <f t="array" ref="C369">COUNT(FIND("output",$D369:$CD369))</f>
        <v>0</v>
      </c>
    </row>
    <row r="370" spans="1:3" x14ac:dyDescent="0.25">
      <c r="A370" s="9" t="str">
        <f>IF(ISBLANK('Signal Definition'!J370),"",'Signal Definition'!J370)</f>
        <v/>
      </c>
      <c r="B370" s="9">
        <f t="array" ref="B370">COUNT(FIND("input",$D370:$CD370))</f>
        <v>0</v>
      </c>
      <c r="C370" s="9">
        <f t="array" ref="C370">COUNT(FIND("output",$D370:$CD370))</f>
        <v>0</v>
      </c>
    </row>
    <row r="371" spans="1:3" x14ac:dyDescent="0.25">
      <c r="A371" s="9" t="str">
        <f>IF(ISBLANK('Signal Definition'!J371),"",'Signal Definition'!J371)</f>
        <v/>
      </c>
      <c r="B371" s="9">
        <f t="array" ref="B371">COUNT(FIND("input",$D371:$CD371))</f>
        <v>0</v>
      </c>
      <c r="C371" s="9">
        <f t="array" ref="C371">COUNT(FIND("output",$D371:$CD371))</f>
        <v>0</v>
      </c>
    </row>
    <row r="372" spans="1:3" x14ac:dyDescent="0.25">
      <c r="A372" s="9" t="str">
        <f>IF(ISBLANK('Signal Definition'!J372),"",'Signal Definition'!J372)</f>
        <v/>
      </c>
      <c r="B372" s="9">
        <f t="array" ref="B372">COUNT(FIND("input",$D372:$CD372))</f>
        <v>0</v>
      </c>
      <c r="C372" s="9">
        <f t="array" ref="C372">COUNT(FIND("output",$D372:$CD372))</f>
        <v>0</v>
      </c>
    </row>
    <row r="373" spans="1:3" x14ac:dyDescent="0.25">
      <c r="A373" s="9" t="str">
        <f>IF(ISBLANK('Signal Definition'!J373),"",'Signal Definition'!J373)</f>
        <v/>
      </c>
      <c r="B373" s="9">
        <f t="array" ref="B373">COUNT(FIND("input",$D373:$CD373))</f>
        <v>0</v>
      </c>
      <c r="C373" s="9">
        <f t="array" ref="C373">COUNT(FIND("output",$D373:$CD373))</f>
        <v>0</v>
      </c>
    </row>
    <row r="374" spans="1:3" x14ac:dyDescent="0.25">
      <c r="A374" s="9" t="str">
        <f>IF(ISBLANK('Signal Definition'!J374),"",'Signal Definition'!J374)</f>
        <v/>
      </c>
      <c r="B374" s="9">
        <f t="array" ref="B374">COUNT(FIND("input",$D374:$CD374))</f>
        <v>0</v>
      </c>
      <c r="C374" s="9">
        <f t="array" ref="C374">COUNT(FIND("output",$D374:$CD374))</f>
        <v>0</v>
      </c>
    </row>
    <row r="375" spans="1:3" x14ac:dyDescent="0.25">
      <c r="A375" s="9" t="str">
        <f>IF(ISBLANK('Signal Definition'!J375),"",'Signal Definition'!J375)</f>
        <v/>
      </c>
      <c r="B375" s="9">
        <f t="array" ref="B375">COUNT(FIND("input",$D375:$CD375))</f>
        <v>0</v>
      </c>
      <c r="C375" s="9">
        <f t="array" ref="C375">COUNT(FIND("output",$D375:$CD375))</f>
        <v>0</v>
      </c>
    </row>
    <row r="376" spans="1:3" x14ac:dyDescent="0.25">
      <c r="A376" s="9" t="str">
        <f>IF(ISBLANK('Signal Definition'!J376),"",'Signal Definition'!J376)</f>
        <v/>
      </c>
      <c r="B376" s="9">
        <f t="array" ref="B376">COUNT(FIND("input",$D376:$CD376))</f>
        <v>0</v>
      </c>
      <c r="C376" s="9">
        <f t="array" ref="C376">COUNT(FIND("output",$D376:$CD376))</f>
        <v>0</v>
      </c>
    </row>
    <row r="377" spans="1:3" x14ac:dyDescent="0.25">
      <c r="A377" s="9" t="str">
        <f>IF(ISBLANK('Signal Definition'!J377),"",'Signal Definition'!J377)</f>
        <v/>
      </c>
      <c r="B377" s="9">
        <f t="array" ref="B377">COUNT(FIND("input",$D377:$CD377))</f>
        <v>0</v>
      </c>
      <c r="C377" s="9">
        <f t="array" ref="C377">COUNT(FIND("output",$D377:$CD377))</f>
        <v>0</v>
      </c>
    </row>
    <row r="378" spans="1:3" x14ac:dyDescent="0.25">
      <c r="A378" s="9" t="str">
        <f>IF(ISBLANK('Signal Definition'!J378),"",'Signal Definition'!J378)</f>
        <v/>
      </c>
      <c r="B378" s="9">
        <f t="array" ref="B378">COUNT(FIND("input",$D378:$CD378))</f>
        <v>0</v>
      </c>
      <c r="C378" s="9">
        <f t="array" ref="C378">COUNT(FIND("output",$D378:$CD378))</f>
        <v>0</v>
      </c>
    </row>
    <row r="379" spans="1:3" x14ac:dyDescent="0.25">
      <c r="A379" s="9" t="str">
        <f>IF(ISBLANK('Signal Definition'!J379),"",'Signal Definition'!J379)</f>
        <v/>
      </c>
      <c r="B379" s="9">
        <f t="array" ref="B379">COUNT(FIND("input",$D379:$CD379))</f>
        <v>0</v>
      </c>
      <c r="C379" s="9">
        <f t="array" ref="C379">COUNT(FIND("output",$D379:$CD379))</f>
        <v>0</v>
      </c>
    </row>
    <row r="380" spans="1:3" x14ac:dyDescent="0.25">
      <c r="A380" s="9" t="str">
        <f>IF(ISBLANK('Signal Definition'!J380),"",'Signal Definition'!J380)</f>
        <v/>
      </c>
      <c r="B380" s="9">
        <f t="array" ref="B380">COUNT(FIND("input",$D380:$CD380))</f>
        <v>0</v>
      </c>
      <c r="C380" s="9">
        <f t="array" ref="C380">COUNT(FIND("output",$D380:$CD380))</f>
        <v>0</v>
      </c>
    </row>
    <row r="381" spans="1:3" x14ac:dyDescent="0.25">
      <c r="A381" s="9" t="str">
        <f>IF(ISBLANK('Signal Definition'!J381),"",'Signal Definition'!J381)</f>
        <v/>
      </c>
      <c r="B381" s="9">
        <f t="array" ref="B381">COUNT(FIND("input",$D381:$CD381))</f>
        <v>0</v>
      </c>
      <c r="C381" s="9">
        <f t="array" ref="C381">COUNT(FIND("output",$D381:$CD381))</f>
        <v>0</v>
      </c>
    </row>
    <row r="382" spans="1:3" x14ac:dyDescent="0.25">
      <c r="A382" s="9" t="str">
        <f>IF(ISBLANK('Signal Definition'!J382),"",'Signal Definition'!J382)</f>
        <v/>
      </c>
      <c r="B382" s="9">
        <f t="array" ref="B382">COUNT(FIND("input",$D382:$CD382))</f>
        <v>0</v>
      </c>
      <c r="C382" s="9">
        <f t="array" ref="C382">COUNT(FIND("output",$D382:$CD382))</f>
        <v>0</v>
      </c>
    </row>
    <row r="383" spans="1:3" x14ac:dyDescent="0.25">
      <c r="A383" s="9" t="str">
        <f>IF(ISBLANK('Signal Definition'!J383),"",'Signal Definition'!J383)</f>
        <v/>
      </c>
      <c r="B383" s="9">
        <f t="array" ref="B383">COUNT(FIND("input",$D383:$CD383))</f>
        <v>0</v>
      </c>
      <c r="C383" s="9">
        <f t="array" ref="C383">COUNT(FIND("output",$D383:$CD383))</f>
        <v>0</v>
      </c>
    </row>
    <row r="384" spans="1:3" x14ac:dyDescent="0.25">
      <c r="A384" s="9" t="str">
        <f>IF(ISBLANK('Signal Definition'!J384),"",'Signal Definition'!J384)</f>
        <v/>
      </c>
      <c r="B384" s="9">
        <f t="array" ref="B384">COUNT(FIND("input",$D384:$CD384))</f>
        <v>0</v>
      </c>
      <c r="C384" s="9">
        <f t="array" ref="C384">COUNT(FIND("output",$D384:$CD384))</f>
        <v>0</v>
      </c>
    </row>
    <row r="385" spans="1:3" x14ac:dyDescent="0.25">
      <c r="A385" s="9" t="str">
        <f>IF(ISBLANK('Signal Definition'!J385),"",'Signal Definition'!J385)</f>
        <v/>
      </c>
      <c r="B385" s="9">
        <f t="array" ref="B385">COUNT(FIND("input",$D385:$CD385))</f>
        <v>0</v>
      </c>
      <c r="C385" s="9">
        <f t="array" ref="C385">COUNT(FIND("output",$D385:$CD385))</f>
        <v>0</v>
      </c>
    </row>
    <row r="386" spans="1:3" x14ac:dyDescent="0.25">
      <c r="A386" s="9" t="str">
        <f>IF(ISBLANK('Signal Definition'!J386),"",'Signal Definition'!J386)</f>
        <v/>
      </c>
      <c r="B386" s="9">
        <f t="array" ref="B386">COUNT(FIND("input",$D386:$CD386))</f>
        <v>0</v>
      </c>
      <c r="C386" s="9">
        <f t="array" ref="C386">COUNT(FIND("output",$D386:$CD386))</f>
        <v>0</v>
      </c>
    </row>
    <row r="387" spans="1:3" x14ac:dyDescent="0.25">
      <c r="A387" s="9" t="str">
        <f>IF(ISBLANK('Signal Definition'!J387),"",'Signal Definition'!J387)</f>
        <v/>
      </c>
      <c r="B387" s="9">
        <f t="array" ref="B387">COUNT(FIND("input",$D387:$CD387))</f>
        <v>0</v>
      </c>
      <c r="C387" s="9">
        <f t="array" ref="C387">COUNT(FIND("output",$D387:$CD387))</f>
        <v>0</v>
      </c>
    </row>
    <row r="388" spans="1:3" x14ac:dyDescent="0.25">
      <c r="A388" s="9" t="str">
        <f>IF(ISBLANK('Signal Definition'!J388),"",'Signal Definition'!J388)</f>
        <v/>
      </c>
      <c r="B388" s="9">
        <f t="array" ref="B388">COUNT(FIND("input",$D388:$CD388))</f>
        <v>0</v>
      </c>
      <c r="C388" s="9">
        <f t="array" ref="C388">COUNT(FIND("output",$D388:$CD388))</f>
        <v>0</v>
      </c>
    </row>
    <row r="389" spans="1:3" x14ac:dyDescent="0.25">
      <c r="A389" s="9" t="str">
        <f>IF(ISBLANK('Signal Definition'!J389),"",'Signal Definition'!J389)</f>
        <v/>
      </c>
      <c r="B389" s="9">
        <f t="array" ref="B389">COUNT(FIND("input",$D389:$CD389))</f>
        <v>0</v>
      </c>
      <c r="C389" s="9">
        <f t="array" ref="C389">COUNT(FIND("output",$D389:$CD389))</f>
        <v>0</v>
      </c>
    </row>
    <row r="390" spans="1:3" x14ac:dyDescent="0.25">
      <c r="A390" s="9" t="str">
        <f>IF(ISBLANK('Signal Definition'!J390),"",'Signal Definition'!J390)</f>
        <v/>
      </c>
      <c r="B390" s="9">
        <f t="array" ref="B390">COUNT(FIND("input",$D390:$CD390))</f>
        <v>0</v>
      </c>
      <c r="C390" s="9">
        <f t="array" ref="C390">COUNT(FIND("output",$D390:$CD390))</f>
        <v>0</v>
      </c>
    </row>
    <row r="391" spans="1:3" x14ac:dyDescent="0.25">
      <c r="A391" s="9" t="str">
        <f>IF(ISBLANK('Signal Definition'!J391),"",'Signal Definition'!J391)</f>
        <v/>
      </c>
      <c r="B391" s="9">
        <f t="array" ref="B391">COUNT(FIND("input",$D391:$CD391))</f>
        <v>0</v>
      </c>
      <c r="C391" s="9">
        <f t="array" ref="C391">COUNT(FIND("output",$D391:$CD391))</f>
        <v>0</v>
      </c>
    </row>
    <row r="392" spans="1:3" x14ac:dyDescent="0.25">
      <c r="A392" s="9" t="str">
        <f>IF(ISBLANK('Signal Definition'!J392),"",'Signal Definition'!J392)</f>
        <v/>
      </c>
      <c r="B392" s="9">
        <f t="array" ref="B392">COUNT(FIND("input",$D392:$CD392))</f>
        <v>0</v>
      </c>
      <c r="C392" s="9">
        <f t="array" ref="C392">COUNT(FIND("output",$D392:$CD392))</f>
        <v>0</v>
      </c>
    </row>
    <row r="393" spans="1:3" x14ac:dyDescent="0.25">
      <c r="A393" s="9" t="str">
        <f>IF(ISBLANK('Signal Definition'!J393),"",'Signal Definition'!J393)</f>
        <v/>
      </c>
      <c r="B393" s="9">
        <f t="array" ref="B393">COUNT(FIND("input",$D393:$CD393))</f>
        <v>0</v>
      </c>
      <c r="C393" s="9">
        <f t="array" ref="C393">COUNT(FIND("output",$D393:$CD393))</f>
        <v>0</v>
      </c>
    </row>
    <row r="394" spans="1:3" x14ac:dyDescent="0.25">
      <c r="A394" s="9" t="str">
        <f>IF(ISBLANK('Signal Definition'!J394),"",'Signal Definition'!J394)</f>
        <v/>
      </c>
      <c r="B394" s="9">
        <f t="array" ref="B394">COUNT(FIND("input",$D394:$CD394))</f>
        <v>0</v>
      </c>
      <c r="C394" s="9">
        <f t="array" ref="C394">COUNT(FIND("output",$D394:$CD394))</f>
        <v>0</v>
      </c>
    </row>
    <row r="395" spans="1:3" x14ac:dyDescent="0.25">
      <c r="A395" s="9" t="str">
        <f>IF(ISBLANK('Signal Definition'!J395),"",'Signal Definition'!J395)</f>
        <v/>
      </c>
      <c r="B395" s="9">
        <f t="array" ref="B395">COUNT(FIND("input",$D395:$CD395))</f>
        <v>0</v>
      </c>
      <c r="C395" s="9">
        <f t="array" ref="C395">COUNT(FIND("output",$D395:$CD395))</f>
        <v>0</v>
      </c>
    </row>
    <row r="396" spans="1:3" x14ac:dyDescent="0.25">
      <c r="A396" s="9" t="str">
        <f>IF(ISBLANK('Signal Definition'!J396),"",'Signal Definition'!J396)</f>
        <v/>
      </c>
      <c r="B396" s="9">
        <f t="array" ref="B396">COUNT(FIND("input",$D396:$CD396))</f>
        <v>0</v>
      </c>
      <c r="C396" s="9">
        <f t="array" ref="C396">COUNT(FIND("output",$D396:$CD396))</f>
        <v>0</v>
      </c>
    </row>
    <row r="397" spans="1:3" x14ac:dyDescent="0.25">
      <c r="A397" s="9" t="str">
        <f>IF(ISBLANK('Signal Definition'!J397),"",'Signal Definition'!J397)</f>
        <v/>
      </c>
      <c r="B397" s="9">
        <f t="array" ref="B397">COUNT(FIND("input",$D397:$CD397))</f>
        <v>0</v>
      </c>
      <c r="C397" s="9">
        <f t="array" ref="C397">COUNT(FIND("output",$D397:$CD397))</f>
        <v>0</v>
      </c>
    </row>
    <row r="398" spans="1:3" x14ac:dyDescent="0.25">
      <c r="A398" s="9" t="str">
        <f>IF(ISBLANK('Signal Definition'!J398),"",'Signal Definition'!J398)</f>
        <v/>
      </c>
      <c r="B398" s="9">
        <f t="array" ref="B398">COUNT(FIND("input",$D398:$CD398))</f>
        <v>0</v>
      </c>
      <c r="C398" s="9">
        <f t="array" ref="C398">COUNT(FIND("output",$D398:$CD398))</f>
        <v>0</v>
      </c>
    </row>
    <row r="399" spans="1:3" x14ac:dyDescent="0.25">
      <c r="A399" s="9" t="str">
        <f>IF(ISBLANK('Signal Definition'!J399),"",'Signal Definition'!J399)</f>
        <v/>
      </c>
      <c r="B399" s="9">
        <f t="array" ref="B399">COUNT(FIND("input",$D399:$CD399))</f>
        <v>0</v>
      </c>
      <c r="C399" s="9">
        <f t="array" ref="C399">COUNT(FIND("output",$D399:$CD399))</f>
        <v>0</v>
      </c>
    </row>
    <row r="400" spans="1:3" x14ac:dyDescent="0.25">
      <c r="A400" s="9" t="str">
        <f>IF(ISBLANK('Signal Definition'!J400),"",'Signal Definition'!J400)</f>
        <v/>
      </c>
      <c r="B400" s="9">
        <f t="array" ref="B400">COUNT(FIND("input",$D400:$CD400))</f>
        <v>0</v>
      </c>
      <c r="C400" s="9">
        <f t="array" ref="C400">COUNT(FIND("output",$D400:$CD400))</f>
        <v>0</v>
      </c>
    </row>
    <row r="401" spans="1:3" x14ac:dyDescent="0.25">
      <c r="A401" s="9" t="str">
        <f>IF(ISBLANK('Signal Definition'!J401),"",'Signal Definition'!J401)</f>
        <v/>
      </c>
      <c r="B401" s="9">
        <f t="array" ref="B401">COUNT(FIND("input",$D401:$CD401))</f>
        <v>0</v>
      </c>
      <c r="C401" s="9">
        <f t="array" ref="C401">COUNT(FIND("output",$D401:$CD401))</f>
        <v>0</v>
      </c>
    </row>
    <row r="402" spans="1:3" x14ac:dyDescent="0.25">
      <c r="A402" s="9" t="str">
        <f>IF(ISBLANK('Signal Definition'!J402),"",'Signal Definition'!J402)</f>
        <v/>
      </c>
      <c r="B402" s="9">
        <f t="array" ref="B402">COUNT(FIND("input",$D402:$CD402))</f>
        <v>0</v>
      </c>
      <c r="C402" s="9">
        <f t="array" ref="C402">COUNT(FIND("output",$D402:$CD402))</f>
        <v>0</v>
      </c>
    </row>
    <row r="403" spans="1:3" x14ac:dyDescent="0.25">
      <c r="A403" s="9" t="str">
        <f>IF(ISBLANK('Signal Definition'!J403),"",'Signal Definition'!J403)</f>
        <v/>
      </c>
      <c r="B403" s="9">
        <f t="array" ref="B403">COUNT(FIND("input",$D403:$CD403))</f>
        <v>0</v>
      </c>
      <c r="C403" s="9">
        <f t="array" ref="C403">COUNT(FIND("output",$D403:$CD403))</f>
        <v>0</v>
      </c>
    </row>
    <row r="404" spans="1:3" x14ac:dyDescent="0.25">
      <c r="A404" s="9" t="str">
        <f>IF(ISBLANK('Signal Definition'!J404),"",'Signal Definition'!J404)</f>
        <v/>
      </c>
      <c r="B404" s="9">
        <f t="array" ref="B404">COUNT(FIND("input",$D404:$CD404))</f>
        <v>0</v>
      </c>
      <c r="C404" s="9">
        <f t="array" ref="C404">COUNT(FIND("output",$D404:$CD404))</f>
        <v>0</v>
      </c>
    </row>
    <row r="405" spans="1:3" x14ac:dyDescent="0.25">
      <c r="A405" s="9" t="str">
        <f>IF(ISBLANK('Signal Definition'!J405),"",'Signal Definition'!J405)</f>
        <v/>
      </c>
      <c r="B405" s="9">
        <f t="array" ref="B405">COUNT(FIND("input",$D405:$CD405))</f>
        <v>0</v>
      </c>
      <c r="C405" s="9">
        <f t="array" ref="C405">COUNT(FIND("output",$D405:$CD405))</f>
        <v>0</v>
      </c>
    </row>
    <row r="406" spans="1:3" x14ac:dyDescent="0.25">
      <c r="A406" s="9" t="str">
        <f>IF(ISBLANK('Signal Definition'!J406),"",'Signal Definition'!J406)</f>
        <v/>
      </c>
      <c r="B406" s="9">
        <f t="array" ref="B406">COUNT(FIND("input",$D406:$CD406))</f>
        <v>0</v>
      </c>
      <c r="C406" s="9">
        <f t="array" ref="C406">COUNT(FIND("output",$D406:$CD406))</f>
        <v>0</v>
      </c>
    </row>
    <row r="407" spans="1:3" x14ac:dyDescent="0.25">
      <c r="A407" s="9" t="str">
        <f>IF(ISBLANK('Signal Definition'!J407),"",'Signal Definition'!J407)</f>
        <v/>
      </c>
      <c r="B407" s="9">
        <f t="array" ref="B407">COUNT(FIND("input",$D407:$CD407))</f>
        <v>0</v>
      </c>
      <c r="C407" s="9">
        <f t="array" ref="C407">COUNT(FIND("output",$D407:$CD407))</f>
        <v>0</v>
      </c>
    </row>
    <row r="408" spans="1:3" x14ac:dyDescent="0.25">
      <c r="A408" s="9" t="str">
        <f>IF(ISBLANK('Signal Definition'!J408),"",'Signal Definition'!J408)</f>
        <v/>
      </c>
      <c r="B408" s="9">
        <f t="array" ref="B408">COUNT(FIND("input",$D408:$CD408))</f>
        <v>0</v>
      </c>
      <c r="C408" s="9">
        <f t="array" ref="C408">COUNT(FIND("output",$D408:$CD408))</f>
        <v>0</v>
      </c>
    </row>
    <row r="409" spans="1:3" x14ac:dyDescent="0.25">
      <c r="A409" s="9" t="str">
        <f>IF(ISBLANK('Signal Definition'!J409),"",'Signal Definition'!J409)</f>
        <v/>
      </c>
      <c r="B409" s="9">
        <f t="array" ref="B409">COUNT(FIND("input",$D409:$CD409))</f>
        <v>0</v>
      </c>
      <c r="C409" s="9">
        <f t="array" ref="C409">COUNT(FIND("output",$D409:$CD409))</f>
        <v>0</v>
      </c>
    </row>
    <row r="410" spans="1:3" x14ac:dyDescent="0.25">
      <c r="A410" s="9" t="str">
        <f>IF(ISBLANK('Signal Definition'!J410),"",'Signal Definition'!J410)</f>
        <v/>
      </c>
      <c r="B410" s="9">
        <f t="array" ref="B410">COUNT(FIND("input",$D410:$CD410))</f>
        <v>0</v>
      </c>
      <c r="C410" s="9">
        <f t="array" ref="C410">COUNT(FIND("output",$D410:$CD410))</f>
        <v>0</v>
      </c>
    </row>
    <row r="411" spans="1:3" x14ac:dyDescent="0.25">
      <c r="A411" s="9" t="str">
        <f>IF(ISBLANK('Signal Definition'!J411),"",'Signal Definition'!J411)</f>
        <v/>
      </c>
      <c r="B411" s="9">
        <f t="array" ref="B411">COUNT(FIND("input",$D411:$CD411))</f>
        <v>0</v>
      </c>
      <c r="C411" s="9">
        <f t="array" ref="C411">COUNT(FIND("output",$D411:$CD411))</f>
        <v>0</v>
      </c>
    </row>
    <row r="412" spans="1:3" x14ac:dyDescent="0.25">
      <c r="A412" s="9" t="str">
        <f>IF(ISBLANK('Signal Definition'!J412),"",'Signal Definition'!J412)</f>
        <v/>
      </c>
      <c r="B412" s="9">
        <f t="array" ref="B412">COUNT(FIND("input",$D412:$CD412))</f>
        <v>0</v>
      </c>
      <c r="C412" s="9">
        <f t="array" ref="C412">COUNT(FIND("output",$D412:$CD412))</f>
        <v>0</v>
      </c>
    </row>
    <row r="413" spans="1:3" x14ac:dyDescent="0.25">
      <c r="A413" s="9" t="str">
        <f>IF(ISBLANK('Signal Definition'!J413),"",'Signal Definition'!J413)</f>
        <v/>
      </c>
      <c r="B413" s="9">
        <f t="array" ref="B413">COUNT(FIND("input",$D413:$CD413))</f>
        <v>0</v>
      </c>
      <c r="C413" s="9">
        <f t="array" ref="C413">COUNT(FIND("output",$D413:$CD413))</f>
        <v>0</v>
      </c>
    </row>
    <row r="414" spans="1:3" x14ac:dyDescent="0.25">
      <c r="A414" s="9" t="str">
        <f>IF(ISBLANK('Signal Definition'!J414),"",'Signal Definition'!J414)</f>
        <v/>
      </c>
      <c r="B414" s="9">
        <f t="array" ref="B414">COUNT(FIND("input",$D414:$CD414))</f>
        <v>0</v>
      </c>
      <c r="C414" s="9">
        <f t="array" ref="C414">COUNT(FIND("output",$D414:$CD414))</f>
        <v>0</v>
      </c>
    </row>
    <row r="415" spans="1:3" x14ac:dyDescent="0.25">
      <c r="A415" s="9" t="str">
        <f>IF(ISBLANK('Signal Definition'!J415),"",'Signal Definition'!J415)</f>
        <v/>
      </c>
      <c r="B415" s="9">
        <f t="array" ref="B415">COUNT(FIND("input",$D415:$CD415))</f>
        <v>0</v>
      </c>
      <c r="C415" s="9">
        <f t="array" ref="C415">COUNT(FIND("output",$D415:$CD415))</f>
        <v>0</v>
      </c>
    </row>
    <row r="416" spans="1:3" x14ac:dyDescent="0.25">
      <c r="A416" s="9" t="str">
        <f>IF(ISBLANK('Signal Definition'!J416),"",'Signal Definition'!J416)</f>
        <v/>
      </c>
      <c r="B416" s="9">
        <f t="array" ref="B416">COUNT(FIND("input",$D416:$CD416))</f>
        <v>0</v>
      </c>
      <c r="C416" s="9">
        <f t="array" ref="C416">COUNT(FIND("output",$D416:$CD416))</f>
        <v>0</v>
      </c>
    </row>
    <row r="417" spans="1:3" x14ac:dyDescent="0.25">
      <c r="A417" s="9" t="str">
        <f>IF(ISBLANK('Signal Definition'!J417),"",'Signal Definition'!J417)</f>
        <v/>
      </c>
      <c r="B417" s="9">
        <f t="array" ref="B417">COUNT(FIND("input",$D417:$CD417))</f>
        <v>0</v>
      </c>
      <c r="C417" s="9">
        <f t="array" ref="C417">COUNT(FIND("output",$D417:$CD417))</f>
        <v>0</v>
      </c>
    </row>
    <row r="418" spans="1:3" x14ac:dyDescent="0.25">
      <c r="A418" s="9" t="str">
        <f>IF(ISBLANK('Signal Definition'!J418),"",'Signal Definition'!J418)</f>
        <v/>
      </c>
      <c r="B418" s="9">
        <f t="array" ref="B418">COUNT(FIND("input",$D418:$CD418))</f>
        <v>0</v>
      </c>
      <c r="C418" s="9">
        <f t="array" ref="C418">COUNT(FIND("output",$D418:$CD418))</f>
        <v>0</v>
      </c>
    </row>
    <row r="419" spans="1:3" x14ac:dyDescent="0.25">
      <c r="A419" s="9" t="str">
        <f>IF(ISBLANK('Signal Definition'!J419),"",'Signal Definition'!J419)</f>
        <v/>
      </c>
      <c r="B419" s="9">
        <f t="array" ref="B419">COUNT(FIND("input",$D419:$CD419))</f>
        <v>0</v>
      </c>
      <c r="C419" s="9">
        <f t="array" ref="C419">COUNT(FIND("output",$D419:$CD419))</f>
        <v>0</v>
      </c>
    </row>
    <row r="420" spans="1:3" x14ac:dyDescent="0.25">
      <c r="A420" s="9" t="str">
        <f>IF(ISBLANK('Signal Definition'!J420),"",'Signal Definition'!J420)</f>
        <v/>
      </c>
      <c r="B420" s="9">
        <f t="array" ref="B420">COUNT(FIND("input",$D420:$CD420))</f>
        <v>0</v>
      </c>
      <c r="C420" s="9">
        <f t="array" ref="C420">COUNT(FIND("output",$D420:$CD420))</f>
        <v>0</v>
      </c>
    </row>
    <row r="421" spans="1:3" x14ac:dyDescent="0.25">
      <c r="A421" s="9" t="str">
        <f>IF(ISBLANK('Signal Definition'!J421),"",'Signal Definition'!J421)</f>
        <v/>
      </c>
      <c r="B421" s="9">
        <f t="array" ref="B421">COUNT(FIND("input",$D421:$CD421))</f>
        <v>0</v>
      </c>
      <c r="C421" s="9">
        <f t="array" ref="C421">COUNT(FIND("output",$D421:$CD421))</f>
        <v>0</v>
      </c>
    </row>
    <row r="422" spans="1:3" x14ac:dyDescent="0.25">
      <c r="A422" s="9" t="str">
        <f>IF(ISBLANK('Signal Definition'!J422),"",'Signal Definition'!J422)</f>
        <v/>
      </c>
      <c r="B422" s="9">
        <f t="array" ref="B422">COUNT(FIND("input",$D422:$CD422))</f>
        <v>0</v>
      </c>
      <c r="C422" s="9">
        <f t="array" ref="C422">COUNT(FIND("output",$D422:$CD422))</f>
        <v>0</v>
      </c>
    </row>
    <row r="423" spans="1:3" x14ac:dyDescent="0.25">
      <c r="A423" s="9" t="str">
        <f>IF(ISBLANK('Signal Definition'!J423),"",'Signal Definition'!J423)</f>
        <v/>
      </c>
      <c r="B423" s="9">
        <f t="array" ref="B423">COUNT(FIND("input",$D423:$CD423))</f>
        <v>0</v>
      </c>
      <c r="C423" s="9">
        <f t="array" ref="C423">COUNT(FIND("output",$D423:$CD423))</f>
        <v>0</v>
      </c>
    </row>
    <row r="424" spans="1:3" x14ac:dyDescent="0.25">
      <c r="A424" s="9" t="str">
        <f>IF(ISBLANK('Signal Definition'!J424),"",'Signal Definition'!J424)</f>
        <v/>
      </c>
      <c r="B424" s="9">
        <f t="array" ref="B424">COUNT(FIND("input",$D424:$CD424))</f>
        <v>0</v>
      </c>
      <c r="C424" s="9">
        <f t="array" ref="C424">COUNT(FIND("output",$D424:$CD424))</f>
        <v>0</v>
      </c>
    </row>
    <row r="425" spans="1:3" x14ac:dyDescent="0.25">
      <c r="A425" s="9" t="str">
        <f>IF(ISBLANK('Signal Definition'!J425),"",'Signal Definition'!J425)</f>
        <v/>
      </c>
      <c r="B425" s="9">
        <f t="array" ref="B425">COUNT(FIND("input",$D425:$CD425))</f>
        <v>0</v>
      </c>
      <c r="C425" s="9">
        <f t="array" ref="C425">COUNT(FIND("output",$D425:$CD425))</f>
        <v>0</v>
      </c>
    </row>
    <row r="426" spans="1:3" x14ac:dyDescent="0.25">
      <c r="A426" s="9" t="str">
        <f>IF(ISBLANK('Signal Definition'!J426),"",'Signal Definition'!J426)</f>
        <v/>
      </c>
      <c r="B426" s="9">
        <f t="array" ref="B426">COUNT(FIND("input",$D426:$CD426))</f>
        <v>0</v>
      </c>
      <c r="C426" s="9">
        <f t="array" ref="C426">COUNT(FIND("output",$D426:$CD426))</f>
        <v>0</v>
      </c>
    </row>
    <row r="427" spans="1:3" x14ac:dyDescent="0.25">
      <c r="A427" s="9" t="str">
        <f>IF(ISBLANK('Signal Definition'!J427),"",'Signal Definition'!J427)</f>
        <v/>
      </c>
      <c r="B427" s="9">
        <f t="array" ref="B427">COUNT(FIND("input",$D427:$CD427))</f>
        <v>0</v>
      </c>
      <c r="C427" s="9">
        <f t="array" ref="C427">COUNT(FIND("output",$D427:$CD427))</f>
        <v>0</v>
      </c>
    </row>
    <row r="428" spans="1:3" x14ac:dyDescent="0.25">
      <c r="A428" s="9" t="str">
        <f>IF(ISBLANK('Signal Definition'!J428),"",'Signal Definition'!J428)</f>
        <v/>
      </c>
      <c r="B428" s="9">
        <f t="array" ref="B428">COUNT(FIND("input",$D428:$CD428))</f>
        <v>0</v>
      </c>
      <c r="C428" s="9">
        <f t="array" ref="C428">COUNT(FIND("output",$D428:$CD428))</f>
        <v>0</v>
      </c>
    </row>
    <row r="429" spans="1:3" x14ac:dyDescent="0.25">
      <c r="A429" s="9" t="str">
        <f>IF(ISBLANK('Signal Definition'!J429),"",'Signal Definition'!J429)</f>
        <v/>
      </c>
      <c r="B429" s="9">
        <f t="array" ref="B429">COUNT(FIND("input",$D429:$CD429))</f>
        <v>0</v>
      </c>
      <c r="C429" s="9">
        <f t="array" ref="C429">COUNT(FIND("output",$D429:$CD429))</f>
        <v>0</v>
      </c>
    </row>
    <row r="430" spans="1:3" x14ac:dyDescent="0.25">
      <c r="A430" s="9" t="str">
        <f>IF(ISBLANK('Signal Definition'!J430),"",'Signal Definition'!J430)</f>
        <v/>
      </c>
      <c r="B430" s="9">
        <f t="array" ref="B430">COUNT(FIND("input",$D430:$CD430))</f>
        <v>0</v>
      </c>
      <c r="C430" s="9">
        <f t="array" ref="C430">COUNT(FIND("output",$D430:$CD430))</f>
        <v>0</v>
      </c>
    </row>
    <row r="431" spans="1:3" x14ac:dyDescent="0.25">
      <c r="A431" s="9" t="str">
        <f>IF(ISBLANK('Signal Definition'!J431),"",'Signal Definition'!J431)</f>
        <v/>
      </c>
      <c r="B431" s="9">
        <f t="array" ref="B431">COUNT(FIND("input",$D431:$CD431))</f>
        <v>0</v>
      </c>
      <c r="C431" s="9">
        <f t="array" ref="C431">COUNT(FIND("output",$D431:$CD431))</f>
        <v>0</v>
      </c>
    </row>
    <row r="432" spans="1:3" x14ac:dyDescent="0.25">
      <c r="A432" s="9" t="str">
        <f>IF(ISBLANK('Signal Definition'!J432),"",'Signal Definition'!J432)</f>
        <v/>
      </c>
      <c r="B432" s="9">
        <f t="array" ref="B432">COUNT(FIND("input",$D432:$CD432))</f>
        <v>0</v>
      </c>
      <c r="C432" s="9">
        <f t="array" ref="C432">COUNT(FIND("output",$D432:$CD432))</f>
        <v>0</v>
      </c>
    </row>
    <row r="433" spans="1:3" x14ac:dyDescent="0.25">
      <c r="A433" s="9" t="str">
        <f>IF(ISBLANK('Signal Definition'!J433),"",'Signal Definition'!J433)</f>
        <v/>
      </c>
      <c r="B433" s="9">
        <f t="array" ref="B433">COUNT(FIND("input",$D433:$CD433))</f>
        <v>0</v>
      </c>
      <c r="C433" s="9">
        <f t="array" ref="C433">COUNT(FIND("output",$D433:$CD433))</f>
        <v>0</v>
      </c>
    </row>
    <row r="434" spans="1:3" x14ac:dyDescent="0.25">
      <c r="A434" s="9" t="str">
        <f>IF(ISBLANK('Signal Definition'!J434),"",'Signal Definition'!J434)</f>
        <v/>
      </c>
      <c r="B434" s="9">
        <f t="array" ref="B434">COUNT(FIND("input",$D434:$CD434))</f>
        <v>0</v>
      </c>
      <c r="C434" s="9">
        <f t="array" ref="C434">COUNT(FIND("output",$D434:$CD434))</f>
        <v>0</v>
      </c>
    </row>
    <row r="435" spans="1:3" x14ac:dyDescent="0.25">
      <c r="A435" s="9" t="str">
        <f>IF(ISBLANK('Signal Definition'!J435),"",'Signal Definition'!J435)</f>
        <v/>
      </c>
      <c r="B435" s="9">
        <f t="array" ref="B435">COUNT(FIND("input",$D435:$CD435))</f>
        <v>0</v>
      </c>
      <c r="C435" s="9">
        <f t="array" ref="C435">COUNT(FIND("output",$D435:$CD435))</f>
        <v>0</v>
      </c>
    </row>
    <row r="436" spans="1:3" x14ac:dyDescent="0.25">
      <c r="A436" s="9" t="str">
        <f>IF(ISBLANK('Signal Definition'!J436),"",'Signal Definition'!J436)</f>
        <v/>
      </c>
      <c r="B436" s="9">
        <f t="array" ref="B436">COUNT(FIND("input",$D436:$CD436))</f>
        <v>0</v>
      </c>
      <c r="C436" s="9">
        <f t="array" ref="C436">COUNT(FIND("output",$D436:$CD436))</f>
        <v>0</v>
      </c>
    </row>
    <row r="437" spans="1:3" x14ac:dyDescent="0.25">
      <c r="A437" s="9" t="str">
        <f>IF(ISBLANK('Signal Definition'!J437),"",'Signal Definition'!J437)</f>
        <v/>
      </c>
      <c r="B437" s="9">
        <f t="array" ref="B437">COUNT(FIND("input",$D437:$CD437))</f>
        <v>0</v>
      </c>
      <c r="C437" s="9">
        <f t="array" ref="C437">COUNT(FIND("output",$D437:$CD437))</f>
        <v>0</v>
      </c>
    </row>
    <row r="438" spans="1:3" x14ac:dyDescent="0.25">
      <c r="A438" s="9" t="str">
        <f>IF(ISBLANK('Signal Definition'!J438),"",'Signal Definition'!J438)</f>
        <v/>
      </c>
      <c r="B438" s="9">
        <f t="array" ref="B438">COUNT(FIND("input",$D438:$CD438))</f>
        <v>0</v>
      </c>
      <c r="C438" s="9">
        <f t="array" ref="C438">COUNT(FIND("output",$D438:$CD438))</f>
        <v>0</v>
      </c>
    </row>
    <row r="439" spans="1:3" x14ac:dyDescent="0.25">
      <c r="A439" s="9" t="str">
        <f>IF(ISBLANK('Signal Definition'!J439),"",'Signal Definition'!J439)</f>
        <v/>
      </c>
      <c r="B439" s="9">
        <f t="array" ref="B439">COUNT(FIND("input",$D439:$CD439))</f>
        <v>0</v>
      </c>
      <c r="C439" s="9">
        <f t="array" ref="C439">COUNT(FIND("output",$D439:$CD439))</f>
        <v>0</v>
      </c>
    </row>
    <row r="440" spans="1:3" x14ac:dyDescent="0.25">
      <c r="A440" s="9" t="str">
        <f>IF(ISBLANK('Signal Definition'!J440),"",'Signal Definition'!J440)</f>
        <v/>
      </c>
      <c r="B440" s="9">
        <f t="array" ref="B440">COUNT(FIND("input",$D440:$CD440))</f>
        <v>0</v>
      </c>
      <c r="C440" s="9">
        <f t="array" ref="C440">COUNT(FIND("output",$D440:$CD440))</f>
        <v>0</v>
      </c>
    </row>
    <row r="441" spans="1:3" x14ac:dyDescent="0.25">
      <c r="A441" s="9" t="str">
        <f>IF(ISBLANK('Signal Definition'!J441),"",'Signal Definition'!J441)</f>
        <v/>
      </c>
      <c r="B441" s="9">
        <f t="array" ref="B441">COUNT(FIND("input",$D441:$CD441))</f>
        <v>0</v>
      </c>
      <c r="C441" s="9">
        <f t="array" ref="C441">COUNT(FIND("output",$D441:$CD441))</f>
        <v>0</v>
      </c>
    </row>
    <row r="442" spans="1:3" x14ac:dyDescent="0.25">
      <c r="A442" s="9" t="str">
        <f>IF(ISBLANK('Signal Definition'!J442),"",'Signal Definition'!J442)</f>
        <v/>
      </c>
      <c r="B442" s="9">
        <f t="array" ref="B442">COUNT(FIND("input",$D442:$CD442))</f>
        <v>0</v>
      </c>
      <c r="C442" s="9">
        <f t="array" ref="C442">COUNT(FIND("output",$D442:$CD442))</f>
        <v>0</v>
      </c>
    </row>
    <row r="443" spans="1:3" x14ac:dyDescent="0.25">
      <c r="A443" s="9" t="str">
        <f>IF(ISBLANK('Signal Definition'!J443),"",'Signal Definition'!J443)</f>
        <v/>
      </c>
      <c r="B443" s="9">
        <f t="array" ref="B443">COUNT(FIND("input",$D443:$CD443))</f>
        <v>0</v>
      </c>
      <c r="C443" s="9">
        <f t="array" ref="C443">COUNT(FIND("output",$D443:$CD443))</f>
        <v>0</v>
      </c>
    </row>
    <row r="444" spans="1:3" x14ac:dyDescent="0.25">
      <c r="A444" s="9" t="str">
        <f>IF(ISBLANK('Signal Definition'!J444),"",'Signal Definition'!J444)</f>
        <v/>
      </c>
      <c r="B444" s="9">
        <f t="array" ref="B444">COUNT(FIND("input",$D444:$CD444))</f>
        <v>0</v>
      </c>
      <c r="C444" s="9">
        <f t="array" ref="C444">COUNT(FIND("output",$D444:$CD444))</f>
        <v>0</v>
      </c>
    </row>
    <row r="445" spans="1:3" x14ac:dyDescent="0.25">
      <c r="A445" s="9" t="str">
        <f>IF(ISBLANK('Signal Definition'!J445),"",'Signal Definition'!J445)</f>
        <v/>
      </c>
      <c r="B445" s="9">
        <f t="array" ref="B445">COUNT(FIND("input",$D445:$CD445))</f>
        <v>0</v>
      </c>
      <c r="C445" s="9">
        <f t="array" ref="C445">COUNT(FIND("output",$D445:$CD445))</f>
        <v>0</v>
      </c>
    </row>
    <row r="446" spans="1:3" x14ac:dyDescent="0.25">
      <c r="A446" s="9" t="str">
        <f>IF(ISBLANK('Signal Definition'!J446),"",'Signal Definition'!J446)</f>
        <v/>
      </c>
      <c r="B446" s="9">
        <f t="array" ref="B446">COUNT(FIND("input",$D446:$CD446))</f>
        <v>0</v>
      </c>
      <c r="C446" s="9">
        <f t="array" ref="C446">COUNT(FIND("output",$D446:$CD446))</f>
        <v>0</v>
      </c>
    </row>
    <row r="447" spans="1:3" x14ac:dyDescent="0.25">
      <c r="A447" s="9" t="str">
        <f>IF(ISBLANK('Signal Definition'!J447),"",'Signal Definition'!J447)</f>
        <v/>
      </c>
      <c r="B447" s="9">
        <f t="array" ref="B447">COUNT(FIND("input",$D447:$CD447))</f>
        <v>0</v>
      </c>
      <c r="C447" s="9">
        <f t="array" ref="C447">COUNT(FIND("output",$D447:$CD447))</f>
        <v>0</v>
      </c>
    </row>
    <row r="448" spans="1:3" x14ac:dyDescent="0.25">
      <c r="A448" s="9" t="str">
        <f>IF(ISBLANK('Signal Definition'!J448),"",'Signal Definition'!J448)</f>
        <v/>
      </c>
      <c r="B448" s="9">
        <f t="array" ref="B448">COUNT(FIND("input",$D448:$CD448))</f>
        <v>0</v>
      </c>
      <c r="C448" s="9">
        <f t="array" ref="C448">COUNT(FIND("output",$D448:$CD448))</f>
        <v>0</v>
      </c>
    </row>
    <row r="449" spans="1:3" x14ac:dyDescent="0.25">
      <c r="A449" s="9" t="str">
        <f>IF(ISBLANK('Signal Definition'!J449),"",'Signal Definition'!J449)</f>
        <v/>
      </c>
      <c r="B449" s="9">
        <f t="array" ref="B449">COUNT(FIND("input",$D449:$CD449))</f>
        <v>0</v>
      </c>
      <c r="C449" s="9">
        <f t="array" ref="C449">COUNT(FIND("output",$D449:$CD449))</f>
        <v>0</v>
      </c>
    </row>
    <row r="450" spans="1:3" x14ac:dyDescent="0.25">
      <c r="A450" s="9" t="str">
        <f>IF(ISBLANK('Signal Definition'!J450),"",'Signal Definition'!J450)</f>
        <v/>
      </c>
      <c r="B450" s="9">
        <f t="array" ref="B450">COUNT(FIND("input",$D450:$CD450))</f>
        <v>0</v>
      </c>
      <c r="C450" s="9">
        <f t="array" ref="C450">COUNT(FIND("output",$D450:$CD450))</f>
        <v>0</v>
      </c>
    </row>
    <row r="451" spans="1:3" x14ac:dyDescent="0.25">
      <c r="A451" s="9" t="str">
        <f>IF(ISBLANK('Signal Definition'!J451),"",'Signal Definition'!J451)</f>
        <v/>
      </c>
      <c r="B451" s="9">
        <f t="array" ref="B451">COUNT(FIND("input",$D451:$CD451))</f>
        <v>0</v>
      </c>
      <c r="C451" s="9">
        <f t="array" ref="C451">COUNT(FIND("output",$D451:$CD451))</f>
        <v>0</v>
      </c>
    </row>
    <row r="452" spans="1:3" x14ac:dyDescent="0.25">
      <c r="A452" s="9" t="str">
        <f>IF(ISBLANK('Signal Definition'!J452),"",'Signal Definition'!J452)</f>
        <v/>
      </c>
      <c r="B452" s="9">
        <f t="array" ref="B452">COUNT(FIND("input",$D452:$CD452))</f>
        <v>0</v>
      </c>
      <c r="C452" s="9">
        <f t="array" ref="C452">COUNT(FIND("output",$D452:$CD452))</f>
        <v>0</v>
      </c>
    </row>
    <row r="453" spans="1:3" x14ac:dyDescent="0.25">
      <c r="A453" s="9" t="str">
        <f>IF(ISBLANK('Signal Definition'!J453),"",'Signal Definition'!J453)</f>
        <v/>
      </c>
      <c r="B453" s="9">
        <f t="array" ref="B453">COUNT(FIND("input",$D453:$CD453))</f>
        <v>0</v>
      </c>
      <c r="C453" s="9">
        <f t="array" ref="C453">COUNT(FIND("output",$D453:$CD453))</f>
        <v>0</v>
      </c>
    </row>
    <row r="454" spans="1:3" x14ac:dyDescent="0.25">
      <c r="A454" s="9" t="str">
        <f>IF(ISBLANK('Signal Definition'!J454),"",'Signal Definition'!J454)</f>
        <v/>
      </c>
      <c r="B454" s="9">
        <f t="array" ref="B454">COUNT(FIND("input",$D454:$CD454))</f>
        <v>0</v>
      </c>
      <c r="C454" s="9">
        <f t="array" ref="C454">COUNT(FIND("output",$D454:$CD454))</f>
        <v>0</v>
      </c>
    </row>
    <row r="455" spans="1:3" x14ac:dyDescent="0.25">
      <c r="A455" s="9" t="str">
        <f>IF(ISBLANK('Signal Definition'!J455),"",'Signal Definition'!J455)</f>
        <v/>
      </c>
      <c r="B455" s="9">
        <f t="array" ref="B455">COUNT(FIND("input",$D455:$CD455))</f>
        <v>0</v>
      </c>
      <c r="C455" s="9">
        <f t="array" ref="C455">COUNT(FIND("output",$D455:$CD455))</f>
        <v>0</v>
      </c>
    </row>
    <row r="456" spans="1:3" x14ac:dyDescent="0.25">
      <c r="A456" s="9" t="str">
        <f>IF(ISBLANK('Signal Definition'!J456),"",'Signal Definition'!J456)</f>
        <v/>
      </c>
      <c r="B456" s="9">
        <f t="array" ref="B456">COUNT(FIND("input",$D456:$CD456))</f>
        <v>0</v>
      </c>
      <c r="C456" s="9">
        <f t="array" ref="C456">COUNT(FIND("output",$D456:$CD456))</f>
        <v>0</v>
      </c>
    </row>
    <row r="457" spans="1:3" x14ac:dyDescent="0.25">
      <c r="A457" s="9" t="str">
        <f>IF(ISBLANK('Signal Definition'!J457),"",'Signal Definition'!J457)</f>
        <v/>
      </c>
      <c r="B457" s="9">
        <f t="array" ref="B457">COUNT(FIND("input",$D457:$CD457))</f>
        <v>0</v>
      </c>
      <c r="C457" s="9">
        <f t="array" ref="C457">COUNT(FIND("output",$D457:$CD457))</f>
        <v>0</v>
      </c>
    </row>
    <row r="458" spans="1:3" x14ac:dyDescent="0.25">
      <c r="A458" s="9" t="str">
        <f>IF(ISBLANK('Signal Definition'!J458),"",'Signal Definition'!J458)</f>
        <v/>
      </c>
      <c r="B458" s="9">
        <f t="array" ref="B458">COUNT(FIND("input",$D458:$CD458))</f>
        <v>0</v>
      </c>
      <c r="C458" s="9">
        <f t="array" ref="C458">COUNT(FIND("output",$D458:$CD458))</f>
        <v>0</v>
      </c>
    </row>
    <row r="459" spans="1:3" x14ac:dyDescent="0.25">
      <c r="A459" s="9" t="str">
        <f>IF(ISBLANK('Signal Definition'!J459),"",'Signal Definition'!J459)</f>
        <v/>
      </c>
      <c r="B459" s="9">
        <f t="array" ref="B459">COUNT(FIND("input",$D459:$CD459))</f>
        <v>0</v>
      </c>
      <c r="C459" s="9">
        <f t="array" ref="C459">COUNT(FIND("output",$D459:$CD459))</f>
        <v>0</v>
      </c>
    </row>
    <row r="460" spans="1:3" x14ac:dyDescent="0.25">
      <c r="A460" s="9" t="str">
        <f>IF(ISBLANK('Signal Definition'!J460),"",'Signal Definition'!J460)</f>
        <v/>
      </c>
      <c r="B460" s="9">
        <f t="array" ref="B460">COUNT(FIND("input",$D460:$CD460))</f>
        <v>0</v>
      </c>
      <c r="C460" s="9">
        <f t="array" ref="C460">COUNT(FIND("output",$D460:$CD460))</f>
        <v>0</v>
      </c>
    </row>
    <row r="461" spans="1:3" x14ac:dyDescent="0.25">
      <c r="A461" s="9" t="str">
        <f>IF(ISBLANK('Signal Definition'!J461),"",'Signal Definition'!J461)</f>
        <v/>
      </c>
      <c r="B461" s="9">
        <f t="array" ref="B461">COUNT(FIND("input",$D461:$CD461))</f>
        <v>0</v>
      </c>
      <c r="C461" s="9">
        <f t="array" ref="C461">COUNT(FIND("output",$D461:$CD461))</f>
        <v>0</v>
      </c>
    </row>
    <row r="462" spans="1:3" x14ac:dyDescent="0.25">
      <c r="A462" s="9" t="str">
        <f>IF(ISBLANK('Signal Definition'!J462),"",'Signal Definition'!J462)</f>
        <v/>
      </c>
      <c r="B462" s="9">
        <f t="array" ref="B462">COUNT(FIND("input",$D462:$CD462))</f>
        <v>0</v>
      </c>
      <c r="C462" s="9">
        <f t="array" ref="C462">COUNT(FIND("output",$D462:$CD462))</f>
        <v>0</v>
      </c>
    </row>
    <row r="463" spans="1:3" x14ac:dyDescent="0.25">
      <c r="A463" s="9" t="str">
        <f>IF(ISBLANK('Signal Definition'!J463),"",'Signal Definition'!J463)</f>
        <v/>
      </c>
      <c r="B463" s="9">
        <f t="array" ref="B463">COUNT(FIND("input",$D463:$CD463))</f>
        <v>0</v>
      </c>
      <c r="C463" s="9">
        <f t="array" ref="C463">COUNT(FIND("output",$D463:$CD463))</f>
        <v>0</v>
      </c>
    </row>
    <row r="464" spans="1:3" x14ac:dyDescent="0.25">
      <c r="A464" s="9" t="str">
        <f>IF(ISBLANK('Signal Definition'!J464),"",'Signal Definition'!J464)</f>
        <v/>
      </c>
      <c r="B464" s="9">
        <f t="array" ref="B464">COUNT(FIND("input",$D464:$CD464))</f>
        <v>0</v>
      </c>
      <c r="C464" s="9">
        <f t="array" ref="C464">COUNT(FIND("output",$D464:$CD464))</f>
        <v>0</v>
      </c>
    </row>
    <row r="465" spans="1:3" x14ac:dyDescent="0.25">
      <c r="A465" s="9" t="str">
        <f>IF(ISBLANK('Signal Definition'!J465),"",'Signal Definition'!J465)</f>
        <v/>
      </c>
      <c r="B465" s="9">
        <f t="array" ref="B465">COUNT(FIND("input",$D465:$CD465))</f>
        <v>0</v>
      </c>
      <c r="C465" s="9">
        <f t="array" ref="C465">COUNT(FIND("output",$D465:$CD465))</f>
        <v>0</v>
      </c>
    </row>
    <row r="466" spans="1:3" x14ac:dyDescent="0.25">
      <c r="A466" s="9" t="str">
        <f>IF(ISBLANK('Signal Definition'!J466),"",'Signal Definition'!J466)</f>
        <v/>
      </c>
      <c r="B466" s="9">
        <f t="array" ref="B466">COUNT(FIND("input",$D466:$CD466))</f>
        <v>0</v>
      </c>
      <c r="C466" s="9">
        <f t="array" ref="C466">COUNT(FIND("output",$D466:$CD466))</f>
        <v>0</v>
      </c>
    </row>
    <row r="467" spans="1:3" x14ac:dyDescent="0.25">
      <c r="A467" s="9" t="str">
        <f>IF(ISBLANK('Signal Definition'!J467),"",'Signal Definition'!J467)</f>
        <v/>
      </c>
      <c r="B467" s="9">
        <f t="array" ref="B467">COUNT(FIND("input",$D467:$CD467))</f>
        <v>0</v>
      </c>
      <c r="C467" s="9">
        <f t="array" ref="C467">COUNT(FIND("output",$D467:$CD467))</f>
        <v>0</v>
      </c>
    </row>
    <row r="468" spans="1:3" x14ac:dyDescent="0.25">
      <c r="A468" s="9" t="str">
        <f>IF(ISBLANK('Signal Definition'!J468),"",'Signal Definition'!J468)</f>
        <v/>
      </c>
      <c r="B468" s="9">
        <f t="array" ref="B468">COUNT(FIND("input",$D468:$CD468))</f>
        <v>0</v>
      </c>
      <c r="C468" s="9">
        <f t="array" ref="C468">COUNT(FIND("output",$D468:$CD468))</f>
        <v>0</v>
      </c>
    </row>
    <row r="469" spans="1:3" x14ac:dyDescent="0.25">
      <c r="A469" s="9" t="str">
        <f>IF(ISBLANK('Signal Definition'!J469),"",'Signal Definition'!J469)</f>
        <v/>
      </c>
      <c r="B469" s="9">
        <f t="array" ref="B469">COUNT(FIND("input",$D469:$CD469))</f>
        <v>0</v>
      </c>
      <c r="C469" s="9">
        <f t="array" ref="C469">COUNT(FIND("output",$D469:$CD469))</f>
        <v>0</v>
      </c>
    </row>
    <row r="470" spans="1:3" x14ac:dyDescent="0.25">
      <c r="A470" s="9" t="str">
        <f>IF(ISBLANK('Signal Definition'!J470),"",'Signal Definition'!J470)</f>
        <v/>
      </c>
      <c r="B470" s="9">
        <f t="array" ref="B470">COUNT(FIND("input",$D470:$CD470))</f>
        <v>0</v>
      </c>
      <c r="C470" s="9">
        <f t="array" ref="C470">COUNT(FIND("output",$D470:$CD470))</f>
        <v>0</v>
      </c>
    </row>
    <row r="471" spans="1:3" x14ac:dyDescent="0.25">
      <c r="A471" s="9" t="str">
        <f>IF(ISBLANK('Signal Definition'!J471),"",'Signal Definition'!J471)</f>
        <v/>
      </c>
      <c r="B471" s="9">
        <f t="array" ref="B471">COUNT(FIND("input",$D471:$CD471))</f>
        <v>0</v>
      </c>
      <c r="C471" s="9">
        <f t="array" ref="C471">COUNT(FIND("output",$D471:$CD471))</f>
        <v>0</v>
      </c>
    </row>
    <row r="472" spans="1:3" x14ac:dyDescent="0.25">
      <c r="A472" s="9" t="str">
        <f>IF(ISBLANK('Signal Definition'!J472),"",'Signal Definition'!J472)</f>
        <v/>
      </c>
      <c r="B472" s="9">
        <f t="array" ref="B472">COUNT(FIND("input",$D472:$CD472))</f>
        <v>0</v>
      </c>
      <c r="C472" s="9">
        <f t="array" ref="C472">COUNT(FIND("output",$D472:$CD472))</f>
        <v>0</v>
      </c>
    </row>
    <row r="473" spans="1:3" x14ac:dyDescent="0.25">
      <c r="A473" s="9" t="str">
        <f>IF(ISBLANK('Signal Definition'!J473),"",'Signal Definition'!J473)</f>
        <v/>
      </c>
      <c r="B473" s="9">
        <f t="array" ref="B473">COUNT(FIND("input",$D473:$CD473))</f>
        <v>0</v>
      </c>
      <c r="C473" s="9">
        <f t="array" ref="C473">COUNT(FIND("output",$D473:$CD473))</f>
        <v>0</v>
      </c>
    </row>
    <row r="474" spans="1:3" x14ac:dyDescent="0.25">
      <c r="A474" s="9" t="str">
        <f>IF(ISBLANK('Signal Definition'!J474),"",'Signal Definition'!J474)</f>
        <v/>
      </c>
      <c r="B474" s="9">
        <f t="array" ref="B474">COUNT(FIND("input",$D474:$CD474))</f>
        <v>0</v>
      </c>
      <c r="C474" s="9">
        <f t="array" ref="C474">COUNT(FIND("output",$D474:$CD474))</f>
        <v>0</v>
      </c>
    </row>
    <row r="475" spans="1:3" x14ac:dyDescent="0.25">
      <c r="A475" s="9" t="str">
        <f>IF(ISBLANK('Signal Definition'!J475),"",'Signal Definition'!J475)</f>
        <v/>
      </c>
      <c r="B475" s="9">
        <f t="array" ref="B475">COUNT(FIND("input",$D475:$CD475))</f>
        <v>0</v>
      </c>
      <c r="C475" s="9">
        <f t="array" ref="C475">COUNT(FIND("output",$D475:$CD475))</f>
        <v>0</v>
      </c>
    </row>
    <row r="476" spans="1:3" x14ac:dyDescent="0.25">
      <c r="A476" s="9" t="str">
        <f>IF(ISBLANK('Signal Definition'!J476),"",'Signal Definition'!J476)</f>
        <v/>
      </c>
      <c r="B476" s="9">
        <f t="array" ref="B476">COUNT(FIND("input",$D476:$CD476))</f>
        <v>0</v>
      </c>
      <c r="C476" s="9">
        <f t="array" ref="C476">COUNT(FIND("output",$D476:$CD476))</f>
        <v>0</v>
      </c>
    </row>
    <row r="477" spans="1:3" x14ac:dyDescent="0.25">
      <c r="A477" s="9" t="str">
        <f>IF(ISBLANK('Signal Definition'!J477),"",'Signal Definition'!J477)</f>
        <v/>
      </c>
      <c r="B477" s="9">
        <f t="array" ref="B477">COUNT(FIND("input",$D477:$CD477))</f>
        <v>0</v>
      </c>
      <c r="C477" s="9">
        <f t="array" ref="C477">COUNT(FIND("output",$D477:$CD477))</f>
        <v>0</v>
      </c>
    </row>
    <row r="478" spans="1:3" x14ac:dyDescent="0.25">
      <c r="A478" s="9" t="str">
        <f>IF(ISBLANK('Signal Definition'!J478),"",'Signal Definition'!J478)</f>
        <v/>
      </c>
      <c r="B478" s="9">
        <f t="array" ref="B478">COUNT(FIND("input",$D478:$CD478))</f>
        <v>0</v>
      </c>
      <c r="C478" s="9">
        <f t="array" ref="C478">COUNT(FIND("output",$D478:$CD478))</f>
        <v>0</v>
      </c>
    </row>
    <row r="479" spans="1:3" x14ac:dyDescent="0.25">
      <c r="A479" s="9" t="str">
        <f>IF(ISBLANK('Signal Definition'!J479),"",'Signal Definition'!J479)</f>
        <v/>
      </c>
      <c r="B479" s="9">
        <f t="array" ref="B479">COUNT(FIND("input",$D479:$CD479))</f>
        <v>0</v>
      </c>
      <c r="C479" s="9">
        <f t="array" ref="C479">COUNT(FIND("output",$D479:$CD479))</f>
        <v>0</v>
      </c>
    </row>
    <row r="480" spans="1:3" x14ac:dyDescent="0.25">
      <c r="A480" s="9" t="str">
        <f>IF(ISBLANK('Signal Definition'!J480),"",'Signal Definition'!J480)</f>
        <v/>
      </c>
      <c r="B480" s="9">
        <f t="array" ref="B480">COUNT(FIND("input",$D480:$CD480))</f>
        <v>0</v>
      </c>
      <c r="C480" s="9">
        <f t="array" ref="C480">COUNT(FIND("output",$D480:$CD480))</f>
        <v>0</v>
      </c>
    </row>
    <row r="481" spans="1:3" x14ac:dyDescent="0.25">
      <c r="A481" s="9" t="str">
        <f>IF(ISBLANK('Signal Definition'!J481),"",'Signal Definition'!J481)</f>
        <v/>
      </c>
      <c r="B481" s="9">
        <f t="array" ref="B481">COUNT(FIND("input",$D481:$CD481))</f>
        <v>0</v>
      </c>
      <c r="C481" s="9">
        <f t="array" ref="C481">COUNT(FIND("output",$D481:$CD481))</f>
        <v>0</v>
      </c>
    </row>
    <row r="482" spans="1:3" x14ac:dyDescent="0.25">
      <c r="A482" s="9" t="str">
        <f>IF(ISBLANK('Signal Definition'!J482),"",'Signal Definition'!J482)</f>
        <v/>
      </c>
      <c r="B482" s="9">
        <f t="array" ref="B482">COUNT(FIND("input",$D482:$CD482))</f>
        <v>0</v>
      </c>
      <c r="C482" s="9">
        <f t="array" ref="C482">COUNT(FIND("output",$D482:$CD482))</f>
        <v>0</v>
      </c>
    </row>
    <row r="483" spans="1:3" x14ac:dyDescent="0.25">
      <c r="A483" s="9" t="str">
        <f>IF(ISBLANK('Signal Definition'!J483),"",'Signal Definition'!J483)</f>
        <v/>
      </c>
      <c r="B483" s="9">
        <f t="array" ref="B483">COUNT(FIND("input",$D483:$CD483))</f>
        <v>0</v>
      </c>
      <c r="C483" s="9">
        <f t="array" ref="C483">COUNT(FIND("output",$D483:$CD483))</f>
        <v>0</v>
      </c>
    </row>
    <row r="484" spans="1:3" x14ac:dyDescent="0.25">
      <c r="A484" s="9" t="str">
        <f>IF(ISBLANK('Signal Definition'!J484),"",'Signal Definition'!J484)</f>
        <v/>
      </c>
      <c r="B484" s="9">
        <f t="array" ref="B484">COUNT(FIND("input",$D484:$CD484))</f>
        <v>0</v>
      </c>
      <c r="C484" s="9">
        <f t="array" ref="C484">COUNT(FIND("output",$D484:$CD484))</f>
        <v>0</v>
      </c>
    </row>
    <row r="485" spans="1:3" x14ac:dyDescent="0.25">
      <c r="A485" s="9" t="str">
        <f>IF(ISBLANK('Signal Definition'!J485),"",'Signal Definition'!J485)</f>
        <v/>
      </c>
      <c r="B485" s="9">
        <f t="array" ref="B485">COUNT(FIND("input",$D485:$CD485))</f>
        <v>0</v>
      </c>
      <c r="C485" s="9">
        <f t="array" ref="C485">COUNT(FIND("output",$D485:$CD485))</f>
        <v>0</v>
      </c>
    </row>
    <row r="486" spans="1:3" x14ac:dyDescent="0.25">
      <c r="A486" s="9" t="str">
        <f>IF(ISBLANK('Signal Definition'!J486),"",'Signal Definition'!J486)</f>
        <v/>
      </c>
      <c r="B486" s="9">
        <f t="array" ref="B486">COUNT(FIND("input",$D486:$CD486))</f>
        <v>0</v>
      </c>
      <c r="C486" s="9">
        <f t="array" ref="C486">COUNT(FIND("output",$D486:$CD486))</f>
        <v>0</v>
      </c>
    </row>
    <row r="487" spans="1:3" x14ac:dyDescent="0.25">
      <c r="A487" s="9" t="str">
        <f>IF(ISBLANK('Signal Definition'!J487),"",'Signal Definition'!J487)</f>
        <v/>
      </c>
      <c r="B487" s="9">
        <f t="array" ref="B487">COUNT(FIND("input",$D487:$CD487))</f>
        <v>0</v>
      </c>
      <c r="C487" s="9">
        <f t="array" ref="C487">COUNT(FIND("output",$D487:$CD487))</f>
        <v>0</v>
      </c>
    </row>
    <row r="488" spans="1:3" x14ac:dyDescent="0.25">
      <c r="A488" s="9" t="str">
        <f>IF(ISBLANK('Signal Definition'!J488),"",'Signal Definition'!J488)</f>
        <v/>
      </c>
      <c r="B488" s="9">
        <f t="array" ref="B488">COUNT(FIND("input",$D488:$CD488))</f>
        <v>0</v>
      </c>
      <c r="C488" s="9">
        <f t="array" ref="C488">COUNT(FIND("output",$D488:$CD488))</f>
        <v>0</v>
      </c>
    </row>
    <row r="489" spans="1:3" x14ac:dyDescent="0.25">
      <c r="A489" s="9" t="str">
        <f>IF(ISBLANK('Signal Definition'!J489),"",'Signal Definition'!J489)</f>
        <v/>
      </c>
      <c r="B489" s="9">
        <f t="array" ref="B489">COUNT(FIND("input",$D489:$CD489))</f>
        <v>0</v>
      </c>
      <c r="C489" s="9">
        <f t="array" ref="C489">COUNT(FIND("output",$D489:$CD489))</f>
        <v>0</v>
      </c>
    </row>
    <row r="490" spans="1:3" x14ac:dyDescent="0.25">
      <c r="A490" s="9" t="str">
        <f>IF(ISBLANK('Signal Definition'!J490),"",'Signal Definition'!J490)</f>
        <v/>
      </c>
      <c r="B490" s="9">
        <f t="array" ref="B490">COUNT(FIND("input",$D490:$CD490))</f>
        <v>0</v>
      </c>
      <c r="C490" s="9">
        <f t="array" ref="C490">COUNT(FIND("output",$D490:$CD490))</f>
        <v>0</v>
      </c>
    </row>
    <row r="491" spans="1:3" x14ac:dyDescent="0.25">
      <c r="A491" s="9" t="str">
        <f>IF(ISBLANK('Signal Definition'!J491),"",'Signal Definition'!J491)</f>
        <v/>
      </c>
      <c r="B491" s="9">
        <f t="array" ref="B491">COUNT(FIND("input",$D491:$CD491))</f>
        <v>0</v>
      </c>
      <c r="C491" s="9">
        <f t="array" ref="C491">COUNT(FIND("output",$D491:$CD491))</f>
        <v>0</v>
      </c>
    </row>
    <row r="492" spans="1:3" x14ac:dyDescent="0.25">
      <c r="A492" s="9" t="str">
        <f>IF(ISBLANK('Signal Definition'!J492),"",'Signal Definition'!J492)</f>
        <v/>
      </c>
      <c r="B492" s="9">
        <f t="array" ref="B492">COUNT(FIND("input",$D492:$CD492))</f>
        <v>0</v>
      </c>
      <c r="C492" s="9">
        <f t="array" ref="C492">COUNT(FIND("output",$D492:$CD492))</f>
        <v>0</v>
      </c>
    </row>
    <row r="493" spans="1:3" x14ac:dyDescent="0.25">
      <c r="A493" s="9" t="str">
        <f>IF(ISBLANK('Signal Definition'!J493),"",'Signal Definition'!J493)</f>
        <v/>
      </c>
      <c r="B493" s="9">
        <f t="array" ref="B493">COUNT(FIND("input",$D493:$CD493))</f>
        <v>0</v>
      </c>
      <c r="C493" s="9">
        <f t="array" ref="C493">COUNT(FIND("output",$D493:$CD493))</f>
        <v>0</v>
      </c>
    </row>
    <row r="494" spans="1:3" x14ac:dyDescent="0.25">
      <c r="A494" s="9" t="str">
        <f>IF(ISBLANK('Signal Definition'!J494),"",'Signal Definition'!J494)</f>
        <v/>
      </c>
      <c r="B494" s="9">
        <f t="array" ref="B494">COUNT(FIND("input",$D494:$CD494))</f>
        <v>0</v>
      </c>
      <c r="C494" s="9">
        <f t="array" ref="C494">COUNT(FIND("output",$D494:$CD494))</f>
        <v>0</v>
      </c>
    </row>
    <row r="495" spans="1:3" x14ac:dyDescent="0.25">
      <c r="A495" s="9" t="str">
        <f>IF(ISBLANK('Signal Definition'!J495),"",'Signal Definition'!J495)</f>
        <v/>
      </c>
      <c r="B495" s="9">
        <f t="array" ref="B495">COUNT(FIND("input",$D495:$CD495))</f>
        <v>0</v>
      </c>
      <c r="C495" s="9">
        <f t="array" ref="C495">COUNT(FIND("output",$D495:$CD495))</f>
        <v>0</v>
      </c>
    </row>
    <row r="496" spans="1:3" x14ac:dyDescent="0.25">
      <c r="A496" s="9" t="str">
        <f>IF(ISBLANK('Signal Definition'!J496),"",'Signal Definition'!J496)</f>
        <v/>
      </c>
      <c r="B496" s="9">
        <f t="array" ref="B496">COUNT(FIND("input",$D496:$CD496))</f>
        <v>0</v>
      </c>
      <c r="C496" s="9">
        <f t="array" ref="C496">COUNT(FIND("output",$D496:$CD496))</f>
        <v>0</v>
      </c>
    </row>
    <row r="497" spans="1:3" x14ac:dyDescent="0.25">
      <c r="A497" s="9" t="str">
        <f>IF(ISBLANK('Signal Definition'!J497),"",'Signal Definition'!J497)</f>
        <v/>
      </c>
      <c r="B497" s="9">
        <f t="array" ref="B497">COUNT(FIND("input",$D497:$CD497))</f>
        <v>0</v>
      </c>
      <c r="C497" s="9">
        <f t="array" ref="C497">COUNT(FIND("output",$D497:$CD497))</f>
        <v>0</v>
      </c>
    </row>
    <row r="498" spans="1:3" x14ac:dyDescent="0.25">
      <c r="A498" s="9" t="str">
        <f>IF(ISBLANK('Signal Definition'!J498),"",'Signal Definition'!J498)</f>
        <v/>
      </c>
      <c r="B498" s="9">
        <f t="array" ref="B498">COUNT(FIND("input",$D498:$CD498))</f>
        <v>0</v>
      </c>
      <c r="C498" s="9">
        <f t="array" ref="C498">COUNT(FIND("output",$D498:$CD498))</f>
        <v>0</v>
      </c>
    </row>
    <row r="499" spans="1:3" x14ac:dyDescent="0.25">
      <c r="A499" s="9" t="str">
        <f>IF(ISBLANK('Signal Definition'!J499),"",'Signal Definition'!J499)</f>
        <v/>
      </c>
      <c r="B499" s="9">
        <f t="array" ref="B499">COUNT(FIND("input",$D499:$CD499))</f>
        <v>0</v>
      </c>
      <c r="C499" s="9">
        <f t="array" ref="C499">COUNT(FIND("output",$D499:$CD499))</f>
        <v>0</v>
      </c>
    </row>
    <row r="500" spans="1:3" x14ac:dyDescent="0.25">
      <c r="A500" s="9" t="str">
        <f>IF(ISBLANK('Signal Definition'!J500),"",'Signal Definition'!J500)</f>
        <v/>
      </c>
      <c r="B500" s="9">
        <f t="array" ref="B500">COUNT(FIND("input",$D500:$CD500))</f>
        <v>0</v>
      </c>
      <c r="C500" s="9">
        <f t="array" ref="C500">COUNT(FIND("output",$D500:$CD500))</f>
        <v>0</v>
      </c>
    </row>
    <row r="501" spans="1:3" x14ac:dyDescent="0.25">
      <c r="A501" s="9" t="str">
        <f>IF(ISBLANK('Signal Definition'!J501),"",'Signal Definition'!J501)</f>
        <v/>
      </c>
      <c r="B501" s="9">
        <f t="array" ref="B501">COUNT(FIND("input",$D501:$CD501))</f>
        <v>0</v>
      </c>
      <c r="C501" s="9">
        <f t="array" ref="C501">COUNT(FIND("output",$D501:$CD501))</f>
        <v>0</v>
      </c>
    </row>
    <row r="502" spans="1:3" x14ac:dyDescent="0.25">
      <c r="A502" s="9" t="str">
        <f>IF(ISBLANK('Signal Definition'!J502),"",'Signal Definition'!J502)</f>
        <v/>
      </c>
      <c r="B502" s="9">
        <f t="array" ref="B502">COUNT(FIND("input",$D502:$CD502))</f>
        <v>0</v>
      </c>
      <c r="C502" s="9">
        <f t="array" ref="C502">COUNT(FIND("output",$D502:$CD502))</f>
        <v>0</v>
      </c>
    </row>
    <row r="503" spans="1:3" x14ac:dyDescent="0.25">
      <c r="A503" s="9" t="str">
        <f>IF(ISBLANK('Signal Definition'!J503),"",'Signal Definition'!J503)</f>
        <v/>
      </c>
      <c r="B503" s="9">
        <f t="array" ref="B503">COUNT(FIND("input",$D503:$CD503))</f>
        <v>0</v>
      </c>
      <c r="C503" s="9">
        <f t="array" ref="C503">COUNT(FIND("output",$D503:$CD503))</f>
        <v>0</v>
      </c>
    </row>
    <row r="504" spans="1:3" x14ac:dyDescent="0.25">
      <c r="A504" s="9" t="str">
        <f>IF(ISBLANK('Signal Definition'!J504),"",'Signal Definition'!J504)</f>
        <v/>
      </c>
      <c r="B504" s="9">
        <f t="array" ref="B504">COUNT(FIND("input",$D504:$CD504))</f>
        <v>0</v>
      </c>
      <c r="C504" s="9">
        <f t="array" ref="C504">COUNT(FIND("output",$D504:$CD504))</f>
        <v>0</v>
      </c>
    </row>
    <row r="505" spans="1:3" x14ac:dyDescent="0.25">
      <c r="A505" s="9" t="str">
        <f>IF(ISBLANK('Signal Definition'!J505),"",'Signal Definition'!J505)</f>
        <v/>
      </c>
      <c r="B505" s="9">
        <f t="array" ref="B505">COUNT(FIND("input",$D505:$CD505))</f>
        <v>0</v>
      </c>
      <c r="C505" s="9">
        <f t="array" ref="C505">COUNT(FIND("output",$D505:$CD505))</f>
        <v>0</v>
      </c>
    </row>
    <row r="506" spans="1:3" x14ac:dyDescent="0.25">
      <c r="A506" s="9" t="str">
        <f>IF(ISBLANK('Signal Definition'!J506),"",'Signal Definition'!J506)</f>
        <v/>
      </c>
      <c r="B506" s="9">
        <f t="array" ref="B506">COUNT(FIND("input",$D506:$CD506))</f>
        <v>0</v>
      </c>
      <c r="C506" s="9">
        <f t="array" ref="C506">COUNT(FIND("output",$D506:$CD506))</f>
        <v>0</v>
      </c>
    </row>
    <row r="507" spans="1:3" x14ac:dyDescent="0.25">
      <c r="A507" s="9" t="str">
        <f>IF(ISBLANK('Signal Definition'!J507),"",'Signal Definition'!J507)</f>
        <v/>
      </c>
      <c r="B507" s="9">
        <f t="array" ref="B507">COUNT(FIND("input",$D507:$CD507))</f>
        <v>0</v>
      </c>
      <c r="C507" s="9">
        <f t="array" ref="C507">COUNT(FIND("output",$D507:$CD507))</f>
        <v>0</v>
      </c>
    </row>
    <row r="508" spans="1:3" x14ac:dyDescent="0.25">
      <c r="A508" s="9" t="str">
        <f>IF(ISBLANK('Signal Definition'!J508),"",'Signal Definition'!J508)</f>
        <v/>
      </c>
      <c r="B508" s="9">
        <f t="array" ref="B508">COUNT(FIND("input",$D508:$CD508))</f>
        <v>0</v>
      </c>
      <c r="C508" s="9">
        <f t="array" ref="C508">COUNT(FIND("output",$D508:$CD508))</f>
        <v>0</v>
      </c>
    </row>
    <row r="509" spans="1:3" x14ac:dyDescent="0.25">
      <c r="A509" s="9" t="str">
        <f>IF(ISBLANK('Signal Definition'!J509),"",'Signal Definition'!J509)</f>
        <v/>
      </c>
      <c r="B509" s="9">
        <f t="array" ref="B509">COUNT(FIND("input",$D509:$CD509))</f>
        <v>0</v>
      </c>
      <c r="C509" s="9">
        <f t="array" ref="C509">COUNT(FIND("output",$D509:$CD509))</f>
        <v>0</v>
      </c>
    </row>
    <row r="510" spans="1:3" x14ac:dyDescent="0.25">
      <c r="A510" s="9" t="str">
        <f>IF(ISBLANK('Signal Definition'!J510),"",'Signal Definition'!J510)</f>
        <v/>
      </c>
      <c r="B510" s="9">
        <f t="array" ref="B510">COUNT(FIND("input",$D510:$CD510))</f>
        <v>0</v>
      </c>
      <c r="C510" s="9">
        <f t="array" ref="C510">COUNT(FIND("output",$D510:$CD510))</f>
        <v>0</v>
      </c>
    </row>
    <row r="511" spans="1:3" x14ac:dyDescent="0.25">
      <c r="A511" s="9" t="str">
        <f>IF(ISBLANK('Signal Definition'!J511),"",'Signal Definition'!J511)</f>
        <v/>
      </c>
      <c r="B511" s="9">
        <f t="array" ref="B511">COUNT(FIND("input",$D511:$CD511))</f>
        <v>0</v>
      </c>
      <c r="C511" s="9">
        <f t="array" ref="C511">COUNT(FIND("output",$D511:$CD511))</f>
        <v>0</v>
      </c>
    </row>
    <row r="512" spans="1:3" x14ac:dyDescent="0.25">
      <c r="A512" s="9" t="str">
        <f>IF(ISBLANK('Signal Definition'!J512),"",'Signal Definition'!J512)</f>
        <v/>
      </c>
      <c r="B512" s="9">
        <f t="array" ref="B512">COUNT(FIND("input",$D512:$CD512))</f>
        <v>0</v>
      </c>
      <c r="C512" s="9">
        <f t="array" ref="C512">COUNT(FIND("output",$D512:$CD512))</f>
        <v>0</v>
      </c>
    </row>
    <row r="513" spans="1:3" x14ac:dyDescent="0.25">
      <c r="A513" s="9" t="str">
        <f>IF(ISBLANK('Signal Definition'!J513),"",'Signal Definition'!J513)</f>
        <v/>
      </c>
      <c r="B513" s="9">
        <f t="array" ref="B513">COUNT(FIND("input",$D513:$CD513))</f>
        <v>0</v>
      </c>
      <c r="C513" s="9">
        <f t="array" ref="C513">COUNT(FIND("output",$D513:$CD513))</f>
        <v>0</v>
      </c>
    </row>
    <row r="514" spans="1:3" x14ac:dyDescent="0.25">
      <c r="A514" s="9" t="str">
        <f>IF(ISBLANK('Signal Definition'!J514),"",'Signal Definition'!J514)</f>
        <v/>
      </c>
      <c r="B514" s="9">
        <f t="array" ref="B514">COUNT(FIND("input",$D514:$CD514))</f>
        <v>0</v>
      </c>
      <c r="C514" s="9">
        <f t="array" ref="C514">COUNT(FIND("output",$D514:$CD514))</f>
        <v>0</v>
      </c>
    </row>
    <row r="515" spans="1:3" x14ac:dyDescent="0.25">
      <c r="A515" s="9" t="str">
        <f>IF(ISBLANK('Signal Definition'!J515),"",'Signal Definition'!J515)</f>
        <v/>
      </c>
      <c r="B515" s="9">
        <f t="array" ref="B515">COUNT(FIND("input",$D515:$CD515))</f>
        <v>0</v>
      </c>
      <c r="C515" s="9">
        <f t="array" ref="C515">COUNT(FIND("output",$D515:$CD515))</f>
        <v>0</v>
      </c>
    </row>
    <row r="516" spans="1:3" x14ac:dyDescent="0.25">
      <c r="A516" s="9" t="str">
        <f>IF(ISBLANK('Signal Definition'!J516),"",'Signal Definition'!J516)</f>
        <v/>
      </c>
      <c r="B516" s="9">
        <f t="array" ref="B516">COUNT(FIND("input",$D516:$CD516))</f>
        <v>0</v>
      </c>
      <c r="C516" s="9">
        <f t="array" ref="C516">COUNT(FIND("output",$D516:$CD516))</f>
        <v>0</v>
      </c>
    </row>
    <row r="517" spans="1:3" x14ac:dyDescent="0.25">
      <c r="A517" s="9" t="str">
        <f>IF(ISBLANK('Signal Definition'!J517),"",'Signal Definition'!J517)</f>
        <v/>
      </c>
      <c r="B517" s="9">
        <f t="array" ref="B517">COUNT(FIND("input",$D517:$CD517))</f>
        <v>0</v>
      </c>
      <c r="C517" s="9">
        <f t="array" ref="C517">COUNT(FIND("output",$D517:$CD517))</f>
        <v>0</v>
      </c>
    </row>
    <row r="518" spans="1:3" x14ac:dyDescent="0.25">
      <c r="A518" s="9" t="str">
        <f>IF(ISBLANK('Signal Definition'!J518),"",'Signal Definition'!J518)</f>
        <v/>
      </c>
      <c r="B518" s="9">
        <f t="array" ref="B518">COUNT(FIND("input",$D518:$CD518))</f>
        <v>0</v>
      </c>
      <c r="C518" s="9">
        <f t="array" ref="C518">COUNT(FIND("output",$D518:$CD518))</f>
        <v>0</v>
      </c>
    </row>
    <row r="519" spans="1:3" x14ac:dyDescent="0.25">
      <c r="A519" s="9" t="str">
        <f>IF(ISBLANK('Signal Definition'!J519),"",'Signal Definition'!J519)</f>
        <v/>
      </c>
      <c r="B519" s="9">
        <f t="array" ref="B519">COUNT(FIND("input",$D519:$CD519))</f>
        <v>0</v>
      </c>
      <c r="C519" s="9">
        <f t="array" ref="C519">COUNT(FIND("output",$D519:$CD519))</f>
        <v>0</v>
      </c>
    </row>
    <row r="520" spans="1:3" x14ac:dyDescent="0.25">
      <c r="A520" s="9" t="str">
        <f>IF(ISBLANK('Signal Definition'!J520),"",'Signal Definition'!J520)</f>
        <v/>
      </c>
      <c r="B520" s="9">
        <f t="array" ref="B520">COUNT(FIND("input",$D520:$CD520))</f>
        <v>0</v>
      </c>
      <c r="C520" s="9">
        <f t="array" ref="C520">COUNT(FIND("output",$D520:$CD520))</f>
        <v>0</v>
      </c>
    </row>
    <row r="521" spans="1:3" x14ac:dyDescent="0.25">
      <c r="A521" s="9" t="str">
        <f>IF(ISBLANK('Signal Definition'!J521),"",'Signal Definition'!J521)</f>
        <v/>
      </c>
      <c r="B521" s="9">
        <f t="array" ref="B521">COUNT(FIND("input",$D521:$CD521))</f>
        <v>0</v>
      </c>
      <c r="C521" s="9">
        <f t="array" ref="C521">COUNT(FIND("output",$D521:$CD521))</f>
        <v>0</v>
      </c>
    </row>
    <row r="522" spans="1:3" x14ac:dyDescent="0.25">
      <c r="A522" s="9" t="str">
        <f>IF(ISBLANK('Signal Definition'!J522),"",'Signal Definition'!J522)</f>
        <v/>
      </c>
      <c r="B522" s="9">
        <f t="array" ref="B522">COUNT(FIND("input",$D522:$CD522))</f>
        <v>0</v>
      </c>
      <c r="C522" s="9">
        <f t="array" ref="C522">COUNT(FIND("output",$D522:$CD522))</f>
        <v>0</v>
      </c>
    </row>
    <row r="523" spans="1:3" x14ac:dyDescent="0.25">
      <c r="A523" s="9" t="str">
        <f>IF(ISBLANK('Signal Definition'!J523),"",'Signal Definition'!J523)</f>
        <v/>
      </c>
      <c r="B523" s="9">
        <f t="array" ref="B523">COUNT(FIND("input",$D523:$CD523))</f>
        <v>0</v>
      </c>
      <c r="C523" s="9">
        <f t="array" ref="C523">COUNT(FIND("output",$D523:$CD523))</f>
        <v>0</v>
      </c>
    </row>
    <row r="524" spans="1:3" x14ac:dyDescent="0.25">
      <c r="A524" s="9" t="str">
        <f>IF(ISBLANK('Signal Definition'!J524),"",'Signal Definition'!J524)</f>
        <v/>
      </c>
      <c r="B524" s="9">
        <f t="array" ref="B524">COUNT(FIND("input",$D524:$CD524))</f>
        <v>0</v>
      </c>
      <c r="C524" s="9">
        <f t="array" ref="C524">COUNT(FIND("output",$D524:$CD524))</f>
        <v>0</v>
      </c>
    </row>
    <row r="525" spans="1:3" x14ac:dyDescent="0.25">
      <c r="A525" s="9" t="str">
        <f>IF(ISBLANK('Signal Definition'!J525),"",'Signal Definition'!J525)</f>
        <v/>
      </c>
      <c r="B525" s="9">
        <f t="array" ref="B525">COUNT(FIND("input",$D525:$CD525))</f>
        <v>0</v>
      </c>
      <c r="C525" s="9">
        <f t="array" ref="C525">COUNT(FIND("output",$D525:$CD525))</f>
        <v>0</v>
      </c>
    </row>
    <row r="526" spans="1:3" x14ac:dyDescent="0.25">
      <c r="A526" s="9" t="str">
        <f>IF(ISBLANK('Signal Definition'!J526),"",'Signal Definition'!J526)</f>
        <v/>
      </c>
      <c r="B526" s="9">
        <f t="array" ref="B526">COUNT(FIND("input",$D526:$CD526))</f>
        <v>0</v>
      </c>
      <c r="C526" s="9">
        <f t="array" ref="C526">COUNT(FIND("output",$D526:$CD526))</f>
        <v>0</v>
      </c>
    </row>
    <row r="527" spans="1:3" x14ac:dyDescent="0.25">
      <c r="A527" s="9" t="str">
        <f>IF(ISBLANK('Signal Definition'!J527),"",'Signal Definition'!J527)</f>
        <v/>
      </c>
      <c r="B527" s="9">
        <f t="array" ref="B527">COUNT(FIND("input",$D527:$CD527))</f>
        <v>0</v>
      </c>
      <c r="C527" s="9">
        <f t="array" ref="C527">COUNT(FIND("output",$D527:$CD527))</f>
        <v>0</v>
      </c>
    </row>
    <row r="528" spans="1:3" x14ac:dyDescent="0.25">
      <c r="A528" s="9" t="str">
        <f>IF(ISBLANK('Signal Definition'!J528),"",'Signal Definition'!J528)</f>
        <v/>
      </c>
      <c r="B528" s="9">
        <f t="array" ref="B528">COUNT(FIND("input",$D528:$CD528))</f>
        <v>0</v>
      </c>
      <c r="C528" s="9">
        <f t="array" ref="C528">COUNT(FIND("output",$D528:$CD528))</f>
        <v>0</v>
      </c>
    </row>
    <row r="529" spans="1:3" x14ac:dyDescent="0.25">
      <c r="A529" s="9" t="str">
        <f>IF(ISBLANK('Signal Definition'!J529),"",'Signal Definition'!J529)</f>
        <v/>
      </c>
      <c r="B529" s="9">
        <f t="array" ref="B529">COUNT(FIND("input",$D529:$CD529))</f>
        <v>0</v>
      </c>
      <c r="C529" s="9">
        <f t="array" ref="C529">COUNT(FIND("output",$D529:$CD529))</f>
        <v>0</v>
      </c>
    </row>
    <row r="530" spans="1:3" x14ac:dyDescent="0.25">
      <c r="A530" s="9" t="str">
        <f>IF(ISBLANK('Signal Definition'!J530),"",'Signal Definition'!J530)</f>
        <v/>
      </c>
      <c r="B530" s="9">
        <f t="array" ref="B530">COUNT(FIND("input",$D530:$CD530))</f>
        <v>0</v>
      </c>
      <c r="C530" s="9">
        <f t="array" ref="C530">COUNT(FIND("output",$D530:$CD530))</f>
        <v>0</v>
      </c>
    </row>
    <row r="531" spans="1:3" x14ac:dyDescent="0.25">
      <c r="A531" s="9" t="str">
        <f>IF(ISBLANK('Signal Definition'!J531),"",'Signal Definition'!J531)</f>
        <v/>
      </c>
      <c r="B531" s="9">
        <f t="array" ref="B531">COUNT(FIND("input",$D531:$CD531))</f>
        <v>0</v>
      </c>
      <c r="C531" s="9">
        <f t="array" ref="C531">COUNT(FIND("output",$D531:$CD531))</f>
        <v>0</v>
      </c>
    </row>
    <row r="532" spans="1:3" x14ac:dyDescent="0.25">
      <c r="A532" s="9" t="str">
        <f>IF(ISBLANK('Signal Definition'!J532),"",'Signal Definition'!J532)</f>
        <v/>
      </c>
      <c r="B532" s="9">
        <f t="array" ref="B532">COUNT(FIND("input",$D532:$CD532))</f>
        <v>0</v>
      </c>
      <c r="C532" s="9">
        <f t="array" ref="C532">COUNT(FIND("output",$D532:$CD532))</f>
        <v>0</v>
      </c>
    </row>
    <row r="533" spans="1:3" x14ac:dyDescent="0.25">
      <c r="A533" s="9" t="str">
        <f>IF(ISBLANK('Signal Definition'!J533),"",'Signal Definition'!J533)</f>
        <v/>
      </c>
      <c r="B533" s="9">
        <f t="array" ref="B533">COUNT(FIND("input",$D533:$CD533))</f>
        <v>0</v>
      </c>
      <c r="C533" s="9">
        <f t="array" ref="C533">COUNT(FIND("output",$D533:$CD533))</f>
        <v>0</v>
      </c>
    </row>
    <row r="534" spans="1:3" x14ac:dyDescent="0.25">
      <c r="A534" s="9" t="str">
        <f>IF(ISBLANK('Signal Definition'!J534),"",'Signal Definition'!J534)</f>
        <v/>
      </c>
      <c r="B534" s="9">
        <f t="array" ref="B534">COUNT(FIND("input",$D534:$CD534))</f>
        <v>0</v>
      </c>
      <c r="C534" s="9">
        <f t="array" ref="C534">COUNT(FIND("output",$D534:$CD534))</f>
        <v>0</v>
      </c>
    </row>
    <row r="535" spans="1:3" x14ac:dyDescent="0.25">
      <c r="A535" s="9" t="str">
        <f>IF(ISBLANK('Signal Definition'!J535),"",'Signal Definition'!J535)</f>
        <v/>
      </c>
      <c r="B535" s="9">
        <f t="array" ref="B535">COUNT(FIND("input",$D535:$CD535))</f>
        <v>0</v>
      </c>
      <c r="C535" s="9">
        <f t="array" ref="C535">COUNT(FIND("output",$D535:$CD535))</f>
        <v>0</v>
      </c>
    </row>
    <row r="536" spans="1:3" x14ac:dyDescent="0.25">
      <c r="A536" s="9" t="str">
        <f>IF(ISBLANK('Signal Definition'!J536),"",'Signal Definition'!J536)</f>
        <v/>
      </c>
      <c r="B536" s="9">
        <f t="array" ref="B536">COUNT(FIND("input",$D536:$CD536))</f>
        <v>0</v>
      </c>
      <c r="C536" s="9">
        <f t="array" ref="C536">COUNT(FIND("output",$D536:$CD536))</f>
        <v>0</v>
      </c>
    </row>
    <row r="537" spans="1:3" x14ac:dyDescent="0.25">
      <c r="A537" s="9" t="str">
        <f>IF(ISBLANK('Signal Definition'!J537),"",'Signal Definition'!J537)</f>
        <v/>
      </c>
      <c r="B537" s="9">
        <f t="array" ref="B537">COUNT(FIND("input",$D537:$CD537))</f>
        <v>0</v>
      </c>
      <c r="C537" s="9">
        <f t="array" ref="C537">COUNT(FIND("output",$D537:$CD537))</f>
        <v>0</v>
      </c>
    </row>
    <row r="538" spans="1:3" x14ac:dyDescent="0.25">
      <c r="A538" s="9" t="str">
        <f>IF(ISBLANK('Signal Definition'!J538),"",'Signal Definition'!J538)</f>
        <v/>
      </c>
      <c r="B538" s="9">
        <f t="array" ref="B538">COUNT(FIND("input",$D538:$CD538))</f>
        <v>0</v>
      </c>
      <c r="C538" s="9">
        <f t="array" ref="C538">COUNT(FIND("output",$D538:$CD538))</f>
        <v>0</v>
      </c>
    </row>
    <row r="539" spans="1:3" x14ac:dyDescent="0.25">
      <c r="A539" s="9" t="str">
        <f>IF(ISBLANK('Signal Definition'!J539),"",'Signal Definition'!J539)</f>
        <v/>
      </c>
      <c r="B539" s="9">
        <f t="array" ref="B539">COUNT(FIND("input",$D539:$CD539))</f>
        <v>0</v>
      </c>
      <c r="C539" s="9">
        <f t="array" ref="C539">COUNT(FIND("output",$D539:$CD539))</f>
        <v>0</v>
      </c>
    </row>
    <row r="540" spans="1:3" x14ac:dyDescent="0.25">
      <c r="A540" s="9" t="str">
        <f>IF(ISBLANK('Signal Definition'!J540),"",'Signal Definition'!J540)</f>
        <v/>
      </c>
      <c r="B540" s="9">
        <f t="array" ref="B540">COUNT(FIND("input",$D540:$CD540))</f>
        <v>0</v>
      </c>
      <c r="C540" s="9">
        <f t="array" ref="C540">COUNT(FIND("output",$D540:$CD540))</f>
        <v>0</v>
      </c>
    </row>
    <row r="541" spans="1:3" x14ac:dyDescent="0.25">
      <c r="A541" s="9" t="str">
        <f>IF(ISBLANK('Signal Definition'!J541),"",'Signal Definition'!J541)</f>
        <v/>
      </c>
      <c r="B541" s="9">
        <f t="array" ref="B541">COUNT(FIND("input",$D541:$CD541))</f>
        <v>0</v>
      </c>
      <c r="C541" s="9">
        <f t="array" ref="C541">COUNT(FIND("output",$D541:$CD541))</f>
        <v>0</v>
      </c>
    </row>
    <row r="542" spans="1:3" x14ac:dyDescent="0.25">
      <c r="A542" s="9" t="str">
        <f>IF(ISBLANK('Signal Definition'!J542),"",'Signal Definition'!J542)</f>
        <v/>
      </c>
      <c r="B542" s="9">
        <f t="array" ref="B542">COUNT(FIND("input",$D542:$CD542))</f>
        <v>0</v>
      </c>
      <c r="C542" s="9">
        <f t="array" ref="C542">COUNT(FIND("output",$D542:$CD542))</f>
        <v>0</v>
      </c>
    </row>
    <row r="543" spans="1:3" x14ac:dyDescent="0.25">
      <c r="A543" s="9" t="str">
        <f>IF(ISBLANK('Signal Definition'!J543),"",'Signal Definition'!J543)</f>
        <v/>
      </c>
      <c r="B543" s="9">
        <f t="array" ref="B543">COUNT(FIND("input",$D543:$CD543))</f>
        <v>0</v>
      </c>
      <c r="C543" s="9">
        <f t="array" ref="C543">COUNT(FIND("output",$D543:$CD543))</f>
        <v>0</v>
      </c>
    </row>
    <row r="544" spans="1:3" x14ac:dyDescent="0.25">
      <c r="A544" s="9" t="str">
        <f>IF(ISBLANK('Signal Definition'!J544),"",'Signal Definition'!J544)</f>
        <v/>
      </c>
      <c r="B544" s="9">
        <f t="array" ref="B544">COUNT(FIND("input",$D544:$CD544))</f>
        <v>0</v>
      </c>
      <c r="C544" s="9">
        <f t="array" ref="C544">COUNT(FIND("output",$D544:$CD544))</f>
        <v>0</v>
      </c>
    </row>
    <row r="545" spans="1:3" x14ac:dyDescent="0.25">
      <c r="A545" s="9" t="str">
        <f>IF(ISBLANK('Signal Definition'!J545),"",'Signal Definition'!J545)</f>
        <v/>
      </c>
      <c r="B545" s="9">
        <f t="array" ref="B545">COUNT(FIND("input",$D545:$CD545))</f>
        <v>0</v>
      </c>
      <c r="C545" s="9">
        <f t="array" ref="C545">COUNT(FIND("output",$D545:$CD545))</f>
        <v>0</v>
      </c>
    </row>
    <row r="546" spans="1:3" x14ac:dyDescent="0.25">
      <c r="A546" s="9" t="str">
        <f>IF(ISBLANK('Signal Definition'!J546),"",'Signal Definition'!J546)</f>
        <v/>
      </c>
      <c r="B546" s="9">
        <f t="array" ref="B546">COUNT(FIND("input",$D546:$CD546))</f>
        <v>0</v>
      </c>
      <c r="C546" s="9">
        <f t="array" ref="C546">COUNT(FIND("output",$D546:$CD546))</f>
        <v>0</v>
      </c>
    </row>
    <row r="547" spans="1:3" x14ac:dyDescent="0.25">
      <c r="A547" s="9" t="str">
        <f>IF(ISBLANK('Signal Definition'!J547),"",'Signal Definition'!J547)</f>
        <v/>
      </c>
      <c r="B547" s="9">
        <f t="array" ref="B547">COUNT(FIND("input",$D547:$CD547))</f>
        <v>0</v>
      </c>
      <c r="C547" s="9">
        <f t="array" ref="C547">COUNT(FIND("output",$D547:$CD547))</f>
        <v>0</v>
      </c>
    </row>
    <row r="548" spans="1:3" x14ac:dyDescent="0.25">
      <c r="A548" s="9" t="str">
        <f>IF(ISBLANK('Signal Definition'!J548),"",'Signal Definition'!J548)</f>
        <v/>
      </c>
      <c r="B548" s="9">
        <f t="array" ref="B548">COUNT(FIND("input",$D548:$CD548))</f>
        <v>0</v>
      </c>
      <c r="C548" s="9">
        <f t="array" ref="C548">COUNT(FIND("output",$D548:$CD548))</f>
        <v>0</v>
      </c>
    </row>
    <row r="549" spans="1:3" x14ac:dyDescent="0.25">
      <c r="A549" s="9" t="str">
        <f>IF(ISBLANK('Signal Definition'!J549),"",'Signal Definition'!J549)</f>
        <v/>
      </c>
      <c r="B549" s="9">
        <f t="array" ref="B549">COUNT(FIND("input",$D549:$CD549))</f>
        <v>0</v>
      </c>
      <c r="C549" s="9">
        <f t="array" ref="C549">COUNT(FIND("output",$D549:$CD549))</f>
        <v>0</v>
      </c>
    </row>
    <row r="550" spans="1:3" x14ac:dyDescent="0.25">
      <c r="A550" s="9" t="str">
        <f>IF(ISBLANK('Signal Definition'!J550),"",'Signal Definition'!J550)</f>
        <v/>
      </c>
      <c r="B550" s="9">
        <f t="array" ref="B550">COUNT(FIND("input",$D550:$CD550))</f>
        <v>0</v>
      </c>
      <c r="C550" s="9">
        <f t="array" ref="C550">COUNT(FIND("output",$D550:$CD550))</f>
        <v>0</v>
      </c>
    </row>
    <row r="551" spans="1:3" x14ac:dyDescent="0.25">
      <c r="A551" s="9" t="str">
        <f>IF(ISBLANK('Signal Definition'!J551),"",'Signal Definition'!J551)</f>
        <v/>
      </c>
      <c r="B551" s="9">
        <f t="array" ref="B551">COUNT(FIND("input",$D551:$CD551))</f>
        <v>0</v>
      </c>
      <c r="C551" s="9">
        <f t="array" ref="C551">COUNT(FIND("output",$D551:$CD551))</f>
        <v>0</v>
      </c>
    </row>
    <row r="552" spans="1:3" x14ac:dyDescent="0.25">
      <c r="A552" s="9" t="str">
        <f>IF(ISBLANK('Signal Definition'!J552),"",'Signal Definition'!J552)</f>
        <v/>
      </c>
      <c r="B552" s="9">
        <f t="array" ref="B552">COUNT(FIND("input",$D552:$CD552))</f>
        <v>0</v>
      </c>
      <c r="C552" s="9">
        <f t="array" ref="C552">COUNT(FIND("output",$D552:$CD552))</f>
        <v>0</v>
      </c>
    </row>
    <row r="553" spans="1:3" x14ac:dyDescent="0.25">
      <c r="A553" s="9" t="str">
        <f>IF(ISBLANK('Signal Definition'!J553),"",'Signal Definition'!J553)</f>
        <v/>
      </c>
      <c r="B553" s="9">
        <f t="array" ref="B553">COUNT(FIND("input",$D553:$CD553))</f>
        <v>0</v>
      </c>
      <c r="C553" s="9">
        <f t="array" ref="C553">COUNT(FIND("output",$D553:$CD553))</f>
        <v>0</v>
      </c>
    </row>
    <row r="554" spans="1:3" x14ac:dyDescent="0.25">
      <c r="A554" s="9" t="str">
        <f>IF(ISBLANK('Signal Definition'!J554),"",'Signal Definition'!J554)</f>
        <v/>
      </c>
      <c r="B554" s="9">
        <f t="array" ref="B554">COUNT(FIND("input",$D554:$CD554))</f>
        <v>0</v>
      </c>
      <c r="C554" s="9">
        <f t="array" ref="C554">COUNT(FIND("output",$D554:$CD554))</f>
        <v>0</v>
      </c>
    </row>
    <row r="555" spans="1:3" x14ac:dyDescent="0.25">
      <c r="A555" s="9" t="str">
        <f>IF(ISBLANK('Signal Definition'!J555),"",'Signal Definition'!J555)</f>
        <v/>
      </c>
      <c r="B555" s="9">
        <f t="array" ref="B555">COUNT(FIND("input",$D555:$CD555))</f>
        <v>0</v>
      </c>
      <c r="C555" s="9">
        <f t="array" ref="C555">COUNT(FIND("output",$D555:$CD555))</f>
        <v>0</v>
      </c>
    </row>
    <row r="556" spans="1:3" x14ac:dyDescent="0.25">
      <c r="A556" s="9" t="str">
        <f>IF(ISBLANK('Signal Definition'!J556),"",'Signal Definition'!J556)</f>
        <v/>
      </c>
      <c r="B556" s="9">
        <f t="array" ref="B556">COUNT(FIND("input",$D556:$CD556))</f>
        <v>0</v>
      </c>
      <c r="C556" s="9">
        <f t="array" ref="C556">COUNT(FIND("output",$D556:$CD556))</f>
        <v>0</v>
      </c>
    </row>
    <row r="557" spans="1:3" x14ac:dyDescent="0.25">
      <c r="A557" s="9" t="str">
        <f>IF(ISBLANK('Signal Definition'!J557),"",'Signal Definition'!J557)</f>
        <v/>
      </c>
      <c r="B557" s="9">
        <f t="array" ref="B557">COUNT(FIND("input",$D557:$CD557))</f>
        <v>0</v>
      </c>
      <c r="C557" s="9">
        <f t="array" ref="C557">COUNT(FIND("output",$D557:$CD557))</f>
        <v>0</v>
      </c>
    </row>
    <row r="558" spans="1:3" x14ac:dyDescent="0.25">
      <c r="A558" s="9" t="str">
        <f>IF(ISBLANK('Signal Definition'!J558),"",'Signal Definition'!J558)</f>
        <v/>
      </c>
      <c r="B558" s="9">
        <f t="array" ref="B558">COUNT(FIND("input",$D558:$CD558))</f>
        <v>0</v>
      </c>
      <c r="C558" s="9">
        <f t="array" ref="C558">COUNT(FIND("output",$D558:$CD558))</f>
        <v>0</v>
      </c>
    </row>
    <row r="559" spans="1:3" x14ac:dyDescent="0.25">
      <c r="A559" s="9" t="str">
        <f>IF(ISBLANK('Signal Definition'!J559),"",'Signal Definition'!J559)</f>
        <v/>
      </c>
      <c r="B559" s="9">
        <f t="array" ref="B559">COUNT(FIND("input",$D559:$CD559))</f>
        <v>0</v>
      </c>
      <c r="C559" s="9">
        <f t="array" ref="C559">COUNT(FIND("output",$D559:$CD559))</f>
        <v>0</v>
      </c>
    </row>
    <row r="560" spans="1:3" x14ac:dyDescent="0.25">
      <c r="A560" s="9" t="str">
        <f>IF(ISBLANK('Signal Definition'!J560),"",'Signal Definition'!J560)</f>
        <v/>
      </c>
      <c r="B560" s="9">
        <f t="array" ref="B560">COUNT(FIND("input",$D560:$CD560))</f>
        <v>0</v>
      </c>
      <c r="C560" s="9">
        <f t="array" ref="C560">COUNT(FIND("output",$D560:$CD560))</f>
        <v>0</v>
      </c>
    </row>
    <row r="561" spans="1:3" x14ac:dyDescent="0.25">
      <c r="A561" s="9" t="str">
        <f>IF(ISBLANK('Signal Definition'!J561),"",'Signal Definition'!J561)</f>
        <v/>
      </c>
      <c r="B561" s="9">
        <f t="array" ref="B561">COUNT(FIND("input",$D561:$CD561))</f>
        <v>0</v>
      </c>
      <c r="C561" s="9">
        <f t="array" ref="C561">COUNT(FIND("output",$D561:$CD561))</f>
        <v>0</v>
      </c>
    </row>
    <row r="562" spans="1:3" x14ac:dyDescent="0.25">
      <c r="A562" s="9" t="str">
        <f>IF(ISBLANK('Signal Definition'!J562),"",'Signal Definition'!J562)</f>
        <v/>
      </c>
      <c r="B562" s="9">
        <f t="array" ref="B562">COUNT(FIND("input",$D562:$CD562))</f>
        <v>0</v>
      </c>
      <c r="C562" s="9">
        <f t="array" ref="C562">COUNT(FIND("output",$D562:$CD562))</f>
        <v>0</v>
      </c>
    </row>
    <row r="563" spans="1:3" x14ac:dyDescent="0.25">
      <c r="A563" s="9" t="str">
        <f>IF(ISBLANK('Signal Definition'!J563),"",'Signal Definition'!J563)</f>
        <v/>
      </c>
      <c r="B563" s="9">
        <f t="array" ref="B563">COUNT(FIND("input",$D563:$CD563))</f>
        <v>0</v>
      </c>
      <c r="C563" s="9">
        <f t="array" ref="C563">COUNT(FIND("output",$D563:$CD563))</f>
        <v>0</v>
      </c>
    </row>
    <row r="564" spans="1:3" x14ac:dyDescent="0.25">
      <c r="A564" s="9" t="str">
        <f>IF(ISBLANK('Signal Definition'!J564),"",'Signal Definition'!J564)</f>
        <v/>
      </c>
      <c r="B564" s="9">
        <f t="array" ref="B564">COUNT(FIND("input",$D564:$CD564))</f>
        <v>0</v>
      </c>
      <c r="C564" s="9">
        <f t="array" ref="C564">COUNT(FIND("output",$D564:$CD564))</f>
        <v>0</v>
      </c>
    </row>
    <row r="565" spans="1:3" x14ac:dyDescent="0.25">
      <c r="A565" s="9" t="str">
        <f>IF(ISBLANK('Signal Definition'!J565),"",'Signal Definition'!J565)</f>
        <v/>
      </c>
      <c r="B565" s="9">
        <f t="array" ref="B565">COUNT(FIND("input",$D565:$CD565))</f>
        <v>0</v>
      </c>
      <c r="C565" s="9">
        <f t="array" ref="C565">COUNT(FIND("output",$D565:$CD565))</f>
        <v>0</v>
      </c>
    </row>
    <row r="566" spans="1:3" x14ac:dyDescent="0.25">
      <c r="A566" s="9" t="str">
        <f>IF(ISBLANK('Signal Definition'!J566),"",'Signal Definition'!J566)</f>
        <v/>
      </c>
      <c r="B566" s="9">
        <f t="array" ref="B566">COUNT(FIND("input",$D566:$CD566))</f>
        <v>0</v>
      </c>
      <c r="C566" s="9">
        <f t="array" ref="C566">COUNT(FIND("output",$D566:$CD566))</f>
        <v>0</v>
      </c>
    </row>
    <row r="567" spans="1:3" x14ac:dyDescent="0.25">
      <c r="A567" s="9" t="str">
        <f>IF(ISBLANK('Signal Definition'!J567),"",'Signal Definition'!J567)</f>
        <v/>
      </c>
      <c r="B567" s="9">
        <f t="array" ref="B567">COUNT(FIND("input",$D567:$CD567))</f>
        <v>0</v>
      </c>
      <c r="C567" s="9">
        <f t="array" ref="C567">COUNT(FIND("output",$D567:$CD567))</f>
        <v>0</v>
      </c>
    </row>
    <row r="568" spans="1:3" x14ac:dyDescent="0.25">
      <c r="A568" s="9" t="str">
        <f>IF(ISBLANK('Signal Definition'!J568),"",'Signal Definition'!J568)</f>
        <v/>
      </c>
      <c r="B568" s="9">
        <f t="array" ref="B568">COUNT(FIND("input",$D568:$CD568))</f>
        <v>0</v>
      </c>
      <c r="C568" s="9">
        <f t="array" ref="C568">COUNT(FIND("output",$D568:$CD568))</f>
        <v>0</v>
      </c>
    </row>
    <row r="569" spans="1:3" x14ac:dyDescent="0.25">
      <c r="A569" s="9" t="str">
        <f>IF(ISBLANK('Signal Definition'!J569),"",'Signal Definition'!J569)</f>
        <v/>
      </c>
      <c r="B569" s="9">
        <f t="array" ref="B569">COUNT(FIND("input",$D569:$CD569))</f>
        <v>0</v>
      </c>
      <c r="C569" s="9">
        <f t="array" ref="C569">COUNT(FIND("output",$D569:$CD569))</f>
        <v>0</v>
      </c>
    </row>
    <row r="570" spans="1:3" x14ac:dyDescent="0.25">
      <c r="A570" s="9" t="str">
        <f>IF(ISBLANK('Signal Definition'!J570),"",'Signal Definition'!J570)</f>
        <v/>
      </c>
      <c r="B570" s="9">
        <f t="array" ref="B570">COUNT(FIND("input",$D570:$CD570))</f>
        <v>0</v>
      </c>
      <c r="C570" s="9">
        <f t="array" ref="C570">COUNT(FIND("output",$D570:$CD570))</f>
        <v>0</v>
      </c>
    </row>
    <row r="571" spans="1:3" x14ac:dyDescent="0.25">
      <c r="A571" s="9" t="str">
        <f>IF(ISBLANK('Signal Definition'!J571),"",'Signal Definition'!J571)</f>
        <v/>
      </c>
      <c r="B571" s="9">
        <f t="array" ref="B571">COUNT(FIND("input",$D571:$CD571))</f>
        <v>0</v>
      </c>
      <c r="C571" s="9">
        <f t="array" ref="C571">COUNT(FIND("output",$D571:$CD571))</f>
        <v>0</v>
      </c>
    </row>
    <row r="572" spans="1:3" x14ac:dyDescent="0.25">
      <c r="A572" s="9" t="str">
        <f>IF(ISBLANK('Signal Definition'!J572),"",'Signal Definition'!J572)</f>
        <v/>
      </c>
      <c r="B572" s="9">
        <f t="array" ref="B572">COUNT(FIND("input",$D572:$CD572))</f>
        <v>0</v>
      </c>
      <c r="C572" s="9">
        <f t="array" ref="C572">COUNT(FIND("output",$D572:$CD572))</f>
        <v>0</v>
      </c>
    </row>
    <row r="573" spans="1:3" x14ac:dyDescent="0.25">
      <c r="A573" s="9" t="str">
        <f>IF(ISBLANK('Signal Definition'!J573),"",'Signal Definition'!J573)</f>
        <v/>
      </c>
      <c r="B573" s="9">
        <f t="array" ref="B573">COUNT(FIND("input",$D573:$CD573))</f>
        <v>0</v>
      </c>
      <c r="C573" s="9">
        <f t="array" ref="C573">COUNT(FIND("output",$D573:$CD573))</f>
        <v>0</v>
      </c>
    </row>
    <row r="574" spans="1:3" x14ac:dyDescent="0.25">
      <c r="A574" s="9" t="str">
        <f>IF(ISBLANK('Signal Definition'!J574),"",'Signal Definition'!J574)</f>
        <v/>
      </c>
      <c r="B574" s="9">
        <f t="array" ref="B574">COUNT(FIND("input",$D574:$CD574))</f>
        <v>0</v>
      </c>
      <c r="C574" s="9">
        <f t="array" ref="C574">COUNT(FIND("output",$D574:$CD574))</f>
        <v>0</v>
      </c>
    </row>
    <row r="575" spans="1:3" x14ac:dyDescent="0.25">
      <c r="A575" s="9" t="str">
        <f>IF(ISBLANK('Signal Definition'!J575),"",'Signal Definition'!J575)</f>
        <v/>
      </c>
      <c r="B575" s="9">
        <f t="array" ref="B575">COUNT(FIND("input",$D575:$CD575))</f>
        <v>0</v>
      </c>
      <c r="C575" s="9">
        <f t="array" ref="C575">COUNT(FIND("output",$D575:$CD575))</f>
        <v>0</v>
      </c>
    </row>
    <row r="576" spans="1:3" x14ac:dyDescent="0.25">
      <c r="A576" s="9" t="str">
        <f>IF(ISBLANK('Signal Definition'!J576),"",'Signal Definition'!J576)</f>
        <v/>
      </c>
      <c r="B576" s="9">
        <f t="array" ref="B576">COUNT(FIND("input",$D576:$CD576))</f>
        <v>0</v>
      </c>
      <c r="C576" s="9">
        <f t="array" ref="C576">COUNT(FIND("output",$D576:$CD576))</f>
        <v>0</v>
      </c>
    </row>
    <row r="577" spans="1:3" x14ac:dyDescent="0.25">
      <c r="A577" s="9" t="str">
        <f>IF(ISBLANK('Signal Definition'!J577),"",'Signal Definition'!J577)</f>
        <v/>
      </c>
      <c r="B577" s="9">
        <f t="array" ref="B577">COUNT(FIND("input",$D577:$CD577))</f>
        <v>0</v>
      </c>
      <c r="C577" s="9">
        <f t="array" ref="C577">COUNT(FIND("output",$D577:$CD577))</f>
        <v>0</v>
      </c>
    </row>
    <row r="578" spans="1:3" x14ac:dyDescent="0.25">
      <c r="A578" s="9" t="str">
        <f>IF(ISBLANK('Signal Definition'!J578),"",'Signal Definition'!J578)</f>
        <v/>
      </c>
      <c r="B578" s="9">
        <f t="array" ref="B578">COUNT(FIND("input",$D578:$CD578))</f>
        <v>0</v>
      </c>
      <c r="C578" s="9">
        <f t="array" ref="C578">COUNT(FIND("output",$D578:$CD578))</f>
        <v>0</v>
      </c>
    </row>
    <row r="579" spans="1:3" x14ac:dyDescent="0.25">
      <c r="A579" s="9" t="str">
        <f>IF(ISBLANK('Signal Definition'!J579),"",'Signal Definition'!J579)</f>
        <v/>
      </c>
      <c r="B579" s="9">
        <f t="array" ref="B579">COUNT(FIND("input",$D579:$CD579))</f>
        <v>0</v>
      </c>
      <c r="C579" s="9">
        <f t="array" ref="C579">COUNT(FIND("output",$D579:$CD579))</f>
        <v>0</v>
      </c>
    </row>
    <row r="580" spans="1:3" x14ac:dyDescent="0.25">
      <c r="A580" s="9" t="str">
        <f>IF(ISBLANK('Signal Definition'!J580),"",'Signal Definition'!J580)</f>
        <v/>
      </c>
      <c r="B580" s="9">
        <f t="array" ref="B580">COUNT(FIND("input",$D580:$CD580))</f>
        <v>0</v>
      </c>
      <c r="C580" s="9">
        <f t="array" ref="C580">COUNT(FIND("output",$D580:$CD580))</f>
        <v>0</v>
      </c>
    </row>
    <row r="581" spans="1:3" x14ac:dyDescent="0.25">
      <c r="A581" s="9" t="str">
        <f>IF(ISBLANK('Signal Definition'!J581),"",'Signal Definition'!J581)</f>
        <v/>
      </c>
      <c r="B581" s="9">
        <f t="array" ref="B581">COUNT(FIND("input",$D581:$CD581))</f>
        <v>0</v>
      </c>
      <c r="C581" s="9">
        <f t="array" ref="C581">COUNT(FIND("output",$D581:$CD581))</f>
        <v>0</v>
      </c>
    </row>
    <row r="582" spans="1:3" x14ac:dyDescent="0.25">
      <c r="A582" s="9" t="str">
        <f>IF(ISBLANK('Signal Definition'!J582),"",'Signal Definition'!J582)</f>
        <v/>
      </c>
      <c r="B582" s="9">
        <f t="array" ref="B582">COUNT(FIND("input",$D582:$CD582))</f>
        <v>0</v>
      </c>
      <c r="C582" s="9">
        <f t="array" ref="C582">COUNT(FIND("output",$D582:$CD582))</f>
        <v>0</v>
      </c>
    </row>
    <row r="583" spans="1:3" x14ac:dyDescent="0.25">
      <c r="A583" s="9" t="str">
        <f>IF(ISBLANK('Signal Definition'!J583),"",'Signal Definition'!J583)</f>
        <v/>
      </c>
      <c r="B583" s="9">
        <f t="array" ref="B583">COUNT(FIND("input",$D583:$CD583))</f>
        <v>0</v>
      </c>
      <c r="C583" s="9">
        <f t="array" ref="C583">COUNT(FIND("output",$D583:$CD583))</f>
        <v>0</v>
      </c>
    </row>
    <row r="584" spans="1:3" x14ac:dyDescent="0.25">
      <c r="A584" s="9" t="str">
        <f>IF(ISBLANK('Signal Definition'!J584),"",'Signal Definition'!J584)</f>
        <v/>
      </c>
      <c r="B584" s="9">
        <f t="array" ref="B584">COUNT(FIND("input",$D584:$CD584))</f>
        <v>0</v>
      </c>
      <c r="C584" s="9">
        <f t="array" ref="C584">COUNT(FIND("output",$D584:$CD584))</f>
        <v>0</v>
      </c>
    </row>
    <row r="585" spans="1:3" x14ac:dyDescent="0.25">
      <c r="A585" s="9" t="str">
        <f>IF(ISBLANK('Signal Definition'!J585),"",'Signal Definition'!J585)</f>
        <v/>
      </c>
      <c r="B585" s="9">
        <f t="array" ref="B585">COUNT(FIND("input",$D585:$CD585))</f>
        <v>0</v>
      </c>
      <c r="C585" s="9">
        <f t="array" ref="C585">COUNT(FIND("output",$D585:$CD585))</f>
        <v>0</v>
      </c>
    </row>
    <row r="586" spans="1:3" x14ac:dyDescent="0.25">
      <c r="A586" s="9" t="str">
        <f>IF(ISBLANK('Signal Definition'!J586),"",'Signal Definition'!J586)</f>
        <v/>
      </c>
      <c r="B586" s="9">
        <f t="array" ref="B586">COUNT(FIND("input",$D586:$CD586))</f>
        <v>0</v>
      </c>
      <c r="C586" s="9">
        <f t="array" ref="C586">COUNT(FIND("output",$D586:$CD586))</f>
        <v>0</v>
      </c>
    </row>
    <row r="587" spans="1:3" x14ac:dyDescent="0.25">
      <c r="A587" s="9" t="str">
        <f>IF(ISBLANK('Signal Definition'!J587),"",'Signal Definition'!J587)</f>
        <v/>
      </c>
      <c r="B587" s="9">
        <f t="array" ref="B587">COUNT(FIND("input",$D587:$CD587))</f>
        <v>0</v>
      </c>
      <c r="C587" s="9">
        <f t="array" ref="C587">COUNT(FIND("output",$D587:$CD587))</f>
        <v>0</v>
      </c>
    </row>
    <row r="588" spans="1:3" x14ac:dyDescent="0.25">
      <c r="A588" s="9" t="str">
        <f>IF(ISBLANK('Signal Definition'!J588),"",'Signal Definition'!J588)</f>
        <v/>
      </c>
      <c r="B588" s="9">
        <f t="array" ref="B588">COUNT(FIND("input",$D588:$CD588))</f>
        <v>0</v>
      </c>
      <c r="C588" s="9">
        <f t="array" ref="C588">COUNT(FIND("output",$D588:$CD588))</f>
        <v>0</v>
      </c>
    </row>
    <row r="589" spans="1:3" x14ac:dyDescent="0.25">
      <c r="A589" s="9" t="str">
        <f>IF(ISBLANK('Signal Definition'!J589),"",'Signal Definition'!J589)</f>
        <v/>
      </c>
      <c r="B589" s="9">
        <f t="array" ref="B589">COUNT(FIND("input",$D589:$CD589))</f>
        <v>0</v>
      </c>
      <c r="C589" s="9">
        <f t="array" ref="C589">COUNT(FIND("output",$D589:$CD589))</f>
        <v>0</v>
      </c>
    </row>
    <row r="590" spans="1:3" x14ac:dyDescent="0.25">
      <c r="A590" s="9" t="str">
        <f>IF(ISBLANK('Signal Definition'!J590),"",'Signal Definition'!J590)</f>
        <v/>
      </c>
      <c r="B590" s="9">
        <f t="array" ref="B590">COUNT(FIND("input",$D590:$CD590))</f>
        <v>0</v>
      </c>
      <c r="C590" s="9">
        <f t="array" ref="C590">COUNT(FIND("output",$D590:$CD590))</f>
        <v>0</v>
      </c>
    </row>
    <row r="591" spans="1:3" x14ac:dyDescent="0.25">
      <c r="A591" s="9" t="str">
        <f>IF(ISBLANK('Signal Definition'!J591),"",'Signal Definition'!J591)</f>
        <v/>
      </c>
      <c r="B591" s="9">
        <f t="array" ref="B591">COUNT(FIND("input",$D591:$CD591))</f>
        <v>0</v>
      </c>
      <c r="C591" s="9">
        <f t="array" ref="C591">COUNT(FIND("output",$D591:$CD591))</f>
        <v>0</v>
      </c>
    </row>
    <row r="592" spans="1:3" x14ac:dyDescent="0.25">
      <c r="A592" s="9" t="str">
        <f>IF(ISBLANK('Signal Definition'!J592),"",'Signal Definition'!J592)</f>
        <v/>
      </c>
      <c r="B592" s="9">
        <f t="array" ref="B592">COUNT(FIND("input",$D592:$CD592))</f>
        <v>0</v>
      </c>
      <c r="C592" s="9">
        <f t="array" ref="C592">COUNT(FIND("output",$D592:$CD592))</f>
        <v>0</v>
      </c>
    </row>
    <row r="593" spans="1:3" x14ac:dyDescent="0.25">
      <c r="A593" s="9" t="str">
        <f>IF(ISBLANK('Signal Definition'!J593),"",'Signal Definition'!J593)</f>
        <v/>
      </c>
      <c r="B593" s="9">
        <f t="array" ref="B593">COUNT(FIND("input",$D593:$CD593))</f>
        <v>0</v>
      </c>
      <c r="C593" s="9">
        <f t="array" ref="C593">COUNT(FIND("output",$D593:$CD593))</f>
        <v>0</v>
      </c>
    </row>
    <row r="594" spans="1:3" x14ac:dyDescent="0.25">
      <c r="A594" s="9" t="str">
        <f>IF(ISBLANK('Signal Definition'!J594),"",'Signal Definition'!J594)</f>
        <v/>
      </c>
      <c r="B594" s="9">
        <f t="array" ref="B594">COUNT(FIND("input",$D594:$CD594))</f>
        <v>0</v>
      </c>
      <c r="C594" s="9">
        <f t="array" ref="C594">COUNT(FIND("output",$D594:$CD594))</f>
        <v>0</v>
      </c>
    </row>
    <row r="595" spans="1:3" x14ac:dyDescent="0.25">
      <c r="A595" s="9" t="str">
        <f>IF(ISBLANK('Signal Definition'!J595),"",'Signal Definition'!J595)</f>
        <v/>
      </c>
      <c r="B595" s="9">
        <f t="array" ref="B595">COUNT(FIND("input",$D595:$CD595))</f>
        <v>0</v>
      </c>
      <c r="C595" s="9">
        <f t="array" ref="C595">COUNT(FIND("output",$D595:$CD595))</f>
        <v>0</v>
      </c>
    </row>
    <row r="596" spans="1:3" x14ac:dyDescent="0.25">
      <c r="A596" s="9" t="str">
        <f>IF(ISBLANK('Signal Definition'!J596),"",'Signal Definition'!J596)</f>
        <v/>
      </c>
      <c r="B596" s="9">
        <f t="array" ref="B596">COUNT(FIND("input",$D596:$CD596))</f>
        <v>0</v>
      </c>
      <c r="C596" s="9">
        <f t="array" ref="C596">COUNT(FIND("output",$D596:$CD596))</f>
        <v>0</v>
      </c>
    </row>
    <row r="597" spans="1:3" x14ac:dyDescent="0.25">
      <c r="A597" s="9" t="str">
        <f>IF(ISBLANK('Signal Definition'!J597),"",'Signal Definition'!J597)</f>
        <v/>
      </c>
      <c r="B597" s="9">
        <f t="array" ref="B597">COUNT(FIND("input",$D597:$CD597))</f>
        <v>0</v>
      </c>
      <c r="C597" s="9">
        <f t="array" ref="C597">COUNT(FIND("output",$D597:$CD597))</f>
        <v>0</v>
      </c>
    </row>
    <row r="598" spans="1:3" x14ac:dyDescent="0.25">
      <c r="A598" s="9" t="str">
        <f>IF(ISBLANK('Signal Definition'!J598),"",'Signal Definition'!J598)</f>
        <v/>
      </c>
      <c r="B598" s="9">
        <f t="array" ref="B598">COUNT(FIND("input",$D598:$CD598))</f>
        <v>0</v>
      </c>
      <c r="C598" s="9">
        <f t="array" ref="C598">COUNT(FIND("output",$D598:$CD598))</f>
        <v>0</v>
      </c>
    </row>
    <row r="599" spans="1:3" x14ac:dyDescent="0.25">
      <c r="A599" s="9" t="str">
        <f>IF(ISBLANK('Signal Definition'!J599),"",'Signal Definition'!J599)</f>
        <v/>
      </c>
      <c r="B599" s="9">
        <f t="array" ref="B599">COUNT(FIND("input",$D599:$CD599))</f>
        <v>0</v>
      </c>
      <c r="C599" s="9">
        <f t="array" ref="C599">COUNT(FIND("output",$D599:$CD599))</f>
        <v>0</v>
      </c>
    </row>
    <row r="600" spans="1:3" x14ac:dyDescent="0.25">
      <c r="A600" s="9" t="str">
        <f>IF(ISBLANK('Signal Definition'!J600),"",'Signal Definition'!J600)</f>
        <v/>
      </c>
      <c r="B600" s="9">
        <f t="array" ref="B600">COUNT(FIND("input",$D600:$CD600))</f>
        <v>0</v>
      </c>
      <c r="C600" s="9">
        <f t="array" ref="C600">COUNT(FIND("output",$D600:$CD600))</f>
        <v>0</v>
      </c>
    </row>
    <row r="601" spans="1:3" x14ac:dyDescent="0.25">
      <c r="A601" s="9" t="str">
        <f>IF(ISBLANK('Signal Definition'!J601),"",'Signal Definition'!J601)</f>
        <v/>
      </c>
      <c r="B601" s="9">
        <f t="array" ref="B601">COUNT(FIND("input",$D601:$CD601))</f>
        <v>0</v>
      </c>
      <c r="C601" s="9">
        <f t="array" ref="C601">COUNT(FIND("output",$D601:$CD601))</f>
        <v>0</v>
      </c>
    </row>
    <row r="602" spans="1:3" x14ac:dyDescent="0.25">
      <c r="A602" s="9" t="str">
        <f>IF(ISBLANK('Signal Definition'!J602),"",'Signal Definition'!J602)</f>
        <v/>
      </c>
      <c r="B602" s="9">
        <f t="array" ref="B602">COUNT(FIND("input",$D602:$CD602))</f>
        <v>0</v>
      </c>
      <c r="C602" s="9">
        <f t="array" ref="C602">COUNT(FIND("output",$D602:$CD602))</f>
        <v>0</v>
      </c>
    </row>
    <row r="603" spans="1:3" x14ac:dyDescent="0.25">
      <c r="A603" s="9" t="str">
        <f>IF(ISBLANK('Signal Definition'!J603),"",'Signal Definition'!J603)</f>
        <v/>
      </c>
      <c r="B603" s="9">
        <f t="array" ref="B603">COUNT(FIND("input",$D603:$CD603))</f>
        <v>0</v>
      </c>
      <c r="C603" s="9">
        <f t="array" ref="C603">COUNT(FIND("output",$D603:$CD603))</f>
        <v>0</v>
      </c>
    </row>
    <row r="604" spans="1:3" x14ac:dyDescent="0.25">
      <c r="A604" s="9" t="str">
        <f>IF(ISBLANK('Signal Definition'!J604),"",'Signal Definition'!J604)</f>
        <v/>
      </c>
      <c r="B604" s="9">
        <f t="array" ref="B604">COUNT(FIND("input",$D604:$CD604))</f>
        <v>0</v>
      </c>
      <c r="C604" s="9">
        <f t="array" ref="C604">COUNT(FIND("output",$D604:$CD604))</f>
        <v>0</v>
      </c>
    </row>
    <row r="605" spans="1:3" x14ac:dyDescent="0.25">
      <c r="A605" s="9" t="str">
        <f>IF(ISBLANK('Signal Definition'!J605),"",'Signal Definition'!J605)</f>
        <v/>
      </c>
      <c r="B605" s="9">
        <f t="array" ref="B605">COUNT(FIND("input",$D605:$CD605))</f>
        <v>0</v>
      </c>
      <c r="C605" s="9">
        <f t="array" ref="C605">COUNT(FIND("output",$D605:$CD605))</f>
        <v>0</v>
      </c>
    </row>
    <row r="606" spans="1:3" x14ac:dyDescent="0.25">
      <c r="A606" s="9" t="str">
        <f>IF(ISBLANK('Signal Definition'!J606),"",'Signal Definition'!J606)</f>
        <v/>
      </c>
      <c r="B606" s="9">
        <f t="array" ref="B606">COUNT(FIND("input",$D606:$CD606))</f>
        <v>0</v>
      </c>
      <c r="C606" s="9">
        <f t="array" ref="C606">COUNT(FIND("output",$D606:$CD606))</f>
        <v>0</v>
      </c>
    </row>
    <row r="607" spans="1:3" x14ac:dyDescent="0.25">
      <c r="A607" s="9" t="str">
        <f>IF(ISBLANK('Signal Definition'!J607),"",'Signal Definition'!J607)</f>
        <v/>
      </c>
      <c r="B607" s="9">
        <f t="array" ref="B607">COUNT(FIND("input",$D607:$CD607))</f>
        <v>0</v>
      </c>
      <c r="C607" s="9">
        <f t="array" ref="C607">COUNT(FIND("output",$D607:$CD607))</f>
        <v>0</v>
      </c>
    </row>
    <row r="608" spans="1:3" x14ac:dyDescent="0.25">
      <c r="A608" s="9" t="str">
        <f>IF(ISBLANK('Signal Definition'!J608),"",'Signal Definition'!J608)</f>
        <v/>
      </c>
      <c r="B608" s="9">
        <f t="array" ref="B608">COUNT(FIND("input",$D608:$CD608))</f>
        <v>0</v>
      </c>
      <c r="C608" s="9">
        <f t="array" ref="C608">COUNT(FIND("output",$D608:$CD608))</f>
        <v>0</v>
      </c>
    </row>
    <row r="609" spans="1:3" x14ac:dyDescent="0.25">
      <c r="A609" s="9" t="str">
        <f>IF(ISBLANK('Signal Definition'!J609),"",'Signal Definition'!J609)</f>
        <v/>
      </c>
      <c r="B609" s="9">
        <f t="array" ref="B609">COUNT(FIND("input",$D609:$CD609))</f>
        <v>0</v>
      </c>
      <c r="C609" s="9">
        <f t="array" ref="C609">COUNT(FIND("output",$D609:$CD609))</f>
        <v>0</v>
      </c>
    </row>
    <row r="610" spans="1:3" x14ac:dyDescent="0.25">
      <c r="A610" s="9" t="str">
        <f>IF(ISBLANK('Signal Definition'!J610),"",'Signal Definition'!J610)</f>
        <v/>
      </c>
      <c r="B610" s="9">
        <f t="array" ref="B610">COUNT(FIND("input",$D610:$CD610))</f>
        <v>0</v>
      </c>
      <c r="C610" s="9">
        <f t="array" ref="C610">COUNT(FIND("output",$D610:$CD610))</f>
        <v>0</v>
      </c>
    </row>
    <row r="611" spans="1:3" x14ac:dyDescent="0.25">
      <c r="A611" s="9" t="str">
        <f>IF(ISBLANK('Signal Definition'!J611),"",'Signal Definition'!J611)</f>
        <v/>
      </c>
      <c r="B611" s="9">
        <f t="array" ref="B611">COUNT(FIND("input",$D611:$CD611))</f>
        <v>0</v>
      </c>
      <c r="C611" s="9">
        <f t="array" ref="C611">COUNT(FIND("output",$D611:$CD611))</f>
        <v>0</v>
      </c>
    </row>
    <row r="612" spans="1:3" x14ac:dyDescent="0.25">
      <c r="A612" s="9" t="str">
        <f>IF(ISBLANK('Signal Definition'!J612),"",'Signal Definition'!J612)</f>
        <v/>
      </c>
      <c r="B612" s="9">
        <f t="array" ref="B612">COUNT(FIND("input",$D612:$CD612))</f>
        <v>0</v>
      </c>
      <c r="C612" s="9">
        <f t="array" ref="C612">COUNT(FIND("output",$D612:$CD612))</f>
        <v>0</v>
      </c>
    </row>
    <row r="613" spans="1:3" x14ac:dyDescent="0.25">
      <c r="A613" s="9" t="str">
        <f>IF(ISBLANK('Signal Definition'!J613),"",'Signal Definition'!J613)</f>
        <v/>
      </c>
      <c r="B613" s="9">
        <f t="array" ref="B613">COUNT(FIND("input",$D613:$CD613))</f>
        <v>0</v>
      </c>
      <c r="C613" s="9">
        <f t="array" ref="C613">COUNT(FIND("output",$D613:$CD613))</f>
        <v>0</v>
      </c>
    </row>
    <row r="614" spans="1:3" x14ac:dyDescent="0.25">
      <c r="A614" s="9" t="str">
        <f>IF(ISBLANK('Signal Definition'!J614),"",'Signal Definition'!J614)</f>
        <v/>
      </c>
      <c r="B614" s="9">
        <f t="array" ref="B614">COUNT(FIND("input",$D614:$CD614))</f>
        <v>0</v>
      </c>
      <c r="C614" s="9">
        <f t="array" ref="C614">COUNT(FIND("output",$D614:$CD614))</f>
        <v>0</v>
      </c>
    </row>
    <row r="615" spans="1:3" x14ac:dyDescent="0.25">
      <c r="A615" s="9" t="str">
        <f>IF(ISBLANK('Signal Definition'!J615),"",'Signal Definition'!J615)</f>
        <v/>
      </c>
      <c r="B615" s="9">
        <f t="array" ref="B615">COUNT(FIND("input",$D615:$CD615))</f>
        <v>0</v>
      </c>
      <c r="C615" s="9">
        <f t="array" ref="C615">COUNT(FIND("output",$D615:$CD615))</f>
        <v>0</v>
      </c>
    </row>
    <row r="616" spans="1:3" x14ac:dyDescent="0.25">
      <c r="A616" s="9" t="str">
        <f>IF(ISBLANK('Signal Definition'!J616),"",'Signal Definition'!J616)</f>
        <v/>
      </c>
      <c r="B616" s="9">
        <f t="array" ref="B616">COUNT(FIND("input",$D616:$CD616))</f>
        <v>0</v>
      </c>
      <c r="C616" s="9">
        <f t="array" ref="C616">COUNT(FIND("output",$D616:$CD616))</f>
        <v>0</v>
      </c>
    </row>
    <row r="617" spans="1:3" x14ac:dyDescent="0.25">
      <c r="A617" s="9" t="str">
        <f>IF(ISBLANK('Signal Definition'!J617),"",'Signal Definition'!J617)</f>
        <v/>
      </c>
      <c r="B617" s="9">
        <f t="array" ref="B617">COUNT(FIND("input",$D617:$CD617))</f>
        <v>0</v>
      </c>
      <c r="C617" s="9">
        <f t="array" ref="C617">COUNT(FIND("output",$D617:$CD617))</f>
        <v>0</v>
      </c>
    </row>
    <row r="618" spans="1:3" x14ac:dyDescent="0.25">
      <c r="A618" s="9" t="str">
        <f>IF(ISBLANK('Signal Definition'!J618),"",'Signal Definition'!J618)</f>
        <v/>
      </c>
      <c r="B618" s="9">
        <f t="array" ref="B618">COUNT(FIND("input",$D618:$CD618))</f>
        <v>0</v>
      </c>
      <c r="C618" s="9">
        <f t="array" ref="C618">COUNT(FIND("output",$D618:$CD618))</f>
        <v>0</v>
      </c>
    </row>
    <row r="619" spans="1:3" x14ac:dyDescent="0.25">
      <c r="A619" s="9" t="str">
        <f>IF(ISBLANK('Signal Definition'!J619),"",'Signal Definition'!J619)</f>
        <v/>
      </c>
      <c r="B619" s="9">
        <f t="array" ref="B619">COUNT(FIND("input",$D619:$CD619))</f>
        <v>0</v>
      </c>
      <c r="C619" s="9">
        <f t="array" ref="C619">COUNT(FIND("output",$D619:$CD619))</f>
        <v>0</v>
      </c>
    </row>
    <row r="620" spans="1:3" x14ac:dyDescent="0.25">
      <c r="A620" s="9" t="str">
        <f>IF(ISBLANK('Signal Definition'!J620),"",'Signal Definition'!J620)</f>
        <v/>
      </c>
      <c r="B620" s="9">
        <f t="array" ref="B620">COUNT(FIND("input",$D620:$CD620))</f>
        <v>0</v>
      </c>
      <c r="C620" s="9">
        <f t="array" ref="C620">COUNT(FIND("output",$D620:$CD620))</f>
        <v>0</v>
      </c>
    </row>
    <row r="621" spans="1:3" x14ac:dyDescent="0.25">
      <c r="A621" s="9" t="str">
        <f>IF(ISBLANK('Signal Definition'!J621),"",'Signal Definition'!J621)</f>
        <v/>
      </c>
      <c r="B621" s="9">
        <f t="array" ref="B621">COUNT(FIND("input",$D621:$CD621))</f>
        <v>0</v>
      </c>
      <c r="C621" s="9">
        <f t="array" ref="C621">COUNT(FIND("output",$D621:$CD621))</f>
        <v>0</v>
      </c>
    </row>
    <row r="622" spans="1:3" x14ac:dyDescent="0.25">
      <c r="A622" s="9" t="str">
        <f>IF(ISBLANK('Signal Definition'!J622),"",'Signal Definition'!J622)</f>
        <v/>
      </c>
      <c r="B622" s="9">
        <f t="array" ref="B622">COUNT(FIND("input",$D622:$CD622))</f>
        <v>0</v>
      </c>
      <c r="C622" s="9">
        <f t="array" ref="C622">COUNT(FIND("output",$D622:$CD622))</f>
        <v>0</v>
      </c>
    </row>
    <row r="623" spans="1:3" x14ac:dyDescent="0.25">
      <c r="A623" s="9" t="str">
        <f>IF(ISBLANK('Signal Definition'!J623),"",'Signal Definition'!J623)</f>
        <v/>
      </c>
      <c r="B623" s="9">
        <f t="array" ref="B623">COUNT(FIND("input",$D623:$CD623))</f>
        <v>0</v>
      </c>
      <c r="C623" s="9">
        <f t="array" ref="C623">COUNT(FIND("output",$D623:$CD623))</f>
        <v>0</v>
      </c>
    </row>
    <row r="624" spans="1:3" x14ac:dyDescent="0.25">
      <c r="A624" s="9" t="str">
        <f>IF(ISBLANK('Signal Definition'!J624),"",'Signal Definition'!J624)</f>
        <v/>
      </c>
      <c r="B624" s="9">
        <f t="array" ref="B624">COUNT(FIND("input",$D624:$CD624))</f>
        <v>0</v>
      </c>
      <c r="C624" s="9">
        <f t="array" ref="C624">COUNT(FIND("output",$D624:$CD624))</f>
        <v>0</v>
      </c>
    </row>
    <row r="625" spans="1:3" x14ac:dyDescent="0.25">
      <c r="A625" s="9" t="str">
        <f>IF(ISBLANK('Signal Definition'!J625),"",'Signal Definition'!J625)</f>
        <v/>
      </c>
      <c r="B625" s="9">
        <f t="array" ref="B625">COUNT(FIND("input",$D625:$CD625))</f>
        <v>0</v>
      </c>
      <c r="C625" s="9">
        <f t="array" ref="C625">COUNT(FIND("output",$D625:$CD625))</f>
        <v>0</v>
      </c>
    </row>
    <row r="626" spans="1:3" x14ac:dyDescent="0.25">
      <c r="A626" s="9" t="str">
        <f>IF(ISBLANK('Signal Definition'!J626),"",'Signal Definition'!J626)</f>
        <v/>
      </c>
      <c r="B626" s="9">
        <f t="array" ref="B626">COUNT(FIND("input",$D626:$CD626))</f>
        <v>0</v>
      </c>
      <c r="C626" s="9">
        <f t="array" ref="C626">COUNT(FIND("output",$D626:$CD626))</f>
        <v>0</v>
      </c>
    </row>
    <row r="627" spans="1:3" x14ac:dyDescent="0.25">
      <c r="A627" s="9" t="str">
        <f>IF(ISBLANK('Signal Definition'!J627),"",'Signal Definition'!J627)</f>
        <v/>
      </c>
      <c r="B627" s="9">
        <f t="array" ref="B627">COUNT(FIND("input",$D627:$CD627))</f>
        <v>0</v>
      </c>
      <c r="C627" s="9">
        <f t="array" ref="C627">COUNT(FIND("output",$D627:$CD627))</f>
        <v>0</v>
      </c>
    </row>
    <row r="628" spans="1:3" x14ac:dyDescent="0.25">
      <c r="A628" s="9" t="str">
        <f>IF(ISBLANK('Signal Definition'!J628),"",'Signal Definition'!J628)</f>
        <v/>
      </c>
      <c r="B628" s="9">
        <f t="array" ref="B628">COUNT(FIND("input",$D628:$CD628))</f>
        <v>0</v>
      </c>
      <c r="C628" s="9">
        <f t="array" ref="C628">COUNT(FIND("output",$D628:$CD628))</f>
        <v>0</v>
      </c>
    </row>
    <row r="629" spans="1:3" x14ac:dyDescent="0.25">
      <c r="A629" s="9" t="str">
        <f>IF(ISBLANK('Signal Definition'!J629),"",'Signal Definition'!J629)</f>
        <v/>
      </c>
      <c r="B629" s="9">
        <f t="array" ref="B629">COUNT(FIND("input",$D629:$CD629))</f>
        <v>0</v>
      </c>
      <c r="C629" s="9">
        <f t="array" ref="C629">COUNT(FIND("output",$D629:$CD629))</f>
        <v>0</v>
      </c>
    </row>
    <row r="630" spans="1:3" x14ac:dyDescent="0.25">
      <c r="A630" s="9" t="str">
        <f>IF(ISBLANK('Signal Definition'!J630),"",'Signal Definition'!J630)</f>
        <v/>
      </c>
      <c r="B630" s="9">
        <f t="array" ref="B630">COUNT(FIND("input",$D630:$CD630))</f>
        <v>0</v>
      </c>
      <c r="C630" s="9">
        <f t="array" ref="C630">COUNT(FIND("output",$D630:$CD630))</f>
        <v>0</v>
      </c>
    </row>
    <row r="631" spans="1:3" x14ac:dyDescent="0.25">
      <c r="A631" s="9" t="str">
        <f>IF(ISBLANK('Signal Definition'!J631),"",'Signal Definition'!J631)</f>
        <v/>
      </c>
      <c r="B631" s="9">
        <f t="array" ref="B631">COUNT(FIND("input",$D631:$CD631))</f>
        <v>0</v>
      </c>
      <c r="C631" s="9">
        <f t="array" ref="C631">COUNT(FIND("output",$D631:$CD631))</f>
        <v>0</v>
      </c>
    </row>
    <row r="632" spans="1:3" x14ac:dyDescent="0.25">
      <c r="A632" s="9" t="str">
        <f>IF(ISBLANK('Signal Definition'!J632),"",'Signal Definition'!J632)</f>
        <v/>
      </c>
      <c r="B632" s="9">
        <f t="array" ref="B632">COUNT(FIND("input",$D632:$CD632))</f>
        <v>0</v>
      </c>
      <c r="C632" s="9">
        <f t="array" ref="C632">COUNT(FIND("output",$D632:$CD632))</f>
        <v>0</v>
      </c>
    </row>
    <row r="633" spans="1:3" x14ac:dyDescent="0.25">
      <c r="A633" s="9" t="str">
        <f>IF(ISBLANK('Signal Definition'!J633),"",'Signal Definition'!J633)</f>
        <v/>
      </c>
      <c r="B633" s="9">
        <f t="array" ref="B633">COUNT(FIND("input",$D633:$CD633))</f>
        <v>0</v>
      </c>
      <c r="C633" s="9">
        <f t="array" ref="C633">COUNT(FIND("output",$D633:$CD633))</f>
        <v>0</v>
      </c>
    </row>
    <row r="634" spans="1:3" x14ac:dyDescent="0.25">
      <c r="A634" s="9" t="str">
        <f>IF(ISBLANK('Signal Definition'!J634),"",'Signal Definition'!J634)</f>
        <v/>
      </c>
      <c r="B634" s="9">
        <f t="array" ref="B634">COUNT(FIND("input",$D634:$CD634))</f>
        <v>0</v>
      </c>
      <c r="C634" s="9">
        <f t="array" ref="C634">COUNT(FIND("output",$D634:$CD634))</f>
        <v>0</v>
      </c>
    </row>
    <row r="635" spans="1:3" x14ac:dyDescent="0.25">
      <c r="A635" s="9" t="str">
        <f>IF(ISBLANK('Signal Definition'!J635),"",'Signal Definition'!J635)</f>
        <v/>
      </c>
      <c r="B635" s="9">
        <f t="array" ref="B635">COUNT(FIND("input",$D635:$CD635))</f>
        <v>0</v>
      </c>
      <c r="C635" s="9">
        <f t="array" ref="C635">COUNT(FIND("output",$D635:$CD635))</f>
        <v>0</v>
      </c>
    </row>
    <row r="636" spans="1:3" x14ac:dyDescent="0.25">
      <c r="A636" s="9" t="str">
        <f>IF(ISBLANK('Signal Definition'!J636),"",'Signal Definition'!J636)</f>
        <v/>
      </c>
      <c r="B636" s="9">
        <f t="array" ref="B636">COUNT(FIND("input",$D636:$CD636))</f>
        <v>0</v>
      </c>
      <c r="C636" s="9">
        <f t="array" ref="C636">COUNT(FIND("output",$D636:$CD636))</f>
        <v>0</v>
      </c>
    </row>
    <row r="637" spans="1:3" x14ac:dyDescent="0.25">
      <c r="A637" s="9" t="str">
        <f>IF(ISBLANK('Signal Definition'!J637),"",'Signal Definition'!J637)</f>
        <v/>
      </c>
      <c r="B637" s="9">
        <f t="array" ref="B637">COUNT(FIND("input",$D637:$CD637))</f>
        <v>0</v>
      </c>
      <c r="C637" s="9">
        <f t="array" ref="C637">COUNT(FIND("output",$D637:$CD637))</f>
        <v>0</v>
      </c>
    </row>
    <row r="638" spans="1:3" x14ac:dyDescent="0.25">
      <c r="A638" s="9" t="str">
        <f>IF(ISBLANK('Signal Definition'!J638),"",'Signal Definition'!J638)</f>
        <v/>
      </c>
      <c r="B638" s="9">
        <f t="array" ref="B638">COUNT(FIND("input",$D638:$CD638))</f>
        <v>0</v>
      </c>
      <c r="C638" s="9">
        <f t="array" ref="C638">COUNT(FIND("output",$D638:$CD638))</f>
        <v>0</v>
      </c>
    </row>
    <row r="639" spans="1:3" x14ac:dyDescent="0.25">
      <c r="A639" s="9" t="str">
        <f>IF(ISBLANK('Signal Definition'!J639),"",'Signal Definition'!J639)</f>
        <v/>
      </c>
      <c r="B639" s="9">
        <f t="array" ref="B639">COUNT(FIND("input",$D639:$CD639))</f>
        <v>0</v>
      </c>
      <c r="C639" s="9">
        <f t="array" ref="C639">COUNT(FIND("output",$D639:$CD639))</f>
        <v>0</v>
      </c>
    </row>
    <row r="640" spans="1:3" x14ac:dyDescent="0.25">
      <c r="A640" s="9" t="str">
        <f>IF(ISBLANK('Signal Definition'!J640),"",'Signal Definition'!J640)</f>
        <v/>
      </c>
      <c r="B640" s="9">
        <f t="array" ref="B640">COUNT(FIND("input",$D640:$CD640))</f>
        <v>0</v>
      </c>
      <c r="C640" s="9">
        <f t="array" ref="C640">COUNT(FIND("output",$D640:$CD640))</f>
        <v>0</v>
      </c>
    </row>
    <row r="641" spans="1:3" x14ac:dyDescent="0.25">
      <c r="A641" s="9" t="str">
        <f>IF(ISBLANK('Signal Definition'!J641),"",'Signal Definition'!J641)</f>
        <v/>
      </c>
      <c r="B641" s="9">
        <f t="array" ref="B641">COUNT(FIND("input",$D641:$CD641))</f>
        <v>0</v>
      </c>
      <c r="C641" s="9">
        <f t="array" ref="C641">COUNT(FIND("output",$D641:$CD641))</f>
        <v>0</v>
      </c>
    </row>
    <row r="642" spans="1:3" x14ac:dyDescent="0.25">
      <c r="A642" s="9" t="str">
        <f>IF(ISBLANK('Signal Definition'!J642),"",'Signal Definition'!J642)</f>
        <v/>
      </c>
      <c r="B642" s="9">
        <f t="array" ref="B642">COUNT(FIND("input",$D642:$CD642))</f>
        <v>0</v>
      </c>
      <c r="C642" s="9">
        <f t="array" ref="C642">COUNT(FIND("output",$D642:$CD642))</f>
        <v>0</v>
      </c>
    </row>
    <row r="643" spans="1:3" x14ac:dyDescent="0.25">
      <c r="A643" s="9" t="str">
        <f>IF(ISBLANK('Signal Definition'!J643),"",'Signal Definition'!J643)</f>
        <v/>
      </c>
      <c r="B643" s="9">
        <f t="array" ref="B643">COUNT(FIND("input",$D643:$CD643))</f>
        <v>0</v>
      </c>
      <c r="C643" s="9">
        <f t="array" ref="C643">COUNT(FIND("output",$D643:$CD643))</f>
        <v>0</v>
      </c>
    </row>
    <row r="644" spans="1:3" x14ac:dyDescent="0.25">
      <c r="A644" s="9" t="str">
        <f>IF(ISBLANK('Signal Definition'!J644),"",'Signal Definition'!J644)</f>
        <v/>
      </c>
      <c r="B644" s="9">
        <f t="array" ref="B644">COUNT(FIND("input",$D644:$CD644))</f>
        <v>0</v>
      </c>
      <c r="C644" s="9">
        <f t="array" ref="C644">COUNT(FIND("output",$D644:$CD644))</f>
        <v>0</v>
      </c>
    </row>
    <row r="645" spans="1:3" x14ac:dyDescent="0.25">
      <c r="A645" s="9" t="str">
        <f>IF(ISBLANK('Signal Definition'!J645),"",'Signal Definition'!J645)</f>
        <v/>
      </c>
      <c r="B645" s="9">
        <f t="array" ref="B645">COUNT(FIND("input",$D645:$CD645))</f>
        <v>0</v>
      </c>
      <c r="C645" s="9">
        <f t="array" ref="C645">COUNT(FIND("output",$D645:$CD645))</f>
        <v>0</v>
      </c>
    </row>
    <row r="646" spans="1:3" x14ac:dyDescent="0.25">
      <c r="A646" s="9" t="str">
        <f>IF(ISBLANK('Signal Definition'!J646),"",'Signal Definition'!J646)</f>
        <v/>
      </c>
      <c r="B646" s="9">
        <f t="array" ref="B646">COUNT(FIND("input",$D646:$CD646))</f>
        <v>0</v>
      </c>
      <c r="C646" s="9">
        <f t="array" ref="C646">COUNT(FIND("output",$D646:$CD646))</f>
        <v>0</v>
      </c>
    </row>
    <row r="647" spans="1:3" x14ac:dyDescent="0.25">
      <c r="A647" s="9" t="str">
        <f>IF(ISBLANK('Signal Definition'!J647),"",'Signal Definition'!J647)</f>
        <v/>
      </c>
      <c r="B647" s="9">
        <f t="array" ref="B647">COUNT(FIND("input",$D647:$CD647))</f>
        <v>0</v>
      </c>
      <c r="C647" s="9">
        <f t="array" ref="C647">COUNT(FIND("output",$D647:$CD647))</f>
        <v>0</v>
      </c>
    </row>
    <row r="648" spans="1:3" x14ac:dyDescent="0.25">
      <c r="A648" s="9" t="str">
        <f>IF(ISBLANK('Signal Definition'!J648),"",'Signal Definition'!J648)</f>
        <v/>
      </c>
      <c r="B648" s="9">
        <f t="array" ref="B648">COUNT(FIND("input",$D648:$CD648))</f>
        <v>0</v>
      </c>
      <c r="C648" s="9">
        <f t="array" ref="C648">COUNT(FIND("output",$D648:$CD648))</f>
        <v>0</v>
      </c>
    </row>
    <row r="649" spans="1:3" x14ac:dyDescent="0.25">
      <c r="A649" s="9" t="str">
        <f>IF(ISBLANK('Signal Definition'!J649),"",'Signal Definition'!J649)</f>
        <v/>
      </c>
      <c r="B649" s="9">
        <f t="array" ref="B649">COUNT(FIND("input",$D649:$CD649))</f>
        <v>0</v>
      </c>
      <c r="C649" s="9">
        <f t="array" ref="C649">COUNT(FIND("output",$D649:$CD649))</f>
        <v>0</v>
      </c>
    </row>
    <row r="650" spans="1:3" x14ac:dyDescent="0.25">
      <c r="A650" s="9" t="str">
        <f>IF(ISBLANK('Signal Definition'!J650),"",'Signal Definition'!J650)</f>
        <v/>
      </c>
      <c r="B650" s="9">
        <f t="array" ref="B650">COUNT(FIND("input",$D650:$CD650))</f>
        <v>0</v>
      </c>
      <c r="C650" s="9">
        <f t="array" ref="C650">COUNT(FIND("output",$D650:$CD650))</f>
        <v>0</v>
      </c>
    </row>
    <row r="651" spans="1:3" x14ac:dyDescent="0.25">
      <c r="A651" s="9" t="str">
        <f>IF(ISBLANK('Signal Definition'!J651),"",'Signal Definition'!J651)</f>
        <v/>
      </c>
      <c r="B651" s="9">
        <f t="array" ref="B651">COUNT(FIND("input",$D651:$CD651))</f>
        <v>0</v>
      </c>
      <c r="C651" s="9">
        <f t="array" ref="C651">COUNT(FIND("output",$D651:$CD651))</f>
        <v>0</v>
      </c>
    </row>
    <row r="652" spans="1:3" x14ac:dyDescent="0.25">
      <c r="A652" s="9" t="str">
        <f>IF(ISBLANK('Signal Definition'!J652),"",'Signal Definition'!J652)</f>
        <v/>
      </c>
      <c r="B652" s="9">
        <f t="array" ref="B652">COUNT(FIND("input",$D652:$CD652))</f>
        <v>0</v>
      </c>
      <c r="C652" s="9">
        <f t="array" ref="C652">COUNT(FIND("output",$D652:$CD652))</f>
        <v>0</v>
      </c>
    </row>
    <row r="653" spans="1:3" x14ac:dyDescent="0.25">
      <c r="A653" s="9" t="str">
        <f>IF(ISBLANK('Signal Definition'!J653),"",'Signal Definition'!J653)</f>
        <v/>
      </c>
      <c r="B653" s="9">
        <f t="array" ref="B653">COUNT(FIND("input",$D653:$CD653))</f>
        <v>0</v>
      </c>
      <c r="C653" s="9">
        <f t="array" ref="C653">COUNT(FIND("output",$D653:$CD653))</f>
        <v>0</v>
      </c>
    </row>
    <row r="654" spans="1:3" x14ac:dyDescent="0.25">
      <c r="A654" s="9" t="str">
        <f>IF(ISBLANK('Signal Definition'!J654),"",'Signal Definition'!J654)</f>
        <v/>
      </c>
      <c r="B654" s="9">
        <f t="array" ref="B654">COUNT(FIND("input",$D654:$CD654))</f>
        <v>0</v>
      </c>
      <c r="C654" s="9">
        <f t="array" ref="C654">COUNT(FIND("output",$D654:$CD654))</f>
        <v>0</v>
      </c>
    </row>
    <row r="655" spans="1:3" x14ac:dyDescent="0.25">
      <c r="A655" s="9" t="str">
        <f>IF(ISBLANK('Signal Definition'!J655),"",'Signal Definition'!J655)</f>
        <v/>
      </c>
      <c r="B655" s="9">
        <f t="array" ref="B655">COUNT(FIND("input",$D655:$CD655))</f>
        <v>0</v>
      </c>
      <c r="C655" s="9">
        <f t="array" ref="C655">COUNT(FIND("output",$D655:$CD655))</f>
        <v>0</v>
      </c>
    </row>
    <row r="656" spans="1:3" x14ac:dyDescent="0.25">
      <c r="A656" s="9" t="str">
        <f>IF(ISBLANK('Signal Definition'!J656),"",'Signal Definition'!J656)</f>
        <v/>
      </c>
      <c r="B656" s="9">
        <f t="array" ref="B656">COUNT(FIND("input",$D656:$CD656))</f>
        <v>0</v>
      </c>
      <c r="C656" s="9">
        <f t="array" ref="C656">COUNT(FIND("output",$D656:$CD656))</f>
        <v>0</v>
      </c>
    </row>
    <row r="657" spans="1:3" x14ac:dyDescent="0.25">
      <c r="A657" s="9" t="str">
        <f>IF(ISBLANK('Signal Definition'!J657),"",'Signal Definition'!J657)</f>
        <v/>
      </c>
      <c r="B657" s="9">
        <f t="array" ref="B657">COUNT(FIND("input",$D657:$CD657))</f>
        <v>0</v>
      </c>
      <c r="C657" s="9">
        <f t="array" ref="C657">COUNT(FIND("output",$D657:$CD657))</f>
        <v>0</v>
      </c>
    </row>
    <row r="658" spans="1:3" x14ac:dyDescent="0.25">
      <c r="A658" s="9" t="str">
        <f>IF(ISBLANK('Signal Definition'!J658),"",'Signal Definition'!J658)</f>
        <v/>
      </c>
      <c r="B658" s="9">
        <f t="array" ref="B658">COUNT(FIND("input",$D658:$CD658))</f>
        <v>0</v>
      </c>
      <c r="C658" s="9">
        <f t="array" ref="C658">COUNT(FIND("output",$D658:$CD658))</f>
        <v>0</v>
      </c>
    </row>
    <row r="659" spans="1:3" x14ac:dyDescent="0.25">
      <c r="A659" s="9" t="str">
        <f>IF(ISBLANK('Signal Definition'!J659),"",'Signal Definition'!J659)</f>
        <v/>
      </c>
      <c r="B659" s="9">
        <f t="array" ref="B659">COUNT(FIND("input",$D659:$CD659))</f>
        <v>0</v>
      </c>
      <c r="C659" s="9">
        <f t="array" ref="C659">COUNT(FIND("output",$D659:$CD659))</f>
        <v>0</v>
      </c>
    </row>
    <row r="660" spans="1:3" x14ac:dyDescent="0.25">
      <c r="A660" s="9" t="str">
        <f>IF(ISBLANK('Signal Definition'!J660),"",'Signal Definition'!J660)</f>
        <v/>
      </c>
      <c r="B660" s="9">
        <f t="array" ref="B660">COUNT(FIND("input",$D660:$CD660))</f>
        <v>0</v>
      </c>
      <c r="C660" s="9">
        <f t="array" ref="C660">COUNT(FIND("output",$D660:$CD660))</f>
        <v>0</v>
      </c>
    </row>
    <row r="661" spans="1:3" x14ac:dyDescent="0.25">
      <c r="A661" s="9" t="str">
        <f>IF(ISBLANK('Signal Definition'!J661),"",'Signal Definition'!J661)</f>
        <v/>
      </c>
      <c r="B661" s="9">
        <f t="array" ref="B661">COUNT(FIND("input",$D661:$CD661))</f>
        <v>0</v>
      </c>
      <c r="C661" s="9">
        <f t="array" ref="C661">COUNT(FIND("output",$D661:$CD661))</f>
        <v>0</v>
      </c>
    </row>
    <row r="662" spans="1:3" x14ac:dyDescent="0.25">
      <c r="A662" s="9" t="str">
        <f>IF(ISBLANK('Signal Definition'!J662),"",'Signal Definition'!J662)</f>
        <v/>
      </c>
      <c r="B662" s="9">
        <f t="array" ref="B662">COUNT(FIND("input",$D662:$CD662))</f>
        <v>0</v>
      </c>
      <c r="C662" s="9">
        <f t="array" ref="C662">COUNT(FIND("output",$D662:$CD662))</f>
        <v>0</v>
      </c>
    </row>
    <row r="663" spans="1:3" x14ac:dyDescent="0.25">
      <c r="A663" s="9" t="str">
        <f>IF(ISBLANK('Signal Definition'!J663),"",'Signal Definition'!J663)</f>
        <v/>
      </c>
      <c r="B663" s="9">
        <f t="array" ref="B663">COUNT(FIND("input",$D663:$CD663))</f>
        <v>0</v>
      </c>
      <c r="C663" s="9">
        <f t="array" ref="C663">COUNT(FIND("output",$D663:$CD663))</f>
        <v>0</v>
      </c>
    </row>
    <row r="664" spans="1:3" x14ac:dyDescent="0.25">
      <c r="A664" s="9" t="str">
        <f>IF(ISBLANK('Signal Definition'!J664),"",'Signal Definition'!J664)</f>
        <v/>
      </c>
      <c r="B664" s="9">
        <f t="array" ref="B664">COUNT(FIND("input",$D664:$CD664))</f>
        <v>0</v>
      </c>
      <c r="C664" s="9">
        <f t="array" ref="C664">COUNT(FIND("output",$D664:$CD664))</f>
        <v>0</v>
      </c>
    </row>
    <row r="665" spans="1:3" x14ac:dyDescent="0.25">
      <c r="A665" s="9" t="str">
        <f>IF(ISBLANK('Signal Definition'!J665),"",'Signal Definition'!J665)</f>
        <v/>
      </c>
      <c r="B665" s="9">
        <f t="array" ref="B665">COUNT(FIND("input",$D665:$CD665))</f>
        <v>0</v>
      </c>
      <c r="C665" s="9">
        <f t="array" ref="C665">COUNT(FIND("output",$D665:$CD665))</f>
        <v>0</v>
      </c>
    </row>
    <row r="666" spans="1:3" x14ac:dyDescent="0.25">
      <c r="A666" s="9" t="str">
        <f>IF(ISBLANK('Signal Definition'!J666),"",'Signal Definition'!J666)</f>
        <v/>
      </c>
      <c r="B666" s="9">
        <f t="array" ref="B666">COUNT(FIND("input",$D666:$CD666))</f>
        <v>0</v>
      </c>
      <c r="C666" s="9">
        <f t="array" ref="C666">COUNT(FIND("output",$D666:$CD666))</f>
        <v>0</v>
      </c>
    </row>
    <row r="667" spans="1:3" x14ac:dyDescent="0.25">
      <c r="A667" s="9" t="str">
        <f>IF(ISBLANK('Signal Definition'!J667),"",'Signal Definition'!J667)</f>
        <v/>
      </c>
      <c r="B667" s="9">
        <f t="array" ref="B667">COUNT(FIND("input",$D667:$CD667))</f>
        <v>0</v>
      </c>
      <c r="C667" s="9">
        <f t="array" ref="C667">COUNT(FIND("output",$D667:$CD667))</f>
        <v>0</v>
      </c>
    </row>
    <row r="668" spans="1:3" x14ac:dyDescent="0.25">
      <c r="A668" s="9" t="str">
        <f>IF(ISBLANK('Signal Definition'!J668),"",'Signal Definition'!J668)</f>
        <v/>
      </c>
      <c r="B668" s="9">
        <f t="array" ref="B668">COUNT(FIND("input",$D668:$CD668))</f>
        <v>0</v>
      </c>
      <c r="C668" s="9">
        <f t="array" ref="C668">COUNT(FIND("output",$D668:$CD668))</f>
        <v>0</v>
      </c>
    </row>
    <row r="669" spans="1:3" x14ac:dyDescent="0.25">
      <c r="A669" s="9" t="str">
        <f>IF(ISBLANK('Signal Definition'!J669),"",'Signal Definition'!J669)</f>
        <v/>
      </c>
      <c r="B669" s="9">
        <f t="array" ref="B669">COUNT(FIND("input",$D669:$CD669))</f>
        <v>0</v>
      </c>
      <c r="C669" s="9">
        <f t="array" ref="C669">COUNT(FIND("output",$D669:$CD669))</f>
        <v>0</v>
      </c>
    </row>
    <row r="670" spans="1:3" x14ac:dyDescent="0.25">
      <c r="A670" s="9" t="str">
        <f>IF(ISBLANK('Signal Definition'!J670),"",'Signal Definition'!J670)</f>
        <v/>
      </c>
      <c r="B670" s="9">
        <f t="array" ref="B670">COUNT(FIND("input",$D670:$CD670))</f>
        <v>0</v>
      </c>
      <c r="C670" s="9">
        <f t="array" ref="C670">COUNT(FIND("output",$D670:$CD670))</f>
        <v>0</v>
      </c>
    </row>
    <row r="671" spans="1:3" x14ac:dyDescent="0.25">
      <c r="A671" s="9" t="str">
        <f>IF(ISBLANK('Signal Definition'!J671),"",'Signal Definition'!J671)</f>
        <v/>
      </c>
      <c r="B671" s="9">
        <f t="array" ref="B671">COUNT(FIND("input",$D671:$CD671))</f>
        <v>0</v>
      </c>
      <c r="C671" s="9">
        <f t="array" ref="C671">COUNT(FIND("output",$D671:$CD671))</f>
        <v>0</v>
      </c>
    </row>
    <row r="672" spans="1:3" x14ac:dyDescent="0.25">
      <c r="A672" s="9" t="str">
        <f>IF(ISBLANK('Signal Definition'!J672),"",'Signal Definition'!J672)</f>
        <v/>
      </c>
      <c r="B672" s="9">
        <f t="array" ref="B672">COUNT(FIND("input",$D672:$CD672))</f>
        <v>0</v>
      </c>
      <c r="C672" s="9">
        <f t="array" ref="C672">COUNT(FIND("output",$D672:$CD672))</f>
        <v>0</v>
      </c>
    </row>
    <row r="673" spans="1:3" x14ac:dyDescent="0.25">
      <c r="A673" s="9" t="str">
        <f>IF(ISBLANK('Signal Definition'!J673),"",'Signal Definition'!J673)</f>
        <v/>
      </c>
      <c r="B673" s="9">
        <f t="array" ref="B673">COUNT(FIND("input",$D673:$CD673))</f>
        <v>0</v>
      </c>
      <c r="C673" s="9">
        <f t="array" ref="C673">COUNT(FIND("output",$D673:$CD673))</f>
        <v>0</v>
      </c>
    </row>
    <row r="674" spans="1:3" x14ac:dyDescent="0.25">
      <c r="A674" s="9" t="str">
        <f>IF(ISBLANK('Signal Definition'!J674),"",'Signal Definition'!J674)</f>
        <v/>
      </c>
      <c r="B674" s="9">
        <f t="array" ref="B674">COUNT(FIND("input",$D674:$CD674))</f>
        <v>0</v>
      </c>
      <c r="C674" s="9">
        <f t="array" ref="C674">COUNT(FIND("output",$D674:$CD674))</f>
        <v>0</v>
      </c>
    </row>
    <row r="675" spans="1:3" x14ac:dyDescent="0.25">
      <c r="A675" s="9" t="str">
        <f>IF(ISBLANK('Signal Definition'!J675),"",'Signal Definition'!J675)</f>
        <v/>
      </c>
      <c r="B675" s="9">
        <f t="array" ref="B675">COUNT(FIND("input",$D675:$CD675))</f>
        <v>0</v>
      </c>
      <c r="C675" s="9">
        <f t="array" ref="C675">COUNT(FIND("output",$D675:$CD675))</f>
        <v>0</v>
      </c>
    </row>
    <row r="676" spans="1:3" x14ac:dyDescent="0.25">
      <c r="A676" s="9" t="str">
        <f>IF(ISBLANK('Signal Definition'!J676),"",'Signal Definition'!J676)</f>
        <v/>
      </c>
      <c r="B676" s="9">
        <f t="array" ref="B676">COUNT(FIND("input",$D676:$CD676))</f>
        <v>0</v>
      </c>
      <c r="C676" s="9">
        <f t="array" ref="C676">COUNT(FIND("output",$D676:$CD676))</f>
        <v>0</v>
      </c>
    </row>
    <row r="677" spans="1:3" x14ac:dyDescent="0.25">
      <c r="A677" s="9" t="str">
        <f>IF(ISBLANK('Signal Definition'!J677),"",'Signal Definition'!J677)</f>
        <v/>
      </c>
      <c r="B677" s="9">
        <f t="array" ref="B677">COUNT(FIND("input",$D677:$CD677))</f>
        <v>0</v>
      </c>
      <c r="C677" s="9">
        <f t="array" ref="C677">COUNT(FIND("output",$D677:$CD677))</f>
        <v>0</v>
      </c>
    </row>
    <row r="678" spans="1:3" x14ac:dyDescent="0.25">
      <c r="A678" s="9" t="str">
        <f>IF(ISBLANK('Signal Definition'!J678),"",'Signal Definition'!J678)</f>
        <v/>
      </c>
      <c r="B678" s="9">
        <f t="array" ref="B678">COUNT(FIND("input",$D678:$CD678))</f>
        <v>0</v>
      </c>
      <c r="C678" s="9">
        <f t="array" ref="C678">COUNT(FIND("output",$D678:$CD678))</f>
        <v>0</v>
      </c>
    </row>
    <row r="679" spans="1:3" x14ac:dyDescent="0.25">
      <c r="A679" s="9" t="str">
        <f>IF(ISBLANK('Signal Definition'!J679),"",'Signal Definition'!J679)</f>
        <v/>
      </c>
      <c r="B679" s="9">
        <f t="array" ref="B679">COUNT(FIND("input",$D679:$CD679))</f>
        <v>0</v>
      </c>
      <c r="C679" s="9">
        <f t="array" ref="C679">COUNT(FIND("output",$D679:$CD679))</f>
        <v>0</v>
      </c>
    </row>
    <row r="680" spans="1:3" x14ac:dyDescent="0.25">
      <c r="A680" s="9" t="str">
        <f>IF(ISBLANK('Signal Definition'!J680),"",'Signal Definition'!J680)</f>
        <v/>
      </c>
      <c r="B680" s="9">
        <f t="array" ref="B680">COUNT(FIND("input",$D680:$CD680))</f>
        <v>0</v>
      </c>
      <c r="C680" s="9">
        <f t="array" ref="C680">COUNT(FIND("output",$D680:$CD680))</f>
        <v>0</v>
      </c>
    </row>
    <row r="681" spans="1:3" x14ac:dyDescent="0.25">
      <c r="A681" s="9" t="str">
        <f>IF(ISBLANK('Signal Definition'!J681),"",'Signal Definition'!J681)</f>
        <v/>
      </c>
      <c r="B681" s="9">
        <f t="array" ref="B681">COUNT(FIND("input",$D681:$CD681))</f>
        <v>0</v>
      </c>
      <c r="C681" s="9">
        <f t="array" ref="C681">COUNT(FIND("output",$D681:$CD681))</f>
        <v>0</v>
      </c>
    </row>
    <row r="682" spans="1:3" x14ac:dyDescent="0.25">
      <c r="A682" s="9" t="str">
        <f>IF(ISBLANK('Signal Definition'!J682),"",'Signal Definition'!J682)</f>
        <v/>
      </c>
      <c r="B682" s="9">
        <f t="array" ref="B682">COUNT(FIND("input",$D682:$CD682))</f>
        <v>0</v>
      </c>
      <c r="C682" s="9">
        <f t="array" ref="C682">COUNT(FIND("output",$D682:$CD682))</f>
        <v>0</v>
      </c>
    </row>
    <row r="683" spans="1:3" x14ac:dyDescent="0.25">
      <c r="A683" s="9" t="str">
        <f>IF(ISBLANK('Signal Definition'!J683),"",'Signal Definition'!J683)</f>
        <v/>
      </c>
      <c r="B683" s="9">
        <f t="array" ref="B683">COUNT(FIND("input",$D683:$CD683))</f>
        <v>0</v>
      </c>
      <c r="C683" s="9">
        <f t="array" ref="C683">COUNT(FIND("output",$D683:$CD683))</f>
        <v>0</v>
      </c>
    </row>
    <row r="684" spans="1:3" x14ac:dyDescent="0.25">
      <c r="A684" s="9" t="str">
        <f>IF(ISBLANK('Signal Definition'!J684),"",'Signal Definition'!J684)</f>
        <v/>
      </c>
      <c r="B684" s="9">
        <f t="array" ref="B684">COUNT(FIND("input",$D684:$CD684))</f>
        <v>0</v>
      </c>
      <c r="C684" s="9">
        <f t="array" ref="C684">COUNT(FIND("output",$D684:$CD684))</f>
        <v>0</v>
      </c>
    </row>
    <row r="685" spans="1:3" x14ac:dyDescent="0.25">
      <c r="A685" s="9" t="str">
        <f>IF(ISBLANK('Signal Definition'!J685),"",'Signal Definition'!J685)</f>
        <v/>
      </c>
      <c r="B685" s="9">
        <f t="array" ref="B685">COUNT(FIND("input",$D685:$CD685))</f>
        <v>0</v>
      </c>
      <c r="C685" s="9">
        <f t="array" ref="C685">COUNT(FIND("output",$D685:$CD685))</f>
        <v>0</v>
      </c>
    </row>
    <row r="686" spans="1:3" x14ac:dyDescent="0.25">
      <c r="A686" s="9" t="str">
        <f>IF(ISBLANK('Signal Definition'!J686),"",'Signal Definition'!J686)</f>
        <v/>
      </c>
      <c r="B686" s="9">
        <f t="array" ref="B686">COUNT(FIND("input",$D686:$CD686))</f>
        <v>0</v>
      </c>
      <c r="C686" s="9">
        <f t="array" ref="C686">COUNT(FIND("output",$D686:$CD686))</f>
        <v>0</v>
      </c>
    </row>
    <row r="687" spans="1:3" x14ac:dyDescent="0.25">
      <c r="A687" s="9" t="str">
        <f>IF(ISBLANK('Signal Definition'!J687),"",'Signal Definition'!J687)</f>
        <v/>
      </c>
      <c r="B687" s="9">
        <f t="array" ref="B687">COUNT(FIND("input",$D687:$CD687))</f>
        <v>0</v>
      </c>
      <c r="C687" s="9">
        <f t="array" ref="C687">COUNT(FIND("output",$D687:$CD687))</f>
        <v>0</v>
      </c>
    </row>
    <row r="688" spans="1:3" x14ac:dyDescent="0.25">
      <c r="A688" s="9" t="str">
        <f>IF(ISBLANK('Signal Definition'!J688),"",'Signal Definition'!J688)</f>
        <v/>
      </c>
      <c r="B688" s="9">
        <f t="array" ref="B688">COUNT(FIND("input",$D688:$CD688))</f>
        <v>0</v>
      </c>
      <c r="C688" s="9">
        <f t="array" ref="C688">COUNT(FIND("output",$D688:$CD688))</f>
        <v>0</v>
      </c>
    </row>
    <row r="689" spans="1:3" x14ac:dyDescent="0.25">
      <c r="A689" s="9" t="str">
        <f>IF(ISBLANK('Signal Definition'!J689),"",'Signal Definition'!J689)</f>
        <v/>
      </c>
      <c r="B689" s="9">
        <f t="array" ref="B689">COUNT(FIND("input",$D689:$CD689))</f>
        <v>0</v>
      </c>
      <c r="C689" s="9">
        <f t="array" ref="C689">COUNT(FIND("output",$D689:$CD689))</f>
        <v>0</v>
      </c>
    </row>
    <row r="690" spans="1:3" x14ac:dyDescent="0.25">
      <c r="A690" s="9" t="str">
        <f>IF(ISBLANK('Signal Definition'!J690),"",'Signal Definition'!J690)</f>
        <v/>
      </c>
      <c r="B690" s="9">
        <f t="array" ref="B690">COUNT(FIND("input",$D690:$CD690))</f>
        <v>0</v>
      </c>
      <c r="C690" s="9">
        <f t="array" ref="C690">COUNT(FIND("output",$D690:$CD690))</f>
        <v>0</v>
      </c>
    </row>
    <row r="691" spans="1:3" x14ac:dyDescent="0.25">
      <c r="A691" s="9" t="str">
        <f>IF(ISBLANK('Signal Definition'!J691),"",'Signal Definition'!J691)</f>
        <v/>
      </c>
      <c r="B691" s="9">
        <f t="array" ref="B691">COUNT(FIND("input",$D691:$CD691))</f>
        <v>0</v>
      </c>
      <c r="C691" s="9">
        <f t="array" ref="C691">COUNT(FIND("output",$D691:$CD691))</f>
        <v>0</v>
      </c>
    </row>
    <row r="692" spans="1:3" x14ac:dyDescent="0.25">
      <c r="A692" s="9" t="str">
        <f>IF(ISBLANK('Signal Definition'!J692),"",'Signal Definition'!J692)</f>
        <v/>
      </c>
      <c r="B692" s="9">
        <f t="array" ref="B692">COUNT(FIND("input",$D692:$CD692))</f>
        <v>0</v>
      </c>
      <c r="C692" s="9">
        <f t="array" ref="C692">COUNT(FIND("output",$D692:$CD692))</f>
        <v>0</v>
      </c>
    </row>
    <row r="693" spans="1:3" x14ac:dyDescent="0.25">
      <c r="A693" s="9" t="str">
        <f>IF(ISBLANK('Signal Definition'!J693),"",'Signal Definition'!J693)</f>
        <v/>
      </c>
      <c r="B693" s="9">
        <f t="array" ref="B693">COUNT(FIND("input",$D693:$CD693))</f>
        <v>0</v>
      </c>
      <c r="C693" s="9">
        <f t="array" ref="C693">COUNT(FIND("output",$D693:$CD693))</f>
        <v>0</v>
      </c>
    </row>
    <row r="694" spans="1:3" x14ac:dyDescent="0.25">
      <c r="A694" s="9" t="str">
        <f>IF(ISBLANK('Signal Definition'!J694),"",'Signal Definition'!J694)</f>
        <v/>
      </c>
      <c r="B694" s="9">
        <f t="array" ref="B694">COUNT(FIND("input",$D694:$CD694))</f>
        <v>0</v>
      </c>
      <c r="C694" s="9">
        <f t="array" ref="C694">COUNT(FIND("output",$D694:$CD694))</f>
        <v>0</v>
      </c>
    </row>
    <row r="695" spans="1:3" x14ac:dyDescent="0.25">
      <c r="A695" s="9" t="str">
        <f>IF(ISBLANK('Signal Definition'!J695),"",'Signal Definition'!J695)</f>
        <v/>
      </c>
      <c r="B695" s="9">
        <f t="array" ref="B695">COUNT(FIND("input",$D695:$CD695))</f>
        <v>0</v>
      </c>
      <c r="C695" s="9">
        <f t="array" ref="C695">COUNT(FIND("output",$D695:$CD695))</f>
        <v>0</v>
      </c>
    </row>
    <row r="696" spans="1:3" x14ac:dyDescent="0.25">
      <c r="A696" s="9" t="str">
        <f>IF(ISBLANK('Signal Definition'!J696),"",'Signal Definition'!J696)</f>
        <v/>
      </c>
      <c r="B696" s="9">
        <f t="array" ref="B696">COUNT(FIND("input",$D696:$CD696))</f>
        <v>0</v>
      </c>
      <c r="C696" s="9">
        <f t="array" ref="C696">COUNT(FIND("output",$D696:$CD696))</f>
        <v>0</v>
      </c>
    </row>
    <row r="697" spans="1:3" x14ac:dyDescent="0.25">
      <c r="A697" s="9" t="str">
        <f>IF(ISBLANK('Signal Definition'!J697),"",'Signal Definition'!J697)</f>
        <v/>
      </c>
      <c r="B697" s="9">
        <f t="array" ref="B697">COUNT(FIND("input",$D697:$CD697))</f>
        <v>0</v>
      </c>
      <c r="C697" s="9">
        <f t="array" ref="C697">COUNT(FIND("output",$D697:$CD697))</f>
        <v>0</v>
      </c>
    </row>
    <row r="698" spans="1:3" x14ac:dyDescent="0.25">
      <c r="A698" s="9" t="str">
        <f>IF(ISBLANK('Signal Definition'!J698),"",'Signal Definition'!J698)</f>
        <v/>
      </c>
      <c r="B698" s="9">
        <f t="array" ref="B698">COUNT(FIND("input",$D698:$CD698))</f>
        <v>0</v>
      </c>
      <c r="C698" s="9">
        <f t="array" ref="C698">COUNT(FIND("output",$D698:$CD698))</f>
        <v>0</v>
      </c>
    </row>
    <row r="699" spans="1:3" x14ac:dyDescent="0.25">
      <c r="A699" s="9" t="str">
        <f>IF(ISBLANK('Signal Definition'!J699),"",'Signal Definition'!J699)</f>
        <v/>
      </c>
      <c r="B699" s="9">
        <f t="array" ref="B699">COUNT(FIND("input",$D699:$CD699))</f>
        <v>0</v>
      </c>
      <c r="C699" s="9">
        <f t="array" ref="C699">COUNT(FIND("output",$D699:$CD699))</f>
        <v>0</v>
      </c>
    </row>
    <row r="700" spans="1:3" x14ac:dyDescent="0.25">
      <c r="A700" s="9" t="str">
        <f>IF(ISBLANK('Signal Definition'!J700),"",'Signal Definition'!J700)</f>
        <v/>
      </c>
      <c r="B700" s="9">
        <f t="array" ref="B700">COUNT(FIND("input",$D700:$CD700))</f>
        <v>0</v>
      </c>
      <c r="C700" s="9">
        <f t="array" ref="C700">COUNT(FIND("output",$D700:$CD700))</f>
        <v>0</v>
      </c>
    </row>
    <row r="701" spans="1:3" x14ac:dyDescent="0.25">
      <c r="A701" s="9" t="str">
        <f>IF(ISBLANK('Signal Definition'!J701),"",'Signal Definition'!J701)</f>
        <v/>
      </c>
      <c r="B701" s="9">
        <f t="array" ref="B701">COUNT(FIND("input",$D701:$CD701))</f>
        <v>0</v>
      </c>
      <c r="C701" s="9">
        <f t="array" ref="C701">COUNT(FIND("output",$D701:$CD701))</f>
        <v>0</v>
      </c>
    </row>
    <row r="702" spans="1:3" x14ac:dyDescent="0.25">
      <c r="A702" s="9" t="str">
        <f>IF(ISBLANK('Signal Definition'!J702),"",'Signal Definition'!J702)</f>
        <v/>
      </c>
      <c r="B702" s="9">
        <f t="array" ref="B702">COUNT(FIND("input",$D702:$CD702))</f>
        <v>0</v>
      </c>
      <c r="C702" s="9">
        <f t="array" ref="C702">COUNT(FIND("output",$D702:$CD702))</f>
        <v>0</v>
      </c>
    </row>
    <row r="703" spans="1:3" x14ac:dyDescent="0.25">
      <c r="A703" s="9" t="str">
        <f>IF(ISBLANK('Signal Definition'!J703),"",'Signal Definition'!J703)</f>
        <v/>
      </c>
      <c r="B703" s="9">
        <f t="array" ref="B703">COUNT(FIND("input",$D703:$CD703))</f>
        <v>0</v>
      </c>
      <c r="C703" s="9">
        <f t="array" ref="C703">COUNT(FIND("output",$D703:$CD703))</f>
        <v>0</v>
      </c>
    </row>
    <row r="704" spans="1:3" x14ac:dyDescent="0.25">
      <c r="A704" s="9" t="str">
        <f>IF(ISBLANK('Signal Definition'!J704),"",'Signal Definition'!J704)</f>
        <v/>
      </c>
      <c r="B704" s="9">
        <f t="array" ref="B704">COUNT(FIND("input",$D704:$CD704))</f>
        <v>0</v>
      </c>
      <c r="C704" s="9">
        <f t="array" ref="C704">COUNT(FIND("output",$D704:$CD704))</f>
        <v>0</v>
      </c>
    </row>
    <row r="705" spans="1:3" x14ac:dyDescent="0.25">
      <c r="A705" s="9" t="str">
        <f>IF(ISBLANK('Signal Definition'!J705),"",'Signal Definition'!J705)</f>
        <v/>
      </c>
      <c r="B705" s="9">
        <f t="array" ref="B705">COUNT(FIND("input",$D705:$CD705))</f>
        <v>0</v>
      </c>
      <c r="C705" s="9">
        <f t="array" ref="C705">COUNT(FIND("output",$D705:$CD705))</f>
        <v>0</v>
      </c>
    </row>
    <row r="706" spans="1:3" x14ac:dyDescent="0.25">
      <c r="A706" s="9" t="str">
        <f>IF(ISBLANK('Signal Definition'!J706),"",'Signal Definition'!J706)</f>
        <v/>
      </c>
      <c r="B706" s="9">
        <f t="array" ref="B706">COUNT(FIND("input",$D706:$CD706))</f>
        <v>0</v>
      </c>
      <c r="C706" s="9">
        <f t="array" ref="C706">COUNT(FIND("output",$D706:$CD706))</f>
        <v>0</v>
      </c>
    </row>
    <row r="707" spans="1:3" x14ac:dyDescent="0.25">
      <c r="A707" s="9" t="str">
        <f>IF(ISBLANK('Signal Definition'!J707),"",'Signal Definition'!J707)</f>
        <v/>
      </c>
      <c r="B707" s="9">
        <f t="array" ref="B707">COUNT(FIND("input",$D707:$CD707))</f>
        <v>0</v>
      </c>
      <c r="C707" s="9">
        <f t="array" ref="C707">COUNT(FIND("output",$D707:$CD707))</f>
        <v>0</v>
      </c>
    </row>
    <row r="708" spans="1:3" x14ac:dyDescent="0.25">
      <c r="A708" s="9" t="str">
        <f>IF(ISBLANK('Signal Definition'!J708),"",'Signal Definition'!J708)</f>
        <v/>
      </c>
      <c r="B708" s="9">
        <f t="array" ref="B708">COUNT(FIND("input",$D708:$CD708))</f>
        <v>0</v>
      </c>
      <c r="C708" s="9">
        <f t="array" ref="C708">COUNT(FIND("output",$D708:$CD708))</f>
        <v>0</v>
      </c>
    </row>
    <row r="709" spans="1:3" x14ac:dyDescent="0.25">
      <c r="A709" s="9" t="str">
        <f>IF(ISBLANK('Signal Definition'!J709),"",'Signal Definition'!J709)</f>
        <v/>
      </c>
      <c r="B709" s="9">
        <f t="array" ref="B709">COUNT(FIND("input",$D709:$CD709))</f>
        <v>0</v>
      </c>
      <c r="C709" s="9">
        <f t="array" ref="C709">COUNT(FIND("output",$D709:$CD709))</f>
        <v>0</v>
      </c>
    </row>
    <row r="710" spans="1:3" x14ac:dyDescent="0.25">
      <c r="A710" s="9" t="str">
        <f>IF(ISBLANK('Signal Definition'!J710),"",'Signal Definition'!J710)</f>
        <v/>
      </c>
      <c r="B710" s="9">
        <f t="array" ref="B710">COUNT(FIND("input",$D710:$CD710))</f>
        <v>0</v>
      </c>
      <c r="C710" s="9">
        <f t="array" ref="C710">COUNT(FIND("output",$D710:$CD710))</f>
        <v>0</v>
      </c>
    </row>
    <row r="711" spans="1:3" x14ac:dyDescent="0.25">
      <c r="A711" s="9" t="str">
        <f>IF(ISBLANK('Signal Definition'!J711),"",'Signal Definition'!J711)</f>
        <v/>
      </c>
      <c r="B711" s="9">
        <f t="array" ref="B711">COUNT(FIND("input",$D711:$CD711))</f>
        <v>0</v>
      </c>
      <c r="C711" s="9">
        <f t="array" ref="C711">COUNT(FIND("output",$D711:$CD711))</f>
        <v>0</v>
      </c>
    </row>
    <row r="712" spans="1:3" x14ac:dyDescent="0.25">
      <c r="A712" s="9" t="str">
        <f>IF(ISBLANK('Signal Definition'!J712),"",'Signal Definition'!J712)</f>
        <v/>
      </c>
      <c r="B712" s="9">
        <f t="array" ref="B712">COUNT(FIND("input",$D712:$CD712))</f>
        <v>0</v>
      </c>
      <c r="C712" s="9">
        <f t="array" ref="C712">COUNT(FIND("output",$D712:$CD712))</f>
        <v>0</v>
      </c>
    </row>
    <row r="713" spans="1:3" x14ac:dyDescent="0.25">
      <c r="A713" s="9" t="str">
        <f>IF(ISBLANK('Signal Definition'!J713),"",'Signal Definition'!J713)</f>
        <v/>
      </c>
      <c r="B713" s="9">
        <f t="array" ref="B713">COUNT(FIND("input",$D713:$CD713))</f>
        <v>0</v>
      </c>
      <c r="C713" s="9">
        <f t="array" ref="C713">COUNT(FIND("output",$D713:$CD713))</f>
        <v>0</v>
      </c>
    </row>
    <row r="714" spans="1:3" x14ac:dyDescent="0.25">
      <c r="A714" s="9" t="str">
        <f>IF(ISBLANK('Signal Definition'!J714),"",'Signal Definition'!J714)</f>
        <v/>
      </c>
      <c r="B714" s="9">
        <f t="array" ref="B714">COUNT(FIND("input",$D714:$CD714))</f>
        <v>0</v>
      </c>
      <c r="C714" s="9">
        <f t="array" ref="C714">COUNT(FIND("output",$D714:$CD714))</f>
        <v>0</v>
      </c>
    </row>
    <row r="715" spans="1:3" x14ac:dyDescent="0.25">
      <c r="A715" s="9" t="str">
        <f>IF(ISBLANK('Signal Definition'!J715),"",'Signal Definition'!J715)</f>
        <v/>
      </c>
      <c r="B715" s="9">
        <f t="array" ref="B715">COUNT(FIND("input",$D715:$CD715))</f>
        <v>0</v>
      </c>
      <c r="C715" s="9">
        <f t="array" ref="C715">COUNT(FIND("output",$D715:$CD715))</f>
        <v>0</v>
      </c>
    </row>
    <row r="716" spans="1:3" x14ac:dyDescent="0.25">
      <c r="A716" s="9" t="str">
        <f>IF(ISBLANK('Signal Definition'!J716),"",'Signal Definition'!J716)</f>
        <v/>
      </c>
      <c r="B716" s="9">
        <f t="array" ref="B716">COUNT(FIND("input",$D716:$CD716))</f>
        <v>0</v>
      </c>
      <c r="C716" s="9">
        <f t="array" ref="C716">COUNT(FIND("output",$D716:$CD716))</f>
        <v>0</v>
      </c>
    </row>
    <row r="717" spans="1:3" x14ac:dyDescent="0.25">
      <c r="A717" s="9" t="str">
        <f>IF(ISBLANK('Signal Definition'!J717),"",'Signal Definition'!J717)</f>
        <v/>
      </c>
      <c r="B717" s="9">
        <f t="array" ref="B717">COUNT(FIND("input",$D717:$CD717))</f>
        <v>0</v>
      </c>
      <c r="C717" s="9">
        <f t="array" ref="C717">COUNT(FIND("output",$D717:$CD717))</f>
        <v>0</v>
      </c>
    </row>
    <row r="718" spans="1:3" x14ac:dyDescent="0.25">
      <c r="A718" s="9" t="str">
        <f>IF(ISBLANK('Signal Definition'!J718),"",'Signal Definition'!J718)</f>
        <v/>
      </c>
      <c r="B718" s="9">
        <f t="array" ref="B718">COUNT(FIND("input",$D718:$CD718))</f>
        <v>0</v>
      </c>
      <c r="C718" s="9">
        <f t="array" ref="C718">COUNT(FIND("output",$D718:$CD718))</f>
        <v>0</v>
      </c>
    </row>
    <row r="719" spans="1:3" x14ac:dyDescent="0.25">
      <c r="A719" s="9" t="str">
        <f>IF(ISBLANK('Signal Definition'!J719),"",'Signal Definition'!J719)</f>
        <v/>
      </c>
      <c r="B719" s="9">
        <f t="array" ref="B719">COUNT(FIND("input",$D719:$CD719))</f>
        <v>0</v>
      </c>
      <c r="C719" s="9">
        <f t="array" ref="C719">COUNT(FIND("output",$D719:$CD719))</f>
        <v>0</v>
      </c>
    </row>
    <row r="720" spans="1:3" x14ac:dyDescent="0.25">
      <c r="A720" s="9" t="str">
        <f>IF(ISBLANK('Signal Definition'!J720),"",'Signal Definition'!J720)</f>
        <v/>
      </c>
      <c r="B720" s="9">
        <f t="array" ref="B720">COUNT(FIND("input",$D720:$CD720))</f>
        <v>0</v>
      </c>
      <c r="C720" s="9">
        <f t="array" ref="C720">COUNT(FIND("output",$D720:$CD720))</f>
        <v>0</v>
      </c>
    </row>
    <row r="721" spans="1:3" x14ac:dyDescent="0.25">
      <c r="A721" s="9" t="str">
        <f>IF(ISBLANK('Signal Definition'!J721),"",'Signal Definition'!J721)</f>
        <v/>
      </c>
      <c r="B721" s="9">
        <f t="array" ref="B721">COUNT(FIND("input",$D721:$CD721))</f>
        <v>0</v>
      </c>
      <c r="C721" s="9">
        <f t="array" ref="C721">COUNT(FIND("output",$D721:$CD721))</f>
        <v>0</v>
      </c>
    </row>
    <row r="722" spans="1:3" x14ac:dyDescent="0.25">
      <c r="A722" s="9" t="str">
        <f>IF(ISBLANK('Signal Definition'!J722),"",'Signal Definition'!J722)</f>
        <v/>
      </c>
      <c r="B722" s="9">
        <f t="array" ref="B722">COUNT(FIND("input",$D722:$CD722))</f>
        <v>0</v>
      </c>
      <c r="C722" s="9">
        <f t="array" ref="C722">COUNT(FIND("output",$D722:$CD722))</f>
        <v>0</v>
      </c>
    </row>
    <row r="723" spans="1:3" x14ac:dyDescent="0.25">
      <c r="A723" s="9" t="str">
        <f>IF(ISBLANK('Signal Definition'!J723),"",'Signal Definition'!J723)</f>
        <v/>
      </c>
      <c r="B723" s="9">
        <f t="array" ref="B723">COUNT(FIND("input",$D723:$CD723))</f>
        <v>0</v>
      </c>
      <c r="C723" s="9">
        <f t="array" ref="C723">COUNT(FIND("output",$D723:$CD723))</f>
        <v>0</v>
      </c>
    </row>
    <row r="724" spans="1:3" x14ac:dyDescent="0.25">
      <c r="A724" s="9" t="str">
        <f>IF(ISBLANK('Signal Definition'!J724),"",'Signal Definition'!J724)</f>
        <v/>
      </c>
      <c r="B724" s="9">
        <f t="array" ref="B724">COUNT(FIND("input",$D724:$CD724))</f>
        <v>0</v>
      </c>
      <c r="C724" s="9">
        <f t="array" ref="C724">COUNT(FIND("output",$D724:$CD724))</f>
        <v>0</v>
      </c>
    </row>
    <row r="725" spans="1:3" x14ac:dyDescent="0.25">
      <c r="A725" s="9" t="str">
        <f>IF(ISBLANK('Signal Definition'!J725),"",'Signal Definition'!J725)</f>
        <v/>
      </c>
      <c r="B725" s="9">
        <f t="array" ref="B725">COUNT(FIND("input",$D725:$CD725))</f>
        <v>0</v>
      </c>
      <c r="C725" s="9">
        <f t="array" ref="C725">COUNT(FIND("output",$D725:$CD725))</f>
        <v>0</v>
      </c>
    </row>
    <row r="726" spans="1:3" x14ac:dyDescent="0.25">
      <c r="A726" s="9" t="str">
        <f>IF(ISBLANK('Signal Definition'!J726),"",'Signal Definition'!J726)</f>
        <v/>
      </c>
      <c r="B726" s="9">
        <f t="array" ref="B726">COUNT(FIND("input",$D726:$CD726))</f>
        <v>0</v>
      </c>
      <c r="C726" s="9">
        <f t="array" ref="C726">COUNT(FIND("output",$D726:$CD726))</f>
        <v>0</v>
      </c>
    </row>
    <row r="727" spans="1:3" x14ac:dyDescent="0.25">
      <c r="A727" s="9" t="str">
        <f>IF(ISBLANK('Signal Definition'!J727),"",'Signal Definition'!J727)</f>
        <v/>
      </c>
      <c r="B727" s="9">
        <f t="array" ref="B727">COUNT(FIND("input",$D727:$CD727))</f>
        <v>0</v>
      </c>
      <c r="C727" s="9">
        <f t="array" ref="C727">COUNT(FIND("output",$D727:$CD727))</f>
        <v>0</v>
      </c>
    </row>
    <row r="728" spans="1:3" x14ac:dyDescent="0.25">
      <c r="A728" s="9" t="str">
        <f>IF(ISBLANK('Signal Definition'!J728),"",'Signal Definition'!J728)</f>
        <v/>
      </c>
      <c r="B728" s="9">
        <f t="array" ref="B728">COUNT(FIND("input",$D728:$CD728))</f>
        <v>0</v>
      </c>
      <c r="C728" s="9">
        <f t="array" ref="C728">COUNT(FIND("output",$D728:$CD728))</f>
        <v>0</v>
      </c>
    </row>
    <row r="729" spans="1:3" x14ac:dyDescent="0.25">
      <c r="A729" s="9" t="str">
        <f>IF(ISBLANK('Signal Definition'!J729),"",'Signal Definition'!J729)</f>
        <v/>
      </c>
      <c r="B729" s="9">
        <f t="array" ref="B729">COUNT(FIND("input",$D729:$CD729))</f>
        <v>0</v>
      </c>
      <c r="C729" s="9">
        <f t="array" ref="C729">COUNT(FIND("output",$D729:$CD729))</f>
        <v>0</v>
      </c>
    </row>
    <row r="730" spans="1:3" x14ac:dyDescent="0.25">
      <c r="A730" s="9" t="str">
        <f>IF(ISBLANK('Signal Definition'!J730),"",'Signal Definition'!J730)</f>
        <v/>
      </c>
      <c r="B730" s="9">
        <f t="array" ref="B730">COUNT(FIND("input",$D730:$CD730))</f>
        <v>0</v>
      </c>
      <c r="C730" s="9">
        <f t="array" ref="C730">COUNT(FIND("output",$D730:$CD730))</f>
        <v>0</v>
      </c>
    </row>
    <row r="731" spans="1:3" x14ac:dyDescent="0.25">
      <c r="A731" s="9" t="str">
        <f>IF(ISBLANK('Signal Definition'!J731),"",'Signal Definition'!J731)</f>
        <v/>
      </c>
      <c r="B731" s="9">
        <f t="array" ref="B731">COUNT(FIND("input",$D731:$CD731))</f>
        <v>0</v>
      </c>
      <c r="C731" s="9">
        <f t="array" ref="C731">COUNT(FIND("output",$D731:$CD731))</f>
        <v>0</v>
      </c>
    </row>
    <row r="732" spans="1:3" x14ac:dyDescent="0.25">
      <c r="A732" s="9" t="str">
        <f>IF(ISBLANK('Signal Definition'!J732),"",'Signal Definition'!J732)</f>
        <v/>
      </c>
      <c r="B732" s="9">
        <f t="array" ref="B732">COUNT(FIND("input",$D732:$CD732))</f>
        <v>0</v>
      </c>
      <c r="C732" s="9">
        <f t="array" ref="C732">COUNT(FIND("output",$D732:$CD732))</f>
        <v>0</v>
      </c>
    </row>
    <row r="733" spans="1:3" x14ac:dyDescent="0.25">
      <c r="A733" s="9" t="str">
        <f>IF(ISBLANK('Signal Definition'!J733),"",'Signal Definition'!J733)</f>
        <v/>
      </c>
      <c r="B733" s="9">
        <f t="array" ref="B733">COUNT(FIND("input",$D733:$CD733))</f>
        <v>0</v>
      </c>
      <c r="C733" s="9">
        <f t="array" ref="C733">COUNT(FIND("output",$D733:$CD733))</f>
        <v>0</v>
      </c>
    </row>
    <row r="734" spans="1:3" x14ac:dyDescent="0.25">
      <c r="A734" s="9" t="str">
        <f>IF(ISBLANK('Signal Definition'!J734),"",'Signal Definition'!J734)</f>
        <v/>
      </c>
      <c r="B734" s="9">
        <f t="array" ref="B734">COUNT(FIND("input",$D734:$CD734))</f>
        <v>0</v>
      </c>
      <c r="C734" s="9">
        <f t="array" ref="C734">COUNT(FIND("output",$D734:$CD734))</f>
        <v>0</v>
      </c>
    </row>
    <row r="735" spans="1:3" x14ac:dyDescent="0.25">
      <c r="A735" s="9" t="str">
        <f>IF(ISBLANK('Signal Definition'!J735),"",'Signal Definition'!J735)</f>
        <v/>
      </c>
      <c r="B735" s="9">
        <f t="array" ref="B735">COUNT(FIND("input",$D735:$CD735))</f>
        <v>0</v>
      </c>
      <c r="C735" s="9">
        <f t="array" ref="C735">COUNT(FIND("output",$D735:$CD735))</f>
        <v>0</v>
      </c>
    </row>
    <row r="736" spans="1:3" x14ac:dyDescent="0.25">
      <c r="A736" s="9" t="str">
        <f>IF(ISBLANK('Signal Definition'!J736),"",'Signal Definition'!J736)</f>
        <v/>
      </c>
      <c r="B736" s="9">
        <f t="array" ref="B736">COUNT(FIND("input",$D736:$CD736))</f>
        <v>0</v>
      </c>
      <c r="C736" s="9">
        <f t="array" ref="C736">COUNT(FIND("output",$D736:$CD736))</f>
        <v>0</v>
      </c>
    </row>
    <row r="737" spans="1:3" x14ac:dyDescent="0.25">
      <c r="A737" s="9" t="str">
        <f>IF(ISBLANK('Signal Definition'!J737),"",'Signal Definition'!J737)</f>
        <v/>
      </c>
      <c r="B737" s="9">
        <f t="array" ref="B737">COUNT(FIND("input",$D737:$CD737))</f>
        <v>0</v>
      </c>
      <c r="C737" s="9">
        <f t="array" ref="C737">COUNT(FIND("output",$D737:$CD737))</f>
        <v>0</v>
      </c>
    </row>
    <row r="738" spans="1:3" x14ac:dyDescent="0.25">
      <c r="A738" s="9" t="str">
        <f>IF(ISBLANK('Signal Definition'!J738),"",'Signal Definition'!J738)</f>
        <v/>
      </c>
      <c r="B738" s="9">
        <f t="array" ref="B738">COUNT(FIND("input",$D738:$CD738))</f>
        <v>0</v>
      </c>
      <c r="C738" s="9">
        <f t="array" ref="C738">COUNT(FIND("output",$D738:$CD738))</f>
        <v>0</v>
      </c>
    </row>
    <row r="739" spans="1:3" x14ac:dyDescent="0.25">
      <c r="A739" s="9" t="str">
        <f>IF(ISBLANK('Signal Definition'!J739),"",'Signal Definition'!J739)</f>
        <v/>
      </c>
      <c r="B739" s="9">
        <f t="array" ref="B739">COUNT(FIND("input",$D739:$CD739))</f>
        <v>0</v>
      </c>
      <c r="C739" s="9">
        <f t="array" ref="C739">COUNT(FIND("output",$D739:$CD739))</f>
        <v>0</v>
      </c>
    </row>
    <row r="740" spans="1:3" x14ac:dyDescent="0.25">
      <c r="A740" s="9" t="str">
        <f>IF(ISBLANK('Signal Definition'!J740),"",'Signal Definition'!J740)</f>
        <v/>
      </c>
      <c r="B740" s="9">
        <f t="array" ref="B740">COUNT(FIND("input",$D740:$CD740))</f>
        <v>0</v>
      </c>
      <c r="C740" s="9">
        <f t="array" ref="C740">COUNT(FIND("output",$D740:$CD740))</f>
        <v>0</v>
      </c>
    </row>
    <row r="741" spans="1:3" x14ac:dyDescent="0.25">
      <c r="A741" s="9" t="str">
        <f>IF(ISBLANK('Signal Definition'!J741),"",'Signal Definition'!J741)</f>
        <v/>
      </c>
      <c r="B741" s="9">
        <f t="array" ref="B741">COUNT(FIND("input",$D741:$CD741))</f>
        <v>0</v>
      </c>
      <c r="C741" s="9">
        <f t="array" ref="C741">COUNT(FIND("output",$D741:$CD741))</f>
        <v>0</v>
      </c>
    </row>
    <row r="742" spans="1:3" x14ac:dyDescent="0.25">
      <c r="A742" s="9" t="str">
        <f>IF(ISBLANK('Signal Definition'!J742),"",'Signal Definition'!J742)</f>
        <v/>
      </c>
      <c r="B742" s="9">
        <f t="array" ref="B742">COUNT(FIND("input",$D742:$CD742))</f>
        <v>0</v>
      </c>
      <c r="C742" s="9">
        <f t="array" ref="C742">COUNT(FIND("output",$D742:$CD742))</f>
        <v>0</v>
      </c>
    </row>
    <row r="743" spans="1:3" x14ac:dyDescent="0.25">
      <c r="A743" s="9" t="str">
        <f>IF(ISBLANK('Signal Definition'!J743),"",'Signal Definition'!J743)</f>
        <v/>
      </c>
      <c r="B743" s="9">
        <f t="array" ref="B743">COUNT(FIND("input",$D743:$CD743))</f>
        <v>0</v>
      </c>
      <c r="C743" s="9">
        <f t="array" ref="C743">COUNT(FIND("output",$D743:$CD743))</f>
        <v>0</v>
      </c>
    </row>
    <row r="744" spans="1:3" x14ac:dyDescent="0.25">
      <c r="A744" s="9" t="str">
        <f>IF(ISBLANK('Signal Definition'!J744),"",'Signal Definition'!J744)</f>
        <v/>
      </c>
      <c r="B744" s="9">
        <f t="array" ref="B744">COUNT(FIND("input",$D744:$CD744))</f>
        <v>0</v>
      </c>
      <c r="C744" s="9">
        <f t="array" ref="C744">COUNT(FIND("output",$D744:$CD744))</f>
        <v>0</v>
      </c>
    </row>
    <row r="745" spans="1:3" x14ac:dyDescent="0.25">
      <c r="A745" s="9" t="str">
        <f>IF(ISBLANK('Signal Definition'!J745),"",'Signal Definition'!J745)</f>
        <v/>
      </c>
      <c r="B745" s="9">
        <f t="array" ref="B745">COUNT(FIND("input",$D745:$CD745))</f>
        <v>0</v>
      </c>
      <c r="C745" s="9">
        <f t="array" ref="C745">COUNT(FIND("output",$D745:$CD745))</f>
        <v>0</v>
      </c>
    </row>
    <row r="746" spans="1:3" x14ac:dyDescent="0.25">
      <c r="A746" s="9" t="str">
        <f>IF(ISBLANK('Signal Definition'!J746),"",'Signal Definition'!J746)</f>
        <v/>
      </c>
      <c r="B746" s="9">
        <f t="array" ref="B746">COUNT(FIND("input",$D746:$CD746))</f>
        <v>0</v>
      </c>
      <c r="C746" s="9">
        <f t="array" ref="C746">COUNT(FIND("output",$D746:$CD746))</f>
        <v>0</v>
      </c>
    </row>
    <row r="747" spans="1:3" x14ac:dyDescent="0.25">
      <c r="A747" s="9" t="str">
        <f>IF(ISBLANK('Signal Definition'!J747),"",'Signal Definition'!J747)</f>
        <v/>
      </c>
      <c r="B747" s="9">
        <f t="array" ref="B747">COUNT(FIND("input",$D747:$CD747))</f>
        <v>0</v>
      </c>
      <c r="C747" s="9">
        <f t="array" ref="C747">COUNT(FIND("output",$D747:$CD747))</f>
        <v>0</v>
      </c>
    </row>
    <row r="748" spans="1:3" x14ac:dyDescent="0.25">
      <c r="A748" s="9" t="str">
        <f>IF(ISBLANK('Signal Definition'!J748),"",'Signal Definition'!J748)</f>
        <v/>
      </c>
      <c r="B748" s="9">
        <f t="array" ref="B748">COUNT(FIND("input",$D748:$CD748))</f>
        <v>0</v>
      </c>
      <c r="C748" s="9">
        <f t="array" ref="C748">COUNT(FIND("output",$D748:$CD748))</f>
        <v>0</v>
      </c>
    </row>
    <row r="749" spans="1:3" x14ac:dyDescent="0.25">
      <c r="A749" s="9" t="str">
        <f>IF(ISBLANK('Signal Definition'!J749),"",'Signal Definition'!J749)</f>
        <v/>
      </c>
      <c r="B749" s="9">
        <f t="array" ref="B749">COUNT(FIND("input",$D749:$CD749))</f>
        <v>0</v>
      </c>
      <c r="C749" s="9">
        <f t="array" ref="C749">COUNT(FIND("output",$D749:$CD749))</f>
        <v>0</v>
      </c>
    </row>
    <row r="750" spans="1:3" x14ac:dyDescent="0.25">
      <c r="A750" s="9" t="str">
        <f>IF(ISBLANK('Signal Definition'!J750),"",'Signal Definition'!J750)</f>
        <v/>
      </c>
      <c r="B750" s="9">
        <f t="array" ref="B750">COUNT(FIND("input",$D750:$CD750))</f>
        <v>0</v>
      </c>
      <c r="C750" s="9">
        <f t="array" ref="C750">COUNT(FIND("output",$D750:$CD750))</f>
        <v>0</v>
      </c>
    </row>
    <row r="751" spans="1:3" x14ac:dyDescent="0.25">
      <c r="A751" s="9" t="str">
        <f>IF(ISBLANK('Signal Definition'!J751),"",'Signal Definition'!J751)</f>
        <v/>
      </c>
      <c r="B751" s="9">
        <f t="array" ref="B751">COUNT(FIND("input",$D751:$CD751))</f>
        <v>0</v>
      </c>
      <c r="C751" s="9">
        <f t="array" ref="C751">COUNT(FIND("output",$D751:$CD751))</f>
        <v>0</v>
      </c>
    </row>
    <row r="752" spans="1:3" x14ac:dyDescent="0.25">
      <c r="A752" s="9" t="str">
        <f>IF(ISBLANK('Signal Definition'!J752),"",'Signal Definition'!J752)</f>
        <v/>
      </c>
      <c r="B752" s="9">
        <f t="array" ref="B752">COUNT(FIND("input",$D752:$CD752))</f>
        <v>0</v>
      </c>
      <c r="C752" s="9">
        <f t="array" ref="C752">COUNT(FIND("output",$D752:$CD752))</f>
        <v>0</v>
      </c>
    </row>
    <row r="753" spans="1:3" x14ac:dyDescent="0.25">
      <c r="A753" s="9" t="str">
        <f>IF(ISBLANK('Signal Definition'!J753),"",'Signal Definition'!J753)</f>
        <v/>
      </c>
      <c r="B753" s="9">
        <f t="array" ref="B753">COUNT(FIND("input",$D753:$CD753))</f>
        <v>0</v>
      </c>
      <c r="C753" s="9">
        <f t="array" ref="C753">COUNT(FIND("output",$D753:$CD753))</f>
        <v>0</v>
      </c>
    </row>
    <row r="754" spans="1:3" x14ac:dyDescent="0.25">
      <c r="A754" s="9" t="str">
        <f>IF(ISBLANK('Signal Definition'!J754),"",'Signal Definition'!J754)</f>
        <v/>
      </c>
      <c r="B754" s="9">
        <f t="array" ref="B754">COUNT(FIND("input",$D754:$CD754))</f>
        <v>0</v>
      </c>
      <c r="C754" s="9">
        <f t="array" ref="C754">COUNT(FIND("output",$D754:$CD754))</f>
        <v>0</v>
      </c>
    </row>
    <row r="755" spans="1:3" x14ac:dyDescent="0.25">
      <c r="A755" s="9" t="str">
        <f>IF(ISBLANK('Signal Definition'!J755),"",'Signal Definition'!J755)</f>
        <v/>
      </c>
      <c r="B755" s="9">
        <f t="array" ref="B755">COUNT(FIND("input",$D755:$CD755))</f>
        <v>0</v>
      </c>
      <c r="C755" s="9">
        <f t="array" ref="C755">COUNT(FIND("output",$D755:$CD755))</f>
        <v>0</v>
      </c>
    </row>
    <row r="756" spans="1:3" x14ac:dyDescent="0.25">
      <c r="A756" s="9" t="str">
        <f>IF(ISBLANK('Signal Definition'!J756),"",'Signal Definition'!J756)</f>
        <v/>
      </c>
      <c r="B756" s="9">
        <f t="array" ref="B756">COUNT(FIND("input",$D756:$CD756))</f>
        <v>0</v>
      </c>
      <c r="C756" s="9">
        <f t="array" ref="C756">COUNT(FIND("output",$D756:$CD756))</f>
        <v>0</v>
      </c>
    </row>
    <row r="757" spans="1:3" x14ac:dyDescent="0.25">
      <c r="A757" s="9" t="str">
        <f>IF(ISBLANK('Signal Definition'!J757),"",'Signal Definition'!J757)</f>
        <v/>
      </c>
      <c r="B757" s="9">
        <f t="array" ref="B757">COUNT(FIND("input",$D757:$CD757))</f>
        <v>0</v>
      </c>
      <c r="C757" s="9">
        <f t="array" ref="C757">COUNT(FIND("output",$D757:$CD757))</f>
        <v>0</v>
      </c>
    </row>
    <row r="758" spans="1:3" x14ac:dyDescent="0.25">
      <c r="A758" s="9" t="str">
        <f>IF(ISBLANK('Signal Definition'!J758),"",'Signal Definition'!J758)</f>
        <v/>
      </c>
      <c r="B758" s="9">
        <f t="array" ref="B758">COUNT(FIND("input",$D758:$CD758))</f>
        <v>0</v>
      </c>
      <c r="C758" s="9">
        <f t="array" ref="C758">COUNT(FIND("output",$D758:$CD758))</f>
        <v>0</v>
      </c>
    </row>
    <row r="759" spans="1:3" x14ac:dyDescent="0.25">
      <c r="A759" s="9" t="str">
        <f>IF(ISBLANK('Signal Definition'!J759),"",'Signal Definition'!J759)</f>
        <v/>
      </c>
      <c r="B759" s="9">
        <f t="array" ref="B759">COUNT(FIND("input",$D759:$CD759))</f>
        <v>0</v>
      </c>
      <c r="C759" s="9">
        <f t="array" ref="C759">COUNT(FIND("output",$D759:$CD759))</f>
        <v>0</v>
      </c>
    </row>
    <row r="760" spans="1:3" x14ac:dyDescent="0.25">
      <c r="A760" s="9" t="str">
        <f>IF(ISBLANK('Signal Definition'!J760),"",'Signal Definition'!J760)</f>
        <v/>
      </c>
      <c r="B760" s="9">
        <f t="array" ref="B760">COUNT(FIND("input",$D760:$CD760))</f>
        <v>0</v>
      </c>
      <c r="C760" s="9">
        <f t="array" ref="C760">COUNT(FIND("output",$D760:$CD760))</f>
        <v>0</v>
      </c>
    </row>
    <row r="761" spans="1:3" x14ac:dyDescent="0.25">
      <c r="A761" s="9" t="str">
        <f>IF(ISBLANK('Signal Definition'!J761),"",'Signal Definition'!J761)</f>
        <v/>
      </c>
      <c r="B761" s="9">
        <f t="array" ref="B761">COUNT(FIND("input",$D761:$CD761))</f>
        <v>0</v>
      </c>
      <c r="C761" s="9">
        <f t="array" ref="C761">COUNT(FIND("output",$D761:$CD761))</f>
        <v>0</v>
      </c>
    </row>
    <row r="762" spans="1:3" x14ac:dyDescent="0.25">
      <c r="A762" s="9" t="str">
        <f>IF(ISBLANK('Signal Definition'!J762),"",'Signal Definition'!J762)</f>
        <v/>
      </c>
      <c r="B762" s="9">
        <f t="array" ref="B762">COUNT(FIND("input",$D762:$CD762))</f>
        <v>0</v>
      </c>
      <c r="C762" s="9">
        <f t="array" ref="C762">COUNT(FIND("output",$D762:$CD762))</f>
        <v>0</v>
      </c>
    </row>
    <row r="763" spans="1:3" x14ac:dyDescent="0.25">
      <c r="A763" s="9" t="str">
        <f>IF(ISBLANK('Signal Definition'!J763),"",'Signal Definition'!J763)</f>
        <v/>
      </c>
      <c r="B763" s="9">
        <f t="array" ref="B763">COUNT(FIND("input",$D763:$CD763))</f>
        <v>0</v>
      </c>
      <c r="C763" s="9">
        <f t="array" ref="C763">COUNT(FIND("output",$D763:$CD763))</f>
        <v>0</v>
      </c>
    </row>
    <row r="764" spans="1:3" x14ac:dyDescent="0.25">
      <c r="A764" s="9" t="str">
        <f>IF(ISBLANK('Signal Definition'!J764),"",'Signal Definition'!J764)</f>
        <v/>
      </c>
      <c r="B764" s="9">
        <f t="array" ref="B764">COUNT(FIND("input",$D764:$CD764))</f>
        <v>0</v>
      </c>
      <c r="C764" s="9">
        <f t="array" ref="C764">COUNT(FIND("output",$D764:$CD764))</f>
        <v>0</v>
      </c>
    </row>
    <row r="765" spans="1:3" x14ac:dyDescent="0.25">
      <c r="A765" s="9" t="str">
        <f>IF(ISBLANK('Signal Definition'!J765),"",'Signal Definition'!J765)</f>
        <v/>
      </c>
      <c r="B765" s="9">
        <f t="array" ref="B765">COUNT(FIND("input",$D765:$CD765))</f>
        <v>0</v>
      </c>
      <c r="C765" s="9">
        <f t="array" ref="C765">COUNT(FIND("output",$D765:$CD765))</f>
        <v>0</v>
      </c>
    </row>
    <row r="766" spans="1:3" x14ac:dyDescent="0.25">
      <c r="A766" s="9" t="str">
        <f>IF(ISBLANK('Signal Definition'!J766),"",'Signal Definition'!J766)</f>
        <v/>
      </c>
      <c r="B766" s="9">
        <f t="array" ref="B766">COUNT(FIND("input",$D766:$CD766))</f>
        <v>0</v>
      </c>
      <c r="C766" s="9">
        <f t="array" ref="C766">COUNT(FIND("output",$D766:$CD766))</f>
        <v>0</v>
      </c>
    </row>
    <row r="767" spans="1:3" x14ac:dyDescent="0.25">
      <c r="A767" s="9" t="str">
        <f>IF(ISBLANK('Signal Definition'!J767),"",'Signal Definition'!J767)</f>
        <v/>
      </c>
      <c r="B767" s="9">
        <f t="array" ref="B767">COUNT(FIND("input",$D767:$CD767))</f>
        <v>0</v>
      </c>
      <c r="C767" s="9">
        <f t="array" ref="C767">COUNT(FIND("output",$D767:$CD767))</f>
        <v>0</v>
      </c>
    </row>
    <row r="768" spans="1:3" x14ac:dyDescent="0.25">
      <c r="A768" s="9" t="str">
        <f>IF(ISBLANK('Signal Definition'!J768),"",'Signal Definition'!J768)</f>
        <v/>
      </c>
      <c r="B768" s="9">
        <f t="array" ref="B768">COUNT(FIND("input",$D768:$CD768))</f>
        <v>0</v>
      </c>
      <c r="C768" s="9">
        <f t="array" ref="C768">COUNT(FIND("output",$D768:$CD768))</f>
        <v>0</v>
      </c>
    </row>
    <row r="769" spans="1:3" x14ac:dyDescent="0.25">
      <c r="A769" s="9" t="str">
        <f>IF(ISBLANK('Signal Definition'!J769),"",'Signal Definition'!J769)</f>
        <v/>
      </c>
      <c r="B769" s="9">
        <f t="array" ref="B769">COUNT(FIND("input",$D769:$CD769))</f>
        <v>0</v>
      </c>
      <c r="C769" s="9">
        <f t="array" ref="C769">COUNT(FIND("output",$D769:$CD769))</f>
        <v>0</v>
      </c>
    </row>
    <row r="770" spans="1:3" x14ac:dyDescent="0.25">
      <c r="A770" s="9" t="str">
        <f>IF(ISBLANK('Signal Definition'!J770),"",'Signal Definition'!J770)</f>
        <v/>
      </c>
      <c r="B770" s="9">
        <f t="array" ref="B770">COUNT(FIND("input",$D770:$CD770))</f>
        <v>0</v>
      </c>
      <c r="C770" s="9">
        <f t="array" ref="C770">COUNT(FIND("output",$D770:$CD770))</f>
        <v>0</v>
      </c>
    </row>
    <row r="771" spans="1:3" x14ac:dyDescent="0.25">
      <c r="A771" s="9" t="str">
        <f>IF(ISBLANK('Signal Definition'!J771),"",'Signal Definition'!J771)</f>
        <v/>
      </c>
      <c r="B771" s="9">
        <f t="array" ref="B771">COUNT(FIND("input",$D771:$CD771))</f>
        <v>0</v>
      </c>
      <c r="C771" s="9">
        <f t="array" ref="C771">COUNT(FIND("output",$D771:$CD771))</f>
        <v>0</v>
      </c>
    </row>
    <row r="772" spans="1:3" x14ac:dyDescent="0.25">
      <c r="A772" s="9" t="str">
        <f>IF(ISBLANK('Signal Definition'!J772),"",'Signal Definition'!J772)</f>
        <v/>
      </c>
      <c r="B772" s="9">
        <f t="array" ref="B772">COUNT(FIND("input",$D772:$CD772))</f>
        <v>0</v>
      </c>
      <c r="C772" s="9">
        <f t="array" ref="C772">COUNT(FIND("output",$D772:$CD772))</f>
        <v>0</v>
      </c>
    </row>
    <row r="773" spans="1:3" x14ac:dyDescent="0.25">
      <c r="A773" s="9" t="str">
        <f>IF(ISBLANK('Signal Definition'!J773),"",'Signal Definition'!J773)</f>
        <v/>
      </c>
      <c r="B773" s="9">
        <f t="array" ref="B773">COUNT(FIND("input",$D773:$CD773))</f>
        <v>0</v>
      </c>
      <c r="C773" s="9">
        <f t="array" ref="C773">COUNT(FIND("output",$D773:$CD773))</f>
        <v>0</v>
      </c>
    </row>
    <row r="774" spans="1:3" x14ac:dyDescent="0.25">
      <c r="A774" s="9" t="str">
        <f>IF(ISBLANK('Signal Definition'!J774),"",'Signal Definition'!J774)</f>
        <v/>
      </c>
      <c r="B774" s="9">
        <f t="array" ref="B774">COUNT(FIND("input",$D774:$CD774))</f>
        <v>0</v>
      </c>
      <c r="C774" s="9">
        <f t="array" ref="C774">COUNT(FIND("output",$D774:$CD774))</f>
        <v>0</v>
      </c>
    </row>
    <row r="775" spans="1:3" x14ac:dyDescent="0.25">
      <c r="A775" s="9" t="str">
        <f>IF(ISBLANK('Signal Definition'!J775),"",'Signal Definition'!J775)</f>
        <v/>
      </c>
      <c r="B775" s="9">
        <f t="array" ref="B775">COUNT(FIND("input",$D775:$CD775))</f>
        <v>0</v>
      </c>
      <c r="C775" s="9">
        <f t="array" ref="C775">COUNT(FIND("output",$D775:$CD775))</f>
        <v>0</v>
      </c>
    </row>
    <row r="776" spans="1:3" x14ac:dyDescent="0.25">
      <c r="A776" s="9" t="str">
        <f>IF(ISBLANK('Signal Definition'!J776),"",'Signal Definition'!J776)</f>
        <v/>
      </c>
      <c r="B776" s="9">
        <f t="array" ref="B776">COUNT(FIND("input",$D776:$CD776))</f>
        <v>0</v>
      </c>
      <c r="C776" s="9">
        <f t="array" ref="C776">COUNT(FIND("output",$D776:$CD776))</f>
        <v>0</v>
      </c>
    </row>
    <row r="777" spans="1:3" x14ac:dyDescent="0.25">
      <c r="A777" s="9" t="str">
        <f>IF(ISBLANK('Signal Definition'!J777),"",'Signal Definition'!J777)</f>
        <v/>
      </c>
      <c r="B777" s="9">
        <f t="array" ref="B777">COUNT(FIND("input",$D777:$CD777))</f>
        <v>0</v>
      </c>
      <c r="C777" s="9">
        <f t="array" ref="C777">COUNT(FIND("output",$D777:$CD777))</f>
        <v>0</v>
      </c>
    </row>
    <row r="778" spans="1:3" x14ac:dyDescent="0.25">
      <c r="A778" s="9" t="str">
        <f>IF(ISBLANK('Signal Definition'!J778),"",'Signal Definition'!J778)</f>
        <v/>
      </c>
      <c r="B778" s="9">
        <f t="array" ref="B778">COUNT(FIND("input",$D778:$CD778))</f>
        <v>0</v>
      </c>
      <c r="C778" s="9">
        <f t="array" ref="C778">COUNT(FIND("output",$D778:$CD778))</f>
        <v>0</v>
      </c>
    </row>
    <row r="779" spans="1:3" x14ac:dyDescent="0.25">
      <c r="A779" s="9" t="str">
        <f>IF(ISBLANK('Signal Definition'!J779),"",'Signal Definition'!J779)</f>
        <v/>
      </c>
      <c r="B779" s="9">
        <f t="array" ref="B779">COUNT(FIND("input",$D779:$CD779))</f>
        <v>0</v>
      </c>
      <c r="C779" s="9">
        <f t="array" ref="C779">COUNT(FIND("output",$D779:$CD779))</f>
        <v>0</v>
      </c>
    </row>
    <row r="780" spans="1:3" x14ac:dyDescent="0.25">
      <c r="A780" s="9" t="str">
        <f>IF(ISBLANK('Signal Definition'!J780),"",'Signal Definition'!J780)</f>
        <v/>
      </c>
      <c r="B780" s="9">
        <f t="array" ref="B780">COUNT(FIND("input",$D780:$CD780))</f>
        <v>0</v>
      </c>
      <c r="C780" s="9">
        <f t="array" ref="C780">COUNT(FIND("output",$D780:$CD780))</f>
        <v>0</v>
      </c>
    </row>
    <row r="781" spans="1:3" x14ac:dyDescent="0.25">
      <c r="A781" s="9" t="str">
        <f>IF(ISBLANK('Signal Definition'!J781),"",'Signal Definition'!J781)</f>
        <v/>
      </c>
      <c r="B781" s="9">
        <f t="array" ref="B781">COUNT(FIND("input",$D781:$CD781))</f>
        <v>0</v>
      </c>
      <c r="C781" s="9">
        <f t="array" ref="C781">COUNT(FIND("output",$D781:$CD781))</f>
        <v>0</v>
      </c>
    </row>
    <row r="782" spans="1:3" x14ac:dyDescent="0.25">
      <c r="A782" s="9" t="str">
        <f>IF(ISBLANK('Signal Definition'!J782),"",'Signal Definition'!J782)</f>
        <v/>
      </c>
      <c r="B782" s="9">
        <f t="array" ref="B782">COUNT(FIND("input",$D782:$CD782))</f>
        <v>0</v>
      </c>
      <c r="C782" s="9">
        <f t="array" ref="C782">COUNT(FIND("output",$D782:$CD782))</f>
        <v>0</v>
      </c>
    </row>
    <row r="783" spans="1:3" x14ac:dyDescent="0.25">
      <c r="A783" s="9" t="str">
        <f>IF(ISBLANK('Signal Definition'!J783),"",'Signal Definition'!J783)</f>
        <v/>
      </c>
      <c r="B783" s="9">
        <f t="array" ref="B783">COUNT(FIND("input",$D783:$CD783))</f>
        <v>0</v>
      </c>
      <c r="C783" s="9">
        <f t="array" ref="C783">COUNT(FIND("output",$D783:$CD783))</f>
        <v>0</v>
      </c>
    </row>
    <row r="784" spans="1:3" x14ac:dyDescent="0.25">
      <c r="A784" s="9" t="str">
        <f>IF(ISBLANK('Signal Definition'!J784),"",'Signal Definition'!J784)</f>
        <v/>
      </c>
      <c r="B784" s="9">
        <f t="array" ref="B784">COUNT(FIND("input",$D784:$CD784))</f>
        <v>0</v>
      </c>
      <c r="C784" s="9">
        <f t="array" ref="C784">COUNT(FIND("output",$D784:$CD784))</f>
        <v>0</v>
      </c>
    </row>
    <row r="785" spans="1:3" x14ac:dyDescent="0.25">
      <c r="A785" s="9" t="str">
        <f>IF(ISBLANK('Signal Definition'!J785),"",'Signal Definition'!J785)</f>
        <v/>
      </c>
      <c r="B785" s="9">
        <f t="array" ref="B785">COUNT(FIND("input",$D785:$CD785))</f>
        <v>0</v>
      </c>
      <c r="C785" s="9">
        <f t="array" ref="C785">COUNT(FIND("output",$D785:$CD785))</f>
        <v>0</v>
      </c>
    </row>
    <row r="786" spans="1:3" x14ac:dyDescent="0.25">
      <c r="A786" s="9" t="str">
        <f>IF(ISBLANK('Signal Definition'!J786),"",'Signal Definition'!J786)</f>
        <v/>
      </c>
      <c r="B786" s="9">
        <f t="array" ref="B786">COUNT(FIND("input",$D786:$CD786))</f>
        <v>0</v>
      </c>
      <c r="C786" s="9">
        <f t="array" ref="C786">COUNT(FIND("output",$D786:$CD786))</f>
        <v>0</v>
      </c>
    </row>
    <row r="787" spans="1:3" x14ac:dyDescent="0.25">
      <c r="A787" s="9" t="str">
        <f>IF(ISBLANK('Signal Definition'!J787),"",'Signal Definition'!J787)</f>
        <v/>
      </c>
      <c r="B787" s="9">
        <f t="array" ref="B787">COUNT(FIND("input",$D787:$CD787))</f>
        <v>0</v>
      </c>
      <c r="C787" s="9">
        <f t="array" ref="C787">COUNT(FIND("output",$D787:$CD787))</f>
        <v>0</v>
      </c>
    </row>
    <row r="788" spans="1:3" x14ac:dyDescent="0.25">
      <c r="A788" s="9" t="str">
        <f>IF(ISBLANK('Signal Definition'!J788),"",'Signal Definition'!J788)</f>
        <v/>
      </c>
      <c r="B788" s="9">
        <f t="array" ref="B788">COUNT(FIND("input",$D788:$CD788))</f>
        <v>0</v>
      </c>
      <c r="C788" s="9">
        <f t="array" ref="C788">COUNT(FIND("output",$D788:$CD788))</f>
        <v>0</v>
      </c>
    </row>
    <row r="789" spans="1:3" x14ac:dyDescent="0.25">
      <c r="A789" s="9" t="str">
        <f>IF(ISBLANK('Signal Definition'!J789),"",'Signal Definition'!J789)</f>
        <v/>
      </c>
      <c r="B789" s="9">
        <f t="array" ref="B789">COUNT(FIND("input",$D789:$CD789))</f>
        <v>0</v>
      </c>
      <c r="C789" s="9">
        <f t="array" ref="C789">COUNT(FIND("output",$D789:$CD789))</f>
        <v>0</v>
      </c>
    </row>
    <row r="790" spans="1:3" x14ac:dyDescent="0.25">
      <c r="A790" s="9" t="str">
        <f>IF(ISBLANK('Signal Definition'!J790),"",'Signal Definition'!J790)</f>
        <v/>
      </c>
      <c r="B790" s="9">
        <f t="array" ref="B790">COUNT(FIND("input",$D790:$CD790))</f>
        <v>0</v>
      </c>
      <c r="C790" s="9">
        <f t="array" ref="C790">COUNT(FIND("output",$D790:$CD790))</f>
        <v>0</v>
      </c>
    </row>
    <row r="791" spans="1:3" x14ac:dyDescent="0.25">
      <c r="A791" s="9" t="str">
        <f>IF(ISBLANK('Signal Definition'!J791),"",'Signal Definition'!J791)</f>
        <v/>
      </c>
      <c r="B791" s="9">
        <f t="array" ref="B791">COUNT(FIND("input",$D791:$CD791))</f>
        <v>0</v>
      </c>
      <c r="C791" s="9">
        <f t="array" ref="C791">COUNT(FIND("output",$D791:$CD791))</f>
        <v>0</v>
      </c>
    </row>
    <row r="792" spans="1:3" x14ac:dyDescent="0.25">
      <c r="A792" s="9" t="str">
        <f>IF(ISBLANK('Signal Definition'!J792),"",'Signal Definition'!J792)</f>
        <v/>
      </c>
      <c r="B792" s="9">
        <f t="array" ref="B792">COUNT(FIND("input",$D792:$CD792))</f>
        <v>0</v>
      </c>
      <c r="C792" s="9">
        <f t="array" ref="C792">COUNT(FIND("output",$D792:$CD792))</f>
        <v>0</v>
      </c>
    </row>
    <row r="793" spans="1:3" x14ac:dyDescent="0.25">
      <c r="A793" s="9" t="str">
        <f>IF(ISBLANK('Signal Definition'!J793),"",'Signal Definition'!J793)</f>
        <v/>
      </c>
      <c r="B793" s="9">
        <f t="array" ref="B793">COUNT(FIND("input",$D793:$CD793))</f>
        <v>0</v>
      </c>
      <c r="C793" s="9">
        <f t="array" ref="C793">COUNT(FIND("output",$D793:$CD793))</f>
        <v>0</v>
      </c>
    </row>
    <row r="794" spans="1:3" x14ac:dyDescent="0.25">
      <c r="A794" s="9" t="str">
        <f>IF(ISBLANK('Signal Definition'!J794),"",'Signal Definition'!J794)</f>
        <v/>
      </c>
      <c r="B794" s="9">
        <f t="array" ref="B794">COUNT(FIND("input",$D794:$CD794))</f>
        <v>0</v>
      </c>
      <c r="C794" s="9">
        <f t="array" ref="C794">COUNT(FIND("output",$D794:$CD794))</f>
        <v>0</v>
      </c>
    </row>
    <row r="795" spans="1:3" x14ac:dyDescent="0.25">
      <c r="A795" s="9" t="str">
        <f>IF(ISBLANK('Signal Definition'!J795),"",'Signal Definition'!J795)</f>
        <v/>
      </c>
      <c r="B795" s="9">
        <f t="array" ref="B795">COUNT(FIND("input",$D795:$CD795))</f>
        <v>0</v>
      </c>
      <c r="C795" s="9">
        <f t="array" ref="C795">COUNT(FIND("output",$D795:$CD795))</f>
        <v>0</v>
      </c>
    </row>
    <row r="796" spans="1:3" x14ac:dyDescent="0.25">
      <c r="A796" s="9" t="str">
        <f>IF(ISBLANK('Signal Definition'!J796),"",'Signal Definition'!J796)</f>
        <v/>
      </c>
      <c r="B796" s="9">
        <f t="array" ref="B796">COUNT(FIND("input",$D796:$CD796))</f>
        <v>0</v>
      </c>
      <c r="C796" s="9">
        <f t="array" ref="C796">COUNT(FIND("output",$D796:$CD796))</f>
        <v>0</v>
      </c>
    </row>
    <row r="797" spans="1:3" x14ac:dyDescent="0.25">
      <c r="A797" s="9" t="str">
        <f>IF(ISBLANK('Signal Definition'!J797),"",'Signal Definition'!J797)</f>
        <v/>
      </c>
      <c r="B797" s="9">
        <f t="array" ref="B797">COUNT(FIND("input",$D797:$CD797))</f>
        <v>0</v>
      </c>
      <c r="C797" s="9">
        <f t="array" ref="C797">COUNT(FIND("output",$D797:$CD797))</f>
        <v>0</v>
      </c>
    </row>
    <row r="798" spans="1:3" x14ac:dyDescent="0.25">
      <c r="A798" s="9" t="str">
        <f>IF(ISBLANK('Signal Definition'!J798),"",'Signal Definition'!J798)</f>
        <v/>
      </c>
      <c r="B798" s="9">
        <f t="array" ref="B798">COUNT(FIND("input",$D798:$CD798))</f>
        <v>0</v>
      </c>
      <c r="C798" s="9">
        <f t="array" ref="C798">COUNT(FIND("output",$D798:$CD798))</f>
        <v>0</v>
      </c>
    </row>
    <row r="799" spans="1:3" x14ac:dyDescent="0.25">
      <c r="A799" s="9" t="str">
        <f>IF(ISBLANK('Signal Definition'!J799),"",'Signal Definition'!J799)</f>
        <v/>
      </c>
      <c r="B799" s="9">
        <f t="array" ref="B799">COUNT(FIND("input",$D799:$CD799))</f>
        <v>0</v>
      </c>
      <c r="C799" s="9">
        <f t="array" ref="C799">COUNT(FIND("output",$D799:$CD799))</f>
        <v>0</v>
      </c>
    </row>
    <row r="800" spans="1:3" x14ac:dyDescent="0.25">
      <c r="A800" s="9" t="str">
        <f>IF(ISBLANK('Signal Definition'!J800),"",'Signal Definition'!J800)</f>
        <v/>
      </c>
      <c r="B800" s="9">
        <f t="array" ref="B800">COUNT(FIND("input",$D800:$CD800))</f>
        <v>0</v>
      </c>
      <c r="C800" s="9">
        <f t="array" ref="C800">COUNT(FIND("output",$D800:$CD800))</f>
        <v>0</v>
      </c>
    </row>
    <row r="801" spans="1:3" x14ac:dyDescent="0.25">
      <c r="A801" s="9" t="str">
        <f>IF(ISBLANK('Signal Definition'!J801),"",'Signal Definition'!J801)</f>
        <v/>
      </c>
      <c r="B801" s="9">
        <f t="array" ref="B801">COUNT(FIND("input",$D801:$CD801))</f>
        <v>0</v>
      </c>
      <c r="C801" s="9">
        <f t="array" ref="C801">COUNT(FIND("output",$D801:$CD801))</f>
        <v>0</v>
      </c>
    </row>
    <row r="802" spans="1:3" x14ac:dyDescent="0.25">
      <c r="A802" s="9" t="str">
        <f>IF(ISBLANK('Signal Definition'!J802),"",'Signal Definition'!J802)</f>
        <v/>
      </c>
      <c r="B802" s="9">
        <f t="array" ref="B802">COUNT(FIND("input",$D802:$CD802))</f>
        <v>0</v>
      </c>
      <c r="C802" s="9">
        <f t="array" ref="C802">COUNT(FIND("output",$D802:$CD802))</f>
        <v>0</v>
      </c>
    </row>
    <row r="803" spans="1:3" x14ac:dyDescent="0.25">
      <c r="A803" s="9" t="str">
        <f>IF(ISBLANK('Signal Definition'!J803),"",'Signal Definition'!J803)</f>
        <v/>
      </c>
      <c r="B803" s="9">
        <f t="array" ref="B803">COUNT(FIND("input",$D803:$CD803))</f>
        <v>0</v>
      </c>
      <c r="C803" s="9">
        <f t="array" ref="C803">COUNT(FIND("output",$D803:$CD803))</f>
        <v>0</v>
      </c>
    </row>
    <row r="804" spans="1:3" x14ac:dyDescent="0.25">
      <c r="A804" s="9" t="str">
        <f>IF(ISBLANK('Signal Definition'!J804),"",'Signal Definition'!J804)</f>
        <v/>
      </c>
      <c r="B804" s="9">
        <f t="array" ref="B804">COUNT(FIND("input",$D804:$CD804))</f>
        <v>0</v>
      </c>
      <c r="C804" s="9">
        <f t="array" ref="C804">COUNT(FIND("output",$D804:$CD804))</f>
        <v>0</v>
      </c>
    </row>
    <row r="805" spans="1:3" x14ac:dyDescent="0.25">
      <c r="A805" s="9" t="str">
        <f>IF(ISBLANK('Signal Definition'!J805),"",'Signal Definition'!J805)</f>
        <v/>
      </c>
      <c r="B805" s="9">
        <f t="array" ref="B805">COUNT(FIND("input",$D805:$CD805))</f>
        <v>0</v>
      </c>
      <c r="C805" s="9">
        <f t="array" ref="C805">COUNT(FIND("output",$D805:$CD805))</f>
        <v>0</v>
      </c>
    </row>
    <row r="806" spans="1:3" x14ac:dyDescent="0.25">
      <c r="A806" s="9" t="str">
        <f>IF(ISBLANK('Signal Definition'!J806),"",'Signal Definition'!J806)</f>
        <v/>
      </c>
      <c r="B806" s="9">
        <f t="array" ref="B806">COUNT(FIND("input",$D806:$CD806))</f>
        <v>0</v>
      </c>
      <c r="C806" s="9">
        <f t="array" ref="C806">COUNT(FIND("output",$D806:$CD806))</f>
        <v>0</v>
      </c>
    </row>
    <row r="807" spans="1:3" x14ac:dyDescent="0.25">
      <c r="A807" s="9" t="str">
        <f>IF(ISBLANK('Signal Definition'!J807),"",'Signal Definition'!J807)</f>
        <v/>
      </c>
      <c r="B807" s="9">
        <f t="array" ref="B807">COUNT(FIND("input",$D807:$CD807))</f>
        <v>0</v>
      </c>
      <c r="C807" s="9">
        <f t="array" ref="C807">COUNT(FIND("output",$D807:$CD807))</f>
        <v>0</v>
      </c>
    </row>
    <row r="808" spans="1:3" x14ac:dyDescent="0.25">
      <c r="A808" s="9" t="str">
        <f>IF(ISBLANK('Signal Definition'!J808),"",'Signal Definition'!J808)</f>
        <v/>
      </c>
      <c r="B808" s="9">
        <f t="array" ref="B808">COUNT(FIND("input",$D808:$CD808))</f>
        <v>0</v>
      </c>
      <c r="C808" s="9">
        <f t="array" ref="C808">COUNT(FIND("output",$D808:$CD808))</f>
        <v>0</v>
      </c>
    </row>
    <row r="809" spans="1:3" x14ac:dyDescent="0.25">
      <c r="A809" s="9" t="str">
        <f>IF(ISBLANK('Signal Definition'!J809),"",'Signal Definition'!J809)</f>
        <v/>
      </c>
      <c r="B809" s="9">
        <f t="array" ref="B809">COUNT(FIND("input",$D809:$CD809))</f>
        <v>0</v>
      </c>
      <c r="C809" s="9">
        <f t="array" ref="C809">COUNT(FIND("output",$D809:$CD809))</f>
        <v>0</v>
      </c>
    </row>
    <row r="810" spans="1:3" x14ac:dyDescent="0.25">
      <c r="A810" s="9" t="str">
        <f>IF(ISBLANK('Signal Definition'!J810),"",'Signal Definition'!J810)</f>
        <v/>
      </c>
      <c r="B810" s="9">
        <f t="array" ref="B810">COUNT(FIND("input",$D810:$CD810))</f>
        <v>0</v>
      </c>
      <c r="C810" s="9">
        <f t="array" ref="C810">COUNT(FIND("output",$D810:$CD810))</f>
        <v>0</v>
      </c>
    </row>
    <row r="811" spans="1:3" x14ac:dyDescent="0.25">
      <c r="A811" s="9" t="str">
        <f>IF(ISBLANK('Signal Definition'!J811),"",'Signal Definition'!J811)</f>
        <v/>
      </c>
      <c r="B811" s="9">
        <f t="array" ref="B811">COUNT(FIND("input",$D811:$CD811))</f>
        <v>0</v>
      </c>
      <c r="C811" s="9">
        <f t="array" ref="C811">COUNT(FIND("output",$D811:$CD811))</f>
        <v>0</v>
      </c>
    </row>
    <row r="812" spans="1:3" x14ac:dyDescent="0.25">
      <c r="A812" s="9" t="str">
        <f>IF(ISBLANK('Signal Definition'!J812),"",'Signal Definition'!J812)</f>
        <v/>
      </c>
      <c r="B812" s="9">
        <f t="array" ref="B812">COUNT(FIND("input",$D812:$CD812))</f>
        <v>0</v>
      </c>
      <c r="C812" s="9">
        <f t="array" ref="C812">COUNT(FIND("output",$D812:$CD812))</f>
        <v>0</v>
      </c>
    </row>
    <row r="813" spans="1:3" x14ac:dyDescent="0.25">
      <c r="A813" s="9" t="str">
        <f>IF(ISBLANK('Signal Definition'!J813),"",'Signal Definition'!J813)</f>
        <v/>
      </c>
      <c r="B813" s="9">
        <f t="array" ref="B813">COUNT(FIND("input",$D813:$CD813))</f>
        <v>0</v>
      </c>
      <c r="C813" s="9">
        <f t="array" ref="C813">COUNT(FIND("output",$D813:$CD813))</f>
        <v>0</v>
      </c>
    </row>
    <row r="814" spans="1:3" x14ac:dyDescent="0.25">
      <c r="A814" s="9" t="str">
        <f>IF(ISBLANK('Signal Definition'!J814),"",'Signal Definition'!J814)</f>
        <v/>
      </c>
      <c r="B814" s="9">
        <f t="array" ref="B814">COUNT(FIND("input",$D814:$CD814))</f>
        <v>0</v>
      </c>
      <c r="C814" s="9">
        <f t="array" ref="C814">COUNT(FIND("output",$D814:$CD814))</f>
        <v>0</v>
      </c>
    </row>
    <row r="815" spans="1:3" x14ac:dyDescent="0.25">
      <c r="A815" s="9" t="str">
        <f>IF(ISBLANK('Signal Definition'!J815),"",'Signal Definition'!J815)</f>
        <v/>
      </c>
      <c r="B815" s="9">
        <f t="array" ref="B815">COUNT(FIND("input",$D815:$CD815))</f>
        <v>0</v>
      </c>
      <c r="C815" s="9">
        <f t="array" ref="C815">COUNT(FIND("output",$D815:$CD815))</f>
        <v>0</v>
      </c>
    </row>
    <row r="816" spans="1:3" x14ac:dyDescent="0.25">
      <c r="A816" s="9" t="str">
        <f>IF(ISBLANK('Signal Definition'!J816),"",'Signal Definition'!J816)</f>
        <v/>
      </c>
      <c r="B816" s="9">
        <f t="array" ref="B816">COUNT(FIND("input",$D816:$CD816))</f>
        <v>0</v>
      </c>
      <c r="C816" s="9">
        <f t="array" ref="C816">COUNT(FIND("output",$D816:$CD816))</f>
        <v>0</v>
      </c>
    </row>
    <row r="817" spans="1:3" x14ac:dyDescent="0.25">
      <c r="A817" s="9" t="str">
        <f>IF(ISBLANK('Signal Definition'!J817),"",'Signal Definition'!J817)</f>
        <v/>
      </c>
      <c r="B817" s="9">
        <f t="array" ref="B817">COUNT(FIND("input",$D817:$CD817))</f>
        <v>0</v>
      </c>
      <c r="C817" s="9">
        <f t="array" ref="C817">COUNT(FIND("output",$D817:$CD817))</f>
        <v>0</v>
      </c>
    </row>
    <row r="818" spans="1:3" x14ac:dyDescent="0.25">
      <c r="A818" s="9" t="str">
        <f>IF(ISBLANK('Signal Definition'!J818),"",'Signal Definition'!J818)</f>
        <v/>
      </c>
      <c r="B818" s="9">
        <f t="array" ref="B818">COUNT(FIND("input",$D818:$CD818))</f>
        <v>0</v>
      </c>
      <c r="C818" s="9">
        <f t="array" ref="C818">COUNT(FIND("output",$D818:$CD818))</f>
        <v>0</v>
      </c>
    </row>
    <row r="819" spans="1:3" x14ac:dyDescent="0.25">
      <c r="A819" s="9" t="str">
        <f>IF(ISBLANK('Signal Definition'!J819),"",'Signal Definition'!J819)</f>
        <v/>
      </c>
      <c r="B819" s="9">
        <f t="array" ref="B819">COUNT(FIND("input",$D819:$CD819))</f>
        <v>0</v>
      </c>
      <c r="C819" s="9">
        <f t="array" ref="C819">COUNT(FIND("output",$D819:$CD819))</f>
        <v>0</v>
      </c>
    </row>
    <row r="820" spans="1:3" x14ac:dyDescent="0.25">
      <c r="A820" s="9" t="str">
        <f>IF(ISBLANK('Signal Definition'!J820),"",'Signal Definition'!J820)</f>
        <v/>
      </c>
      <c r="B820" s="9">
        <f t="array" ref="B820">COUNT(FIND("input",$D820:$CD820))</f>
        <v>0</v>
      </c>
      <c r="C820" s="9">
        <f t="array" ref="C820">COUNT(FIND("output",$D820:$CD820))</f>
        <v>0</v>
      </c>
    </row>
    <row r="821" spans="1:3" x14ac:dyDescent="0.25">
      <c r="A821" s="9" t="str">
        <f>IF(ISBLANK('Signal Definition'!J821),"",'Signal Definition'!J821)</f>
        <v/>
      </c>
      <c r="B821" s="9">
        <f t="array" ref="B821">COUNT(FIND("input",$D821:$CD821))</f>
        <v>0</v>
      </c>
      <c r="C821" s="9">
        <f t="array" ref="C821">COUNT(FIND("output",$D821:$CD821))</f>
        <v>0</v>
      </c>
    </row>
    <row r="822" spans="1:3" x14ac:dyDescent="0.25">
      <c r="A822" s="9" t="str">
        <f>IF(ISBLANK('Signal Definition'!J822),"",'Signal Definition'!J822)</f>
        <v/>
      </c>
      <c r="B822" s="9">
        <f t="array" ref="B822">COUNT(FIND("input",$D822:$CD822))</f>
        <v>0</v>
      </c>
      <c r="C822" s="9">
        <f t="array" ref="C822">COUNT(FIND("output",$D822:$CD822))</f>
        <v>0</v>
      </c>
    </row>
    <row r="823" spans="1:3" x14ac:dyDescent="0.25">
      <c r="A823" s="9" t="str">
        <f>IF(ISBLANK('Signal Definition'!J823),"",'Signal Definition'!J823)</f>
        <v/>
      </c>
      <c r="B823" s="9">
        <f t="array" ref="B823">COUNT(FIND("input",$D823:$CD823))</f>
        <v>0</v>
      </c>
      <c r="C823" s="9">
        <f t="array" ref="C823">COUNT(FIND("output",$D823:$CD823))</f>
        <v>0</v>
      </c>
    </row>
    <row r="824" spans="1:3" x14ac:dyDescent="0.25">
      <c r="A824" s="9" t="str">
        <f>IF(ISBLANK('Signal Definition'!J824),"",'Signal Definition'!J824)</f>
        <v/>
      </c>
      <c r="B824" s="9">
        <f t="array" ref="B824">COUNT(FIND("input",$D824:$CD824))</f>
        <v>0</v>
      </c>
      <c r="C824" s="9">
        <f t="array" ref="C824">COUNT(FIND("output",$D824:$CD824))</f>
        <v>0</v>
      </c>
    </row>
    <row r="825" spans="1:3" x14ac:dyDescent="0.25">
      <c r="A825" s="9" t="str">
        <f>IF(ISBLANK('Signal Definition'!J825),"",'Signal Definition'!J825)</f>
        <v/>
      </c>
      <c r="B825" s="9">
        <f t="array" ref="B825">COUNT(FIND("input",$D825:$CD825))</f>
        <v>0</v>
      </c>
      <c r="C825" s="9">
        <f t="array" ref="C825">COUNT(FIND("output",$D825:$CD825))</f>
        <v>0</v>
      </c>
    </row>
    <row r="826" spans="1:3" x14ac:dyDescent="0.25">
      <c r="A826" s="9" t="str">
        <f>IF(ISBLANK('Signal Definition'!J826),"",'Signal Definition'!J826)</f>
        <v/>
      </c>
      <c r="B826" s="9">
        <f t="array" ref="B826">COUNT(FIND("input",$D826:$CD826))</f>
        <v>0</v>
      </c>
      <c r="C826" s="9">
        <f t="array" ref="C826">COUNT(FIND("output",$D826:$CD826))</f>
        <v>0</v>
      </c>
    </row>
    <row r="827" spans="1:3" x14ac:dyDescent="0.25">
      <c r="A827" s="9" t="str">
        <f>IF(ISBLANK('Signal Definition'!J827),"",'Signal Definition'!J827)</f>
        <v/>
      </c>
      <c r="B827" s="9">
        <f t="array" ref="B827">COUNT(FIND("input",$D827:$CD827))</f>
        <v>0</v>
      </c>
      <c r="C827" s="9">
        <f t="array" ref="C827">COUNT(FIND("output",$D827:$CD827))</f>
        <v>0</v>
      </c>
    </row>
    <row r="828" spans="1:3" x14ac:dyDescent="0.25">
      <c r="A828" s="9" t="str">
        <f>IF(ISBLANK('Signal Definition'!J828),"",'Signal Definition'!J828)</f>
        <v/>
      </c>
      <c r="B828" s="9">
        <f t="array" ref="B828">COUNT(FIND("input",$D828:$CD828))</f>
        <v>0</v>
      </c>
      <c r="C828" s="9">
        <f t="array" ref="C828">COUNT(FIND("output",$D828:$CD828))</f>
        <v>0</v>
      </c>
    </row>
    <row r="829" spans="1:3" x14ac:dyDescent="0.25">
      <c r="A829" s="9" t="str">
        <f>IF(ISBLANK('Signal Definition'!J829),"",'Signal Definition'!J829)</f>
        <v/>
      </c>
      <c r="B829" s="9">
        <f t="array" ref="B829">COUNT(FIND("input",$D829:$CD829))</f>
        <v>0</v>
      </c>
      <c r="C829" s="9">
        <f t="array" ref="C829">COUNT(FIND("output",$D829:$CD829))</f>
        <v>0</v>
      </c>
    </row>
    <row r="830" spans="1:3" x14ac:dyDescent="0.25">
      <c r="A830" s="9" t="str">
        <f>IF(ISBLANK('Signal Definition'!J830),"",'Signal Definition'!J830)</f>
        <v/>
      </c>
      <c r="B830" s="9">
        <f t="array" ref="B830">COUNT(FIND("input",$D830:$CD830))</f>
        <v>0</v>
      </c>
      <c r="C830" s="9">
        <f t="array" ref="C830">COUNT(FIND("output",$D830:$CD830))</f>
        <v>0</v>
      </c>
    </row>
    <row r="831" spans="1:3" x14ac:dyDescent="0.25">
      <c r="A831" s="9" t="str">
        <f>IF(ISBLANK('Signal Definition'!J831),"",'Signal Definition'!J831)</f>
        <v/>
      </c>
      <c r="B831" s="9">
        <f t="array" ref="B831">COUNT(FIND("input",$D831:$CD831))</f>
        <v>0</v>
      </c>
      <c r="C831" s="9">
        <f t="array" ref="C831">COUNT(FIND("output",$D831:$CD831))</f>
        <v>0</v>
      </c>
    </row>
    <row r="832" spans="1:3" x14ac:dyDescent="0.25">
      <c r="A832" s="9" t="str">
        <f>IF(ISBLANK('Signal Definition'!J832),"",'Signal Definition'!J832)</f>
        <v/>
      </c>
      <c r="B832" s="9">
        <f t="array" ref="B832">COUNT(FIND("input",$D832:$CD832))</f>
        <v>0</v>
      </c>
      <c r="C832" s="9">
        <f t="array" ref="C832">COUNT(FIND("output",$D832:$CD832))</f>
        <v>0</v>
      </c>
    </row>
    <row r="833" spans="1:3" x14ac:dyDescent="0.25">
      <c r="A833" s="9" t="str">
        <f>IF(ISBLANK('Signal Definition'!J833),"",'Signal Definition'!J833)</f>
        <v/>
      </c>
      <c r="B833" s="9">
        <f t="array" ref="B833">COUNT(FIND("input",$D833:$CD833))</f>
        <v>0</v>
      </c>
      <c r="C833" s="9">
        <f t="array" ref="C833">COUNT(FIND("output",$D833:$CD833))</f>
        <v>0</v>
      </c>
    </row>
    <row r="834" spans="1:3" x14ac:dyDescent="0.25">
      <c r="A834" s="9" t="str">
        <f>IF(ISBLANK('Signal Definition'!J834),"",'Signal Definition'!J834)</f>
        <v/>
      </c>
      <c r="B834" s="9">
        <f t="array" ref="B834">COUNT(FIND("input",$D834:$CD834))</f>
        <v>0</v>
      </c>
      <c r="C834" s="9">
        <f t="array" ref="C834">COUNT(FIND("output",$D834:$CD834))</f>
        <v>0</v>
      </c>
    </row>
    <row r="835" spans="1:3" x14ac:dyDescent="0.25">
      <c r="A835" s="9" t="str">
        <f>IF(ISBLANK('Signal Definition'!J835),"",'Signal Definition'!J835)</f>
        <v/>
      </c>
      <c r="B835" s="9">
        <f t="array" ref="B835">COUNT(FIND("input",$D835:$CD835))</f>
        <v>0</v>
      </c>
      <c r="C835" s="9">
        <f t="array" ref="C835">COUNT(FIND("output",$D835:$CD835))</f>
        <v>0</v>
      </c>
    </row>
    <row r="836" spans="1:3" x14ac:dyDescent="0.25">
      <c r="A836" s="9" t="str">
        <f>IF(ISBLANK('Signal Definition'!J836),"",'Signal Definition'!J836)</f>
        <v/>
      </c>
      <c r="B836" s="9">
        <f t="array" ref="B836">COUNT(FIND("input",$D836:$CD836))</f>
        <v>0</v>
      </c>
      <c r="C836" s="9">
        <f t="array" ref="C836">COUNT(FIND("output",$D836:$CD836))</f>
        <v>0</v>
      </c>
    </row>
    <row r="837" spans="1:3" x14ac:dyDescent="0.25">
      <c r="A837" s="9" t="str">
        <f>IF(ISBLANK('Signal Definition'!J837),"",'Signal Definition'!J837)</f>
        <v/>
      </c>
      <c r="B837" s="9">
        <f t="array" ref="B837">COUNT(FIND("input",$D837:$CD837))</f>
        <v>0</v>
      </c>
      <c r="C837" s="9">
        <f t="array" ref="C837">COUNT(FIND("output",$D837:$CD837))</f>
        <v>0</v>
      </c>
    </row>
    <row r="838" spans="1:3" x14ac:dyDescent="0.25">
      <c r="A838" s="9" t="str">
        <f>IF(ISBLANK('Signal Definition'!J838),"",'Signal Definition'!J838)</f>
        <v/>
      </c>
      <c r="B838" s="9">
        <f t="array" ref="B838">COUNT(FIND("input",$D838:$CD838))</f>
        <v>0</v>
      </c>
      <c r="C838" s="9">
        <f t="array" ref="C838">COUNT(FIND("output",$D838:$CD838))</f>
        <v>0</v>
      </c>
    </row>
    <row r="839" spans="1:3" x14ac:dyDescent="0.25">
      <c r="A839" s="9" t="str">
        <f>IF(ISBLANK('Signal Definition'!J839),"",'Signal Definition'!J839)</f>
        <v/>
      </c>
      <c r="B839" s="9">
        <f t="array" ref="B839">COUNT(FIND("input",$D839:$CD839))</f>
        <v>0</v>
      </c>
      <c r="C839" s="9">
        <f t="array" ref="C839">COUNT(FIND("output",$D839:$CD839))</f>
        <v>0</v>
      </c>
    </row>
    <row r="840" spans="1:3" x14ac:dyDescent="0.25">
      <c r="A840" s="9" t="str">
        <f>IF(ISBLANK('Signal Definition'!J840),"",'Signal Definition'!J840)</f>
        <v/>
      </c>
      <c r="B840" s="9">
        <f t="array" ref="B840">COUNT(FIND("input",$D840:$CD840))</f>
        <v>0</v>
      </c>
      <c r="C840" s="9">
        <f t="array" ref="C840">COUNT(FIND("output",$D840:$CD840))</f>
        <v>0</v>
      </c>
    </row>
    <row r="841" spans="1:3" x14ac:dyDescent="0.25">
      <c r="A841" s="9" t="str">
        <f>IF(ISBLANK('Signal Definition'!J841),"",'Signal Definition'!J841)</f>
        <v/>
      </c>
      <c r="B841" s="9">
        <f t="array" ref="B841">COUNT(FIND("input",$D841:$CD841))</f>
        <v>0</v>
      </c>
      <c r="C841" s="9">
        <f t="array" ref="C841">COUNT(FIND("output",$D841:$CD841))</f>
        <v>0</v>
      </c>
    </row>
    <row r="842" spans="1:3" x14ac:dyDescent="0.25">
      <c r="A842" s="9" t="str">
        <f>IF(ISBLANK('Signal Definition'!J842),"",'Signal Definition'!J842)</f>
        <v/>
      </c>
      <c r="B842" s="9">
        <f t="array" ref="B842">COUNT(FIND("input",$D842:$CD842))</f>
        <v>0</v>
      </c>
      <c r="C842" s="9">
        <f t="array" ref="C842">COUNT(FIND("output",$D842:$CD842))</f>
        <v>0</v>
      </c>
    </row>
    <row r="843" spans="1:3" x14ac:dyDescent="0.25">
      <c r="A843" s="9" t="str">
        <f>IF(ISBLANK('Signal Definition'!J843),"",'Signal Definition'!J843)</f>
        <v/>
      </c>
      <c r="B843" s="9">
        <f t="array" ref="B843">COUNT(FIND("input",$D843:$CD843))</f>
        <v>0</v>
      </c>
      <c r="C843" s="9">
        <f t="array" ref="C843">COUNT(FIND("output",$D843:$CD843))</f>
        <v>0</v>
      </c>
    </row>
    <row r="844" spans="1:3" x14ac:dyDescent="0.25">
      <c r="A844" s="9" t="str">
        <f>IF(ISBLANK('Signal Definition'!J844),"",'Signal Definition'!J844)</f>
        <v/>
      </c>
      <c r="B844" s="9">
        <f t="array" ref="B844">COUNT(FIND("input",$D844:$CD844))</f>
        <v>0</v>
      </c>
      <c r="C844" s="9">
        <f t="array" ref="C844">COUNT(FIND("output",$D844:$CD844))</f>
        <v>0</v>
      </c>
    </row>
    <row r="845" spans="1:3" x14ac:dyDescent="0.25">
      <c r="A845" s="9" t="str">
        <f>IF(ISBLANK('Signal Definition'!J845),"",'Signal Definition'!J845)</f>
        <v/>
      </c>
      <c r="B845" s="9">
        <f t="array" ref="B845">COUNT(FIND("input",$D845:$CD845))</f>
        <v>0</v>
      </c>
      <c r="C845" s="9">
        <f t="array" ref="C845">COUNT(FIND("output",$D845:$CD845))</f>
        <v>0</v>
      </c>
    </row>
    <row r="846" spans="1:3" x14ac:dyDescent="0.25">
      <c r="A846" s="9" t="str">
        <f>IF(ISBLANK('Signal Definition'!J846),"",'Signal Definition'!J846)</f>
        <v/>
      </c>
      <c r="B846" s="9">
        <f t="array" ref="B846">COUNT(FIND("input",$D846:$CD846))</f>
        <v>0</v>
      </c>
      <c r="C846" s="9">
        <f t="array" ref="C846">COUNT(FIND("output",$D846:$CD846))</f>
        <v>0</v>
      </c>
    </row>
    <row r="847" spans="1:3" x14ac:dyDescent="0.25">
      <c r="A847" s="9" t="str">
        <f>IF(ISBLANK('Signal Definition'!J847),"",'Signal Definition'!J847)</f>
        <v/>
      </c>
      <c r="B847" s="9">
        <f t="array" ref="B847">COUNT(FIND("input",$D847:$CD847))</f>
        <v>0</v>
      </c>
      <c r="C847" s="9">
        <f t="array" ref="C847">COUNT(FIND("output",$D847:$CD847))</f>
        <v>0</v>
      </c>
    </row>
    <row r="848" spans="1:3" x14ac:dyDescent="0.25">
      <c r="A848" s="9" t="str">
        <f>IF(ISBLANK('Signal Definition'!J848),"",'Signal Definition'!J848)</f>
        <v/>
      </c>
      <c r="B848" s="9">
        <f t="array" ref="B848">COUNT(FIND("input",$D848:$CD848))</f>
        <v>0</v>
      </c>
      <c r="C848" s="9">
        <f t="array" ref="C848">COUNT(FIND("output",$D848:$CD848))</f>
        <v>0</v>
      </c>
    </row>
    <row r="849" spans="1:3" x14ac:dyDescent="0.25">
      <c r="A849" s="9" t="str">
        <f>IF(ISBLANK('Signal Definition'!J849),"",'Signal Definition'!J849)</f>
        <v/>
      </c>
      <c r="B849" s="9">
        <f t="array" ref="B849">COUNT(FIND("input",$D849:$CD849))</f>
        <v>0</v>
      </c>
      <c r="C849" s="9">
        <f t="array" ref="C849">COUNT(FIND("output",$D849:$CD849))</f>
        <v>0</v>
      </c>
    </row>
    <row r="850" spans="1:3" x14ac:dyDescent="0.25">
      <c r="A850" s="9" t="str">
        <f>IF(ISBLANK('Signal Definition'!J850),"",'Signal Definition'!J850)</f>
        <v/>
      </c>
      <c r="B850" s="9">
        <f t="array" ref="B850">COUNT(FIND("input",$D850:$CD850))</f>
        <v>0</v>
      </c>
      <c r="C850" s="9">
        <f t="array" ref="C850">COUNT(FIND("output",$D850:$CD850))</f>
        <v>0</v>
      </c>
    </row>
    <row r="851" spans="1:3" x14ac:dyDescent="0.25">
      <c r="A851" s="9" t="str">
        <f>IF(ISBLANK('Signal Definition'!J851),"",'Signal Definition'!J851)</f>
        <v/>
      </c>
      <c r="B851" s="9">
        <f t="array" ref="B851">COUNT(FIND("input",$D851:$CD851))</f>
        <v>0</v>
      </c>
      <c r="C851" s="9">
        <f t="array" ref="C851">COUNT(FIND("output",$D851:$CD851))</f>
        <v>0</v>
      </c>
    </row>
    <row r="852" spans="1:3" x14ac:dyDescent="0.25">
      <c r="A852" s="9" t="str">
        <f>IF(ISBLANK('Signal Definition'!J852),"",'Signal Definition'!J852)</f>
        <v/>
      </c>
      <c r="B852" s="9">
        <f t="array" ref="B852">COUNT(FIND("input",$D852:$CD852))</f>
        <v>0</v>
      </c>
      <c r="C852" s="9">
        <f t="array" ref="C852">COUNT(FIND("output",$D852:$CD852))</f>
        <v>0</v>
      </c>
    </row>
    <row r="853" spans="1:3" x14ac:dyDescent="0.25">
      <c r="A853" s="9" t="str">
        <f>IF(ISBLANK('Signal Definition'!J853),"",'Signal Definition'!J853)</f>
        <v/>
      </c>
      <c r="B853" s="9">
        <f t="array" ref="B853">COUNT(FIND("input",$D853:$CD853))</f>
        <v>0</v>
      </c>
      <c r="C853" s="9">
        <f t="array" ref="C853">COUNT(FIND("output",$D853:$CD853))</f>
        <v>0</v>
      </c>
    </row>
    <row r="854" spans="1:3" x14ac:dyDescent="0.25">
      <c r="A854" s="9" t="str">
        <f>IF(ISBLANK('Signal Definition'!J854),"",'Signal Definition'!J854)</f>
        <v/>
      </c>
      <c r="B854" s="9">
        <f t="array" ref="B854">COUNT(FIND("input",$D854:$CD854))</f>
        <v>0</v>
      </c>
      <c r="C854" s="9">
        <f t="array" ref="C854">COUNT(FIND("output",$D854:$CD854))</f>
        <v>0</v>
      </c>
    </row>
    <row r="855" spans="1:3" x14ac:dyDescent="0.25">
      <c r="A855" s="9" t="str">
        <f>IF(ISBLANK('Signal Definition'!J855),"",'Signal Definition'!J855)</f>
        <v/>
      </c>
      <c r="B855" s="9">
        <f t="array" ref="B855">COUNT(FIND("input",$D855:$CD855))</f>
        <v>0</v>
      </c>
      <c r="C855" s="9">
        <f t="array" ref="C855">COUNT(FIND("output",$D855:$CD855))</f>
        <v>0</v>
      </c>
    </row>
    <row r="856" spans="1:3" x14ac:dyDescent="0.25">
      <c r="A856" s="9" t="str">
        <f>IF(ISBLANK('Signal Definition'!J856),"",'Signal Definition'!J856)</f>
        <v/>
      </c>
      <c r="B856" s="9">
        <f t="array" ref="B856">COUNT(FIND("input",$D856:$CD856))</f>
        <v>0</v>
      </c>
      <c r="C856" s="9">
        <f t="array" ref="C856">COUNT(FIND("output",$D856:$CD856))</f>
        <v>0</v>
      </c>
    </row>
    <row r="857" spans="1:3" x14ac:dyDescent="0.25">
      <c r="A857" s="9" t="str">
        <f>IF(ISBLANK('Signal Definition'!J857),"",'Signal Definition'!J857)</f>
        <v/>
      </c>
      <c r="B857" s="9">
        <f t="array" ref="B857">COUNT(FIND("input",$D857:$CD857))</f>
        <v>0</v>
      </c>
      <c r="C857" s="9">
        <f t="array" ref="C857">COUNT(FIND("output",$D857:$CD857))</f>
        <v>0</v>
      </c>
    </row>
    <row r="858" spans="1:3" x14ac:dyDescent="0.25">
      <c r="A858" s="9" t="str">
        <f>IF(ISBLANK('Signal Definition'!J858),"",'Signal Definition'!J858)</f>
        <v/>
      </c>
      <c r="B858" s="9">
        <f t="array" ref="B858">COUNT(FIND("input",$D858:$CD858))</f>
        <v>0</v>
      </c>
      <c r="C858" s="9">
        <f t="array" ref="C858">COUNT(FIND("output",$D858:$CD858))</f>
        <v>0</v>
      </c>
    </row>
    <row r="859" spans="1:3" x14ac:dyDescent="0.25">
      <c r="A859" s="9" t="str">
        <f>IF(ISBLANK('Signal Definition'!J859),"",'Signal Definition'!J859)</f>
        <v/>
      </c>
      <c r="B859" s="9">
        <f t="array" ref="B859">COUNT(FIND("input",$D859:$CD859))</f>
        <v>0</v>
      </c>
      <c r="C859" s="9">
        <f t="array" ref="C859">COUNT(FIND("output",$D859:$CD859))</f>
        <v>0</v>
      </c>
    </row>
    <row r="860" spans="1:3" x14ac:dyDescent="0.25">
      <c r="A860" s="9" t="str">
        <f>IF(ISBLANK('Signal Definition'!J860),"",'Signal Definition'!J860)</f>
        <v/>
      </c>
      <c r="B860" s="9">
        <f t="array" ref="B860">COUNT(FIND("input",$D860:$CD860))</f>
        <v>0</v>
      </c>
      <c r="C860" s="9">
        <f t="array" ref="C860">COUNT(FIND("output",$D860:$CD860))</f>
        <v>0</v>
      </c>
    </row>
    <row r="861" spans="1:3" x14ac:dyDescent="0.25">
      <c r="A861" s="9" t="str">
        <f>IF(ISBLANK('Signal Definition'!J861),"",'Signal Definition'!J861)</f>
        <v/>
      </c>
      <c r="B861" s="9">
        <f t="array" ref="B861">COUNT(FIND("input",$D861:$CD861))</f>
        <v>0</v>
      </c>
      <c r="C861" s="9">
        <f t="array" ref="C861">COUNT(FIND("output",$D861:$CD861))</f>
        <v>0</v>
      </c>
    </row>
    <row r="862" spans="1:3" x14ac:dyDescent="0.25">
      <c r="A862" s="9" t="str">
        <f>IF(ISBLANK('Signal Definition'!J862),"",'Signal Definition'!J862)</f>
        <v/>
      </c>
      <c r="B862" s="9">
        <f t="array" ref="B862">COUNT(FIND("input",$D862:$CD862))</f>
        <v>0</v>
      </c>
      <c r="C862" s="9">
        <f t="array" ref="C862">COUNT(FIND("output",$D862:$CD862))</f>
        <v>0</v>
      </c>
    </row>
    <row r="863" spans="1:3" x14ac:dyDescent="0.25">
      <c r="A863" s="9" t="str">
        <f>IF(ISBLANK('Signal Definition'!J863),"",'Signal Definition'!J863)</f>
        <v/>
      </c>
      <c r="B863" s="9">
        <f t="array" ref="B863">COUNT(FIND("input",$D863:$CD863))</f>
        <v>0</v>
      </c>
      <c r="C863" s="9">
        <f t="array" ref="C863">COUNT(FIND("output",$D863:$CD863))</f>
        <v>0</v>
      </c>
    </row>
    <row r="864" spans="1:3" x14ac:dyDescent="0.25">
      <c r="A864" s="9" t="str">
        <f>IF(ISBLANK('Signal Definition'!J864),"",'Signal Definition'!J864)</f>
        <v/>
      </c>
      <c r="B864" s="9">
        <f t="array" ref="B864">COUNT(FIND("input",$D864:$CD864))</f>
        <v>0</v>
      </c>
      <c r="C864" s="9">
        <f t="array" ref="C864">COUNT(FIND("output",$D864:$CD864))</f>
        <v>0</v>
      </c>
    </row>
    <row r="865" spans="1:3" x14ac:dyDescent="0.25">
      <c r="A865" s="9" t="str">
        <f>IF(ISBLANK('Signal Definition'!J865),"",'Signal Definition'!J865)</f>
        <v/>
      </c>
      <c r="B865" s="9">
        <f t="array" ref="B865">COUNT(FIND("input",$D865:$CD865))</f>
        <v>0</v>
      </c>
      <c r="C865" s="9">
        <f t="array" ref="C865">COUNT(FIND("output",$D865:$CD865))</f>
        <v>0</v>
      </c>
    </row>
    <row r="866" spans="1:3" x14ac:dyDescent="0.25">
      <c r="A866" s="9" t="str">
        <f>IF(ISBLANK('Signal Definition'!J866),"",'Signal Definition'!J866)</f>
        <v/>
      </c>
      <c r="B866" s="9">
        <f t="array" ref="B866">COUNT(FIND("input",$D866:$CD866))</f>
        <v>0</v>
      </c>
      <c r="C866" s="9">
        <f t="array" ref="C866">COUNT(FIND("output",$D866:$CD866))</f>
        <v>0</v>
      </c>
    </row>
    <row r="867" spans="1:3" x14ac:dyDescent="0.25">
      <c r="A867" s="9" t="str">
        <f>IF(ISBLANK('Signal Definition'!J867),"",'Signal Definition'!J867)</f>
        <v/>
      </c>
      <c r="B867" s="9">
        <f t="array" ref="B867">COUNT(FIND("input",$D867:$CD867))</f>
        <v>0</v>
      </c>
      <c r="C867" s="9">
        <f t="array" ref="C867">COUNT(FIND("output",$D867:$CD867))</f>
        <v>0</v>
      </c>
    </row>
    <row r="868" spans="1:3" x14ac:dyDescent="0.25">
      <c r="A868" s="9" t="str">
        <f>IF(ISBLANK('Signal Definition'!J868),"",'Signal Definition'!J868)</f>
        <v/>
      </c>
      <c r="B868" s="9">
        <f t="array" ref="B868">COUNT(FIND("input",$D868:$CD868))</f>
        <v>0</v>
      </c>
      <c r="C868" s="9">
        <f t="array" ref="C868">COUNT(FIND("output",$D868:$CD868))</f>
        <v>0</v>
      </c>
    </row>
    <row r="869" spans="1:3" x14ac:dyDescent="0.25">
      <c r="A869" s="9" t="str">
        <f>IF(ISBLANK('Signal Definition'!J869),"",'Signal Definition'!J869)</f>
        <v/>
      </c>
      <c r="B869" s="9">
        <f t="array" ref="B869">COUNT(FIND("input",$D869:$CD869))</f>
        <v>0</v>
      </c>
      <c r="C869" s="9">
        <f t="array" ref="C869">COUNT(FIND("output",$D869:$CD869))</f>
        <v>0</v>
      </c>
    </row>
    <row r="870" spans="1:3" x14ac:dyDescent="0.25">
      <c r="A870" s="9" t="str">
        <f>IF(ISBLANK('Signal Definition'!J870),"",'Signal Definition'!J870)</f>
        <v/>
      </c>
      <c r="B870" s="9">
        <f t="array" ref="B870">COUNT(FIND("input",$D870:$CD870))</f>
        <v>0</v>
      </c>
      <c r="C870" s="9">
        <f t="array" ref="C870">COUNT(FIND("output",$D870:$CD870))</f>
        <v>0</v>
      </c>
    </row>
    <row r="871" spans="1:3" x14ac:dyDescent="0.25">
      <c r="A871" s="9" t="str">
        <f>IF(ISBLANK('Signal Definition'!J871),"",'Signal Definition'!J871)</f>
        <v/>
      </c>
      <c r="B871" s="9">
        <f t="array" ref="B871">COUNT(FIND("input",$D871:$CD871))</f>
        <v>0</v>
      </c>
      <c r="C871" s="9">
        <f t="array" ref="C871">COUNT(FIND("output",$D871:$CD871))</f>
        <v>0</v>
      </c>
    </row>
    <row r="872" spans="1:3" x14ac:dyDescent="0.25">
      <c r="A872" s="9" t="str">
        <f>IF(ISBLANK('Signal Definition'!J872),"",'Signal Definition'!J872)</f>
        <v/>
      </c>
      <c r="B872" s="9">
        <f t="array" ref="B872">COUNT(FIND("input",$D872:$CD872))</f>
        <v>0</v>
      </c>
      <c r="C872" s="9">
        <f t="array" ref="C872">COUNT(FIND("output",$D872:$CD872))</f>
        <v>0</v>
      </c>
    </row>
    <row r="873" spans="1:3" x14ac:dyDescent="0.25">
      <c r="A873" s="9" t="str">
        <f>IF(ISBLANK('Signal Definition'!J873),"",'Signal Definition'!J873)</f>
        <v/>
      </c>
      <c r="B873" s="9">
        <f t="array" ref="B873">COUNT(FIND("input",$D873:$CD873))</f>
        <v>0</v>
      </c>
      <c r="C873" s="9">
        <f t="array" ref="C873">COUNT(FIND("output",$D873:$CD873))</f>
        <v>0</v>
      </c>
    </row>
    <row r="874" spans="1:3" x14ac:dyDescent="0.25">
      <c r="A874" s="9" t="str">
        <f>IF(ISBLANK('Signal Definition'!J874),"",'Signal Definition'!J874)</f>
        <v/>
      </c>
      <c r="B874" s="9">
        <f t="array" ref="B874">COUNT(FIND("input",$D874:$CD874))</f>
        <v>0</v>
      </c>
      <c r="C874" s="9">
        <f t="array" ref="C874">COUNT(FIND("output",$D874:$CD874))</f>
        <v>0</v>
      </c>
    </row>
    <row r="875" spans="1:3" x14ac:dyDescent="0.25">
      <c r="A875" s="9" t="str">
        <f>IF(ISBLANK('Signal Definition'!J875),"",'Signal Definition'!J875)</f>
        <v/>
      </c>
      <c r="B875" s="9">
        <f t="array" ref="B875">COUNT(FIND("input",$D875:$CD875))</f>
        <v>0</v>
      </c>
      <c r="C875" s="9">
        <f t="array" ref="C875">COUNT(FIND("output",$D875:$CD875))</f>
        <v>0</v>
      </c>
    </row>
    <row r="876" spans="1:3" x14ac:dyDescent="0.25">
      <c r="A876" s="9" t="str">
        <f>IF(ISBLANK('Signal Definition'!J876),"",'Signal Definition'!J876)</f>
        <v/>
      </c>
      <c r="B876" s="9">
        <f t="array" ref="B876">COUNT(FIND("input",$D876:$CD876))</f>
        <v>0</v>
      </c>
      <c r="C876" s="9">
        <f t="array" ref="C876">COUNT(FIND("output",$D876:$CD876))</f>
        <v>0</v>
      </c>
    </row>
    <row r="877" spans="1:3" x14ac:dyDescent="0.25">
      <c r="A877" s="9" t="str">
        <f>IF(ISBLANK('Signal Definition'!J877),"",'Signal Definition'!J877)</f>
        <v/>
      </c>
      <c r="B877" s="9">
        <f t="array" ref="B877">COUNT(FIND("input",$D877:$CD877))</f>
        <v>0</v>
      </c>
      <c r="C877" s="9">
        <f t="array" ref="C877">COUNT(FIND("output",$D877:$CD877))</f>
        <v>0</v>
      </c>
    </row>
    <row r="878" spans="1:3" x14ac:dyDescent="0.25">
      <c r="A878" s="9" t="str">
        <f>IF(ISBLANK('Signal Definition'!J878),"",'Signal Definition'!J878)</f>
        <v/>
      </c>
      <c r="B878" s="9">
        <f t="array" ref="B878">COUNT(FIND("input",$D878:$CD878))</f>
        <v>0</v>
      </c>
      <c r="C878" s="9">
        <f t="array" ref="C878">COUNT(FIND("output",$D878:$CD878))</f>
        <v>0</v>
      </c>
    </row>
    <row r="879" spans="1:3" x14ac:dyDescent="0.25">
      <c r="A879" s="9" t="str">
        <f>IF(ISBLANK('Signal Definition'!J879),"",'Signal Definition'!J879)</f>
        <v/>
      </c>
      <c r="B879" s="9">
        <f t="array" ref="B879">COUNT(FIND("input",$D879:$CD879))</f>
        <v>0</v>
      </c>
      <c r="C879" s="9">
        <f t="array" ref="C879">COUNT(FIND("output",$D879:$CD879))</f>
        <v>0</v>
      </c>
    </row>
    <row r="880" spans="1:3" x14ac:dyDescent="0.25">
      <c r="A880" s="9" t="str">
        <f>IF(ISBLANK('Signal Definition'!J880),"",'Signal Definition'!J880)</f>
        <v/>
      </c>
      <c r="B880" s="9">
        <f t="array" ref="B880">COUNT(FIND("input",$D880:$CD880))</f>
        <v>0</v>
      </c>
      <c r="C880" s="9">
        <f t="array" ref="C880">COUNT(FIND("output",$D880:$CD880))</f>
        <v>0</v>
      </c>
    </row>
    <row r="881" spans="1:3" x14ac:dyDescent="0.25">
      <c r="A881" s="9" t="str">
        <f>IF(ISBLANK('Signal Definition'!J881),"",'Signal Definition'!J881)</f>
        <v/>
      </c>
      <c r="B881" s="9">
        <f t="array" ref="B881">COUNT(FIND("input",$D881:$CD881))</f>
        <v>0</v>
      </c>
      <c r="C881" s="9">
        <f t="array" ref="C881">COUNT(FIND("output",$D881:$CD881))</f>
        <v>0</v>
      </c>
    </row>
    <row r="882" spans="1:3" x14ac:dyDescent="0.25">
      <c r="A882" s="9" t="str">
        <f>IF(ISBLANK('Signal Definition'!J882),"",'Signal Definition'!J882)</f>
        <v/>
      </c>
      <c r="B882" s="9">
        <f t="array" ref="B882">COUNT(FIND("input",$D882:$CD882))</f>
        <v>0</v>
      </c>
      <c r="C882" s="9">
        <f t="array" ref="C882">COUNT(FIND("output",$D882:$CD882))</f>
        <v>0</v>
      </c>
    </row>
    <row r="883" spans="1:3" x14ac:dyDescent="0.25">
      <c r="A883" s="9" t="str">
        <f>IF(ISBLANK('Signal Definition'!J883),"",'Signal Definition'!J883)</f>
        <v/>
      </c>
      <c r="B883" s="9">
        <f t="array" ref="B883">COUNT(FIND("input",$D883:$CD883))</f>
        <v>0</v>
      </c>
      <c r="C883" s="9">
        <f t="array" ref="C883">COUNT(FIND("output",$D883:$CD883))</f>
        <v>0</v>
      </c>
    </row>
    <row r="884" spans="1:3" x14ac:dyDescent="0.25">
      <c r="A884" s="9" t="str">
        <f>IF(ISBLANK('Signal Definition'!J884),"",'Signal Definition'!J884)</f>
        <v/>
      </c>
      <c r="B884" s="9">
        <f t="array" ref="B884">COUNT(FIND("input",$D884:$CD884))</f>
        <v>0</v>
      </c>
      <c r="C884" s="9">
        <f t="array" ref="C884">COUNT(FIND("output",$D884:$CD884))</f>
        <v>0</v>
      </c>
    </row>
    <row r="885" spans="1:3" x14ac:dyDescent="0.25">
      <c r="A885" s="9" t="str">
        <f>IF(ISBLANK('Signal Definition'!J885),"",'Signal Definition'!J885)</f>
        <v/>
      </c>
      <c r="B885" s="9">
        <f t="array" ref="B885">COUNT(FIND("input",$D885:$CD885))</f>
        <v>0</v>
      </c>
      <c r="C885" s="9">
        <f t="array" ref="C885">COUNT(FIND("output",$D885:$CD885))</f>
        <v>0</v>
      </c>
    </row>
    <row r="886" spans="1:3" x14ac:dyDescent="0.25">
      <c r="A886" s="9" t="str">
        <f>IF(ISBLANK('Signal Definition'!J886),"",'Signal Definition'!J886)</f>
        <v/>
      </c>
      <c r="B886" s="9">
        <f t="array" ref="B886">COUNT(FIND("input",$D886:$CD886))</f>
        <v>0</v>
      </c>
      <c r="C886" s="9">
        <f t="array" ref="C886">COUNT(FIND("output",$D886:$CD886))</f>
        <v>0</v>
      </c>
    </row>
    <row r="887" spans="1:3" x14ac:dyDescent="0.25">
      <c r="A887" s="9" t="str">
        <f>IF(ISBLANK('Signal Definition'!J887),"",'Signal Definition'!J887)</f>
        <v/>
      </c>
      <c r="B887" s="9">
        <f t="array" ref="B887">COUNT(FIND("input",$D887:$CD887))</f>
        <v>0</v>
      </c>
      <c r="C887" s="9">
        <f t="array" ref="C887">COUNT(FIND("output",$D887:$CD887))</f>
        <v>0</v>
      </c>
    </row>
    <row r="888" spans="1:3" x14ac:dyDescent="0.25">
      <c r="A888" s="9" t="str">
        <f>IF(ISBLANK('Signal Definition'!J888),"",'Signal Definition'!J888)</f>
        <v/>
      </c>
      <c r="B888" s="9">
        <f t="array" ref="B888">COUNT(FIND("input",$D888:$CD888))</f>
        <v>0</v>
      </c>
      <c r="C888" s="9">
        <f t="array" ref="C888">COUNT(FIND("output",$D888:$CD888))</f>
        <v>0</v>
      </c>
    </row>
    <row r="889" spans="1:3" x14ac:dyDescent="0.25">
      <c r="A889" s="9" t="str">
        <f>IF(ISBLANK('Signal Definition'!J889),"",'Signal Definition'!J889)</f>
        <v/>
      </c>
      <c r="B889" s="9">
        <f t="array" ref="B889">COUNT(FIND("input",$D889:$CD889))</f>
        <v>0</v>
      </c>
      <c r="C889" s="9">
        <f t="array" ref="C889">COUNT(FIND("output",$D889:$CD889))</f>
        <v>0</v>
      </c>
    </row>
    <row r="890" spans="1:3" x14ac:dyDescent="0.25">
      <c r="A890" s="9" t="str">
        <f>IF(ISBLANK('Signal Definition'!J890),"",'Signal Definition'!J890)</f>
        <v/>
      </c>
      <c r="B890" s="9">
        <f t="array" ref="B890">COUNT(FIND("input",$D890:$CD890))</f>
        <v>0</v>
      </c>
      <c r="C890" s="9">
        <f t="array" ref="C890">COUNT(FIND("output",$D890:$CD890))</f>
        <v>0</v>
      </c>
    </row>
    <row r="891" spans="1:3" x14ac:dyDescent="0.25">
      <c r="A891" s="9" t="str">
        <f>IF(ISBLANK('Signal Definition'!J891),"",'Signal Definition'!J891)</f>
        <v/>
      </c>
      <c r="B891" s="9">
        <f t="array" ref="B891">COUNT(FIND("input",$D891:$CD891))</f>
        <v>0</v>
      </c>
      <c r="C891" s="9">
        <f t="array" ref="C891">COUNT(FIND("output",$D891:$CD891))</f>
        <v>0</v>
      </c>
    </row>
    <row r="892" spans="1:3" x14ac:dyDescent="0.25">
      <c r="A892" s="9" t="str">
        <f>IF(ISBLANK('Signal Definition'!J892),"",'Signal Definition'!J892)</f>
        <v/>
      </c>
      <c r="B892" s="9">
        <f t="array" ref="B892">COUNT(FIND("input",$D892:$CD892))</f>
        <v>0</v>
      </c>
      <c r="C892" s="9">
        <f t="array" ref="C892">COUNT(FIND("output",$D892:$CD892))</f>
        <v>0</v>
      </c>
    </row>
    <row r="893" spans="1:3" x14ac:dyDescent="0.25">
      <c r="A893" s="9" t="str">
        <f>IF(ISBLANK('Signal Definition'!J893),"",'Signal Definition'!J893)</f>
        <v/>
      </c>
      <c r="B893" s="9">
        <f t="array" ref="B893">COUNT(FIND("input",$D893:$CD893))</f>
        <v>0</v>
      </c>
      <c r="C893" s="9">
        <f t="array" ref="C893">COUNT(FIND("output",$D893:$CD893))</f>
        <v>0</v>
      </c>
    </row>
    <row r="894" spans="1:3" x14ac:dyDescent="0.25">
      <c r="A894" s="9" t="str">
        <f>IF(ISBLANK('Signal Definition'!J894),"",'Signal Definition'!J894)</f>
        <v/>
      </c>
      <c r="B894" s="9">
        <f t="array" ref="B894">COUNT(FIND("input",$D894:$CD894))</f>
        <v>0</v>
      </c>
      <c r="C894" s="9">
        <f t="array" ref="C894">COUNT(FIND("output",$D894:$CD894))</f>
        <v>0</v>
      </c>
    </row>
    <row r="895" spans="1:3" x14ac:dyDescent="0.25">
      <c r="A895" s="9" t="str">
        <f>IF(ISBLANK('Signal Definition'!J895),"",'Signal Definition'!J895)</f>
        <v/>
      </c>
      <c r="B895" s="9">
        <f t="array" ref="B895">COUNT(FIND("input",$D895:$CD895))</f>
        <v>0</v>
      </c>
      <c r="C895" s="9">
        <f t="array" ref="C895">COUNT(FIND("output",$D895:$CD895))</f>
        <v>0</v>
      </c>
    </row>
    <row r="896" spans="1:3" x14ac:dyDescent="0.25">
      <c r="A896" s="9" t="str">
        <f>IF(ISBLANK('Signal Definition'!J896),"",'Signal Definition'!J896)</f>
        <v/>
      </c>
      <c r="B896" s="9">
        <f t="array" ref="B896">COUNT(FIND("input",$D896:$CD896))</f>
        <v>0</v>
      </c>
      <c r="C896" s="9">
        <f t="array" ref="C896">COUNT(FIND("output",$D896:$CD896))</f>
        <v>0</v>
      </c>
    </row>
    <row r="897" spans="1:3" x14ac:dyDescent="0.25">
      <c r="A897" s="9" t="str">
        <f>IF(ISBLANK('Signal Definition'!J897),"",'Signal Definition'!J897)</f>
        <v/>
      </c>
      <c r="B897" s="9">
        <f t="array" ref="B897">COUNT(FIND("input",$D897:$CD897))</f>
        <v>0</v>
      </c>
      <c r="C897" s="9">
        <f t="array" ref="C897">COUNT(FIND("output",$D897:$CD897))</f>
        <v>0</v>
      </c>
    </row>
    <row r="898" spans="1:3" x14ac:dyDescent="0.25">
      <c r="A898" s="9" t="str">
        <f>IF(ISBLANK('Signal Definition'!J898),"",'Signal Definition'!J898)</f>
        <v/>
      </c>
      <c r="B898" s="9">
        <f t="array" ref="B898">COUNT(FIND("input",$D898:$CD898))</f>
        <v>0</v>
      </c>
      <c r="C898" s="9">
        <f t="array" ref="C898">COUNT(FIND("output",$D898:$CD898))</f>
        <v>0</v>
      </c>
    </row>
    <row r="899" spans="1:3" x14ac:dyDescent="0.25">
      <c r="A899" s="9" t="str">
        <f>IF(ISBLANK('Signal Definition'!J899),"",'Signal Definition'!J899)</f>
        <v/>
      </c>
      <c r="B899" s="9">
        <f t="array" ref="B899">COUNT(FIND("input",$D899:$CD899))</f>
        <v>0</v>
      </c>
      <c r="C899" s="9">
        <f t="array" ref="C899">COUNT(FIND("output",$D899:$CD899))</f>
        <v>0</v>
      </c>
    </row>
    <row r="900" spans="1:3" x14ac:dyDescent="0.25">
      <c r="A900" s="9" t="str">
        <f>IF(ISBLANK('Signal Definition'!J900),"",'Signal Definition'!J900)</f>
        <v/>
      </c>
      <c r="B900" s="9">
        <f t="array" ref="B900">COUNT(FIND("input",$D900:$CD900))</f>
        <v>0</v>
      </c>
      <c r="C900" s="9">
        <f t="array" ref="C900">COUNT(FIND("output",$D900:$CD900))</f>
        <v>0</v>
      </c>
    </row>
    <row r="901" spans="1:3" x14ac:dyDescent="0.25">
      <c r="A901" s="9" t="str">
        <f>IF(ISBLANK('Signal Definition'!J901),"",'Signal Definition'!J901)</f>
        <v/>
      </c>
      <c r="B901" s="9">
        <f t="array" ref="B901">COUNT(FIND("input",$D901:$CD901))</f>
        <v>0</v>
      </c>
      <c r="C901" s="9">
        <f t="array" ref="C901">COUNT(FIND("output",$D901:$CD901))</f>
        <v>0</v>
      </c>
    </row>
    <row r="902" spans="1:3" x14ac:dyDescent="0.25">
      <c r="A902" s="9" t="str">
        <f>IF(ISBLANK('Signal Definition'!J902),"",'Signal Definition'!J902)</f>
        <v/>
      </c>
      <c r="B902" s="9">
        <f t="array" ref="B902">COUNT(FIND("input",$D902:$CD902))</f>
        <v>0</v>
      </c>
      <c r="C902" s="9">
        <f t="array" ref="C902">COUNT(FIND("output",$D902:$CD902))</f>
        <v>0</v>
      </c>
    </row>
    <row r="903" spans="1:3" x14ac:dyDescent="0.25">
      <c r="A903" s="9" t="str">
        <f>IF(ISBLANK('Signal Definition'!J903),"",'Signal Definition'!J903)</f>
        <v/>
      </c>
      <c r="B903" s="9">
        <f t="array" ref="B903">COUNT(FIND("input",$D903:$CD903))</f>
        <v>0</v>
      </c>
      <c r="C903" s="9">
        <f t="array" ref="C903">COUNT(FIND("output",$D903:$CD903))</f>
        <v>0</v>
      </c>
    </row>
    <row r="904" spans="1:3" x14ac:dyDescent="0.25">
      <c r="A904" s="9" t="str">
        <f>IF(ISBLANK('Signal Definition'!J904),"",'Signal Definition'!J904)</f>
        <v/>
      </c>
      <c r="B904" s="9">
        <f t="array" ref="B904">COUNT(FIND("input",$D904:$CD904))</f>
        <v>0</v>
      </c>
      <c r="C904" s="9">
        <f t="array" ref="C904">COUNT(FIND("output",$D904:$CD904))</f>
        <v>0</v>
      </c>
    </row>
    <row r="905" spans="1:3" x14ac:dyDescent="0.25">
      <c r="A905" s="9" t="str">
        <f>IF(ISBLANK('Signal Definition'!J905),"",'Signal Definition'!J905)</f>
        <v/>
      </c>
      <c r="B905" s="9">
        <f t="array" ref="B905">COUNT(FIND("input",$D905:$CD905))</f>
        <v>0</v>
      </c>
      <c r="C905" s="9">
        <f t="array" ref="C905">COUNT(FIND("output",$D905:$CD905))</f>
        <v>0</v>
      </c>
    </row>
    <row r="906" spans="1:3" x14ac:dyDescent="0.25">
      <c r="A906" s="9" t="str">
        <f>IF(ISBLANK('Signal Definition'!J906),"",'Signal Definition'!J906)</f>
        <v/>
      </c>
      <c r="B906" s="9">
        <f t="array" ref="B906">COUNT(FIND("input",$D906:$CD906))</f>
        <v>0</v>
      </c>
      <c r="C906" s="9">
        <f t="array" ref="C906">COUNT(FIND("output",$D906:$CD906))</f>
        <v>0</v>
      </c>
    </row>
    <row r="907" spans="1:3" x14ac:dyDescent="0.25">
      <c r="A907" s="9" t="str">
        <f>IF(ISBLANK('Signal Definition'!J907),"",'Signal Definition'!J907)</f>
        <v/>
      </c>
      <c r="B907" s="9">
        <f t="array" ref="B907">COUNT(FIND("input",$D907:$CD907))</f>
        <v>0</v>
      </c>
      <c r="C907" s="9">
        <f t="array" ref="C907">COUNT(FIND("output",$D907:$CD907))</f>
        <v>0</v>
      </c>
    </row>
    <row r="908" spans="1:3" x14ac:dyDescent="0.25">
      <c r="A908" s="9" t="str">
        <f>IF(ISBLANK('Signal Definition'!J908),"",'Signal Definition'!J908)</f>
        <v/>
      </c>
      <c r="B908" s="9">
        <f t="array" ref="B908">COUNT(FIND("input",$D908:$CD908))</f>
        <v>0</v>
      </c>
      <c r="C908" s="9">
        <f t="array" ref="C908">COUNT(FIND("output",$D908:$CD908))</f>
        <v>0</v>
      </c>
    </row>
    <row r="909" spans="1:3" x14ac:dyDescent="0.25">
      <c r="A909" s="9" t="str">
        <f>IF(ISBLANK('Signal Definition'!J909),"",'Signal Definition'!J909)</f>
        <v/>
      </c>
      <c r="B909" s="9">
        <f t="array" ref="B909">COUNT(FIND("input",$D909:$CD909))</f>
        <v>0</v>
      </c>
      <c r="C909" s="9">
        <f t="array" ref="C909">COUNT(FIND("output",$D909:$CD909))</f>
        <v>0</v>
      </c>
    </row>
    <row r="910" spans="1:3" x14ac:dyDescent="0.25">
      <c r="A910" s="9" t="str">
        <f>IF(ISBLANK('Signal Definition'!J910),"",'Signal Definition'!J910)</f>
        <v/>
      </c>
      <c r="B910" s="9">
        <f t="array" ref="B910">COUNT(FIND("input",$D910:$CD910))</f>
        <v>0</v>
      </c>
      <c r="C910" s="9">
        <f t="array" ref="C910">COUNT(FIND("output",$D910:$CD910))</f>
        <v>0</v>
      </c>
    </row>
    <row r="911" spans="1:3" x14ac:dyDescent="0.25">
      <c r="A911" s="9" t="str">
        <f>IF(ISBLANK('Signal Definition'!J911),"",'Signal Definition'!J911)</f>
        <v/>
      </c>
      <c r="B911" s="9">
        <f t="array" ref="B911">COUNT(FIND("input",$D911:$CD911))</f>
        <v>0</v>
      </c>
      <c r="C911" s="9">
        <f t="array" ref="C911">COUNT(FIND("output",$D911:$CD911))</f>
        <v>0</v>
      </c>
    </row>
    <row r="912" spans="1:3" x14ac:dyDescent="0.25">
      <c r="A912" s="9" t="str">
        <f>IF(ISBLANK('Signal Definition'!J912),"",'Signal Definition'!J912)</f>
        <v/>
      </c>
      <c r="B912" s="9">
        <f t="array" ref="B912">COUNT(FIND("input",$D912:$CD912))</f>
        <v>0</v>
      </c>
      <c r="C912" s="9">
        <f t="array" ref="C912">COUNT(FIND("output",$D912:$CD912))</f>
        <v>0</v>
      </c>
    </row>
    <row r="913" spans="1:3" x14ac:dyDescent="0.25">
      <c r="A913" s="9" t="str">
        <f>IF(ISBLANK('Signal Definition'!J913),"",'Signal Definition'!J913)</f>
        <v/>
      </c>
      <c r="B913" s="9">
        <f t="array" ref="B913">COUNT(FIND("input",$D913:$CD913))</f>
        <v>0</v>
      </c>
      <c r="C913" s="9">
        <f t="array" ref="C913">COUNT(FIND("output",$D913:$CD913))</f>
        <v>0</v>
      </c>
    </row>
    <row r="914" spans="1:3" x14ac:dyDescent="0.25">
      <c r="A914" s="9" t="str">
        <f>IF(ISBLANK('Signal Definition'!J914),"",'Signal Definition'!J914)</f>
        <v/>
      </c>
      <c r="B914" s="9">
        <f t="array" ref="B914">COUNT(FIND("input",$D914:$CD914))</f>
        <v>0</v>
      </c>
      <c r="C914" s="9">
        <f t="array" ref="C914">COUNT(FIND("output",$D914:$CD914))</f>
        <v>0</v>
      </c>
    </row>
    <row r="915" spans="1:3" x14ac:dyDescent="0.25">
      <c r="A915" s="9" t="str">
        <f>IF(ISBLANK('Signal Definition'!J915),"",'Signal Definition'!J915)</f>
        <v/>
      </c>
      <c r="B915" s="9">
        <f t="array" ref="B915">COUNT(FIND("input",$D915:$CD915))</f>
        <v>0</v>
      </c>
      <c r="C915" s="9">
        <f t="array" ref="C915">COUNT(FIND("output",$D915:$CD915))</f>
        <v>0</v>
      </c>
    </row>
    <row r="916" spans="1:3" x14ac:dyDescent="0.25">
      <c r="A916" s="9" t="str">
        <f>IF(ISBLANK('Signal Definition'!J916),"",'Signal Definition'!J916)</f>
        <v/>
      </c>
      <c r="B916" s="9">
        <f t="array" ref="B916">COUNT(FIND("input",$D916:$CD916))</f>
        <v>0</v>
      </c>
      <c r="C916" s="9">
        <f t="array" ref="C916">COUNT(FIND("output",$D916:$CD916))</f>
        <v>0</v>
      </c>
    </row>
    <row r="917" spans="1:3" x14ac:dyDescent="0.25">
      <c r="A917" s="9" t="str">
        <f>IF(ISBLANK('Signal Definition'!J917),"",'Signal Definition'!J917)</f>
        <v/>
      </c>
      <c r="B917" s="9">
        <f t="array" ref="B917">COUNT(FIND("input",$D917:$CD917))</f>
        <v>0</v>
      </c>
      <c r="C917" s="9">
        <f t="array" ref="C917">COUNT(FIND("output",$D917:$CD917))</f>
        <v>0</v>
      </c>
    </row>
    <row r="918" spans="1:3" x14ac:dyDescent="0.25">
      <c r="A918" s="9" t="str">
        <f>IF(ISBLANK('Signal Definition'!J918),"",'Signal Definition'!J918)</f>
        <v/>
      </c>
      <c r="B918" s="9">
        <f t="array" ref="B918">COUNT(FIND("input",$D918:$CD918))</f>
        <v>0</v>
      </c>
      <c r="C918" s="9">
        <f t="array" ref="C918">COUNT(FIND("output",$D918:$CD918))</f>
        <v>0</v>
      </c>
    </row>
    <row r="919" spans="1:3" x14ac:dyDescent="0.25">
      <c r="A919" s="9" t="str">
        <f>IF(ISBLANK('Signal Definition'!J919),"",'Signal Definition'!J919)</f>
        <v/>
      </c>
      <c r="B919" s="9">
        <f t="array" ref="B919">COUNT(FIND("input",$D919:$CD919))</f>
        <v>0</v>
      </c>
      <c r="C919" s="9">
        <f t="array" ref="C919">COUNT(FIND("output",$D919:$CD919))</f>
        <v>0</v>
      </c>
    </row>
    <row r="920" spans="1:3" x14ac:dyDescent="0.25">
      <c r="A920" s="9" t="str">
        <f>IF(ISBLANK('Signal Definition'!J920),"",'Signal Definition'!J920)</f>
        <v/>
      </c>
      <c r="B920" s="9">
        <f t="array" ref="B920">COUNT(FIND("input",$D920:$CD920))</f>
        <v>0</v>
      </c>
      <c r="C920" s="9">
        <f t="array" ref="C920">COUNT(FIND("output",$D920:$CD920))</f>
        <v>0</v>
      </c>
    </row>
    <row r="921" spans="1:3" x14ac:dyDescent="0.25">
      <c r="A921" s="9" t="str">
        <f>IF(ISBLANK('Signal Definition'!J921),"",'Signal Definition'!J921)</f>
        <v/>
      </c>
      <c r="B921" s="9">
        <f t="array" ref="B921">COUNT(FIND("input",$D921:$CD921))</f>
        <v>0</v>
      </c>
      <c r="C921" s="9">
        <f t="array" ref="C921">COUNT(FIND("output",$D921:$CD921))</f>
        <v>0</v>
      </c>
    </row>
    <row r="922" spans="1:3" x14ac:dyDescent="0.25">
      <c r="A922" s="9" t="str">
        <f>IF(ISBLANK('Signal Definition'!J922),"",'Signal Definition'!J922)</f>
        <v/>
      </c>
      <c r="B922" s="9">
        <f t="array" ref="B922">COUNT(FIND("input",$D922:$CD922))</f>
        <v>0</v>
      </c>
      <c r="C922" s="9">
        <f t="array" ref="C922">COUNT(FIND("output",$D922:$CD922))</f>
        <v>0</v>
      </c>
    </row>
    <row r="923" spans="1:3" x14ac:dyDescent="0.25">
      <c r="A923" s="9" t="str">
        <f>IF(ISBLANK('Signal Definition'!J923),"",'Signal Definition'!J923)</f>
        <v/>
      </c>
      <c r="B923" s="9">
        <f t="array" ref="B923">COUNT(FIND("input",$D923:$CD923))</f>
        <v>0</v>
      </c>
      <c r="C923" s="9">
        <f t="array" ref="C923">COUNT(FIND("output",$D923:$CD923))</f>
        <v>0</v>
      </c>
    </row>
    <row r="924" spans="1:3" x14ac:dyDescent="0.25">
      <c r="A924" s="9" t="str">
        <f>IF(ISBLANK('Signal Definition'!J924),"",'Signal Definition'!J924)</f>
        <v/>
      </c>
      <c r="B924" s="9">
        <f t="array" ref="B924">COUNT(FIND("input",$D924:$CD924))</f>
        <v>0</v>
      </c>
      <c r="C924" s="9">
        <f t="array" ref="C924">COUNT(FIND("output",$D924:$CD924))</f>
        <v>0</v>
      </c>
    </row>
    <row r="925" spans="1:3" x14ac:dyDescent="0.25">
      <c r="A925" s="9" t="str">
        <f>IF(ISBLANK('Signal Definition'!J925),"",'Signal Definition'!J925)</f>
        <v/>
      </c>
      <c r="B925" s="9">
        <f t="array" ref="B925">COUNT(FIND("input",$D925:$CD925))</f>
        <v>0</v>
      </c>
      <c r="C925" s="9">
        <f t="array" ref="C925">COUNT(FIND("output",$D925:$CD925))</f>
        <v>0</v>
      </c>
    </row>
    <row r="926" spans="1:3" x14ac:dyDescent="0.25">
      <c r="A926" s="9" t="str">
        <f>IF(ISBLANK('Signal Definition'!J926),"",'Signal Definition'!J926)</f>
        <v/>
      </c>
      <c r="B926" s="9">
        <f t="array" ref="B926">COUNT(FIND("input",$D926:$CD926))</f>
        <v>0</v>
      </c>
      <c r="C926" s="9">
        <f t="array" ref="C926">COUNT(FIND("output",$D926:$CD926))</f>
        <v>0</v>
      </c>
    </row>
    <row r="927" spans="1:3" x14ac:dyDescent="0.25">
      <c r="A927" s="9" t="str">
        <f>IF(ISBLANK('Signal Definition'!J927),"",'Signal Definition'!J927)</f>
        <v/>
      </c>
      <c r="B927" s="9">
        <f t="array" ref="B927">COUNT(FIND("input",$D927:$CD927))</f>
        <v>0</v>
      </c>
      <c r="C927" s="9">
        <f t="array" ref="C927">COUNT(FIND("output",$D927:$CD927))</f>
        <v>0</v>
      </c>
    </row>
    <row r="928" spans="1:3" x14ac:dyDescent="0.25">
      <c r="A928" s="9" t="str">
        <f>IF(ISBLANK('Signal Definition'!J928),"",'Signal Definition'!J928)</f>
        <v/>
      </c>
      <c r="B928" s="9">
        <f t="array" ref="B928">COUNT(FIND("input",$D928:$CD928))</f>
        <v>0</v>
      </c>
      <c r="C928" s="9">
        <f t="array" ref="C928">COUNT(FIND("output",$D928:$CD928))</f>
        <v>0</v>
      </c>
    </row>
    <row r="929" spans="1:3" x14ac:dyDescent="0.25">
      <c r="A929" s="9" t="str">
        <f>IF(ISBLANK('Signal Definition'!J929),"",'Signal Definition'!J929)</f>
        <v/>
      </c>
      <c r="B929" s="9">
        <f t="array" ref="B929">COUNT(FIND("input",$D929:$CD929))</f>
        <v>0</v>
      </c>
      <c r="C929" s="9">
        <f t="array" ref="C929">COUNT(FIND("output",$D929:$CD929))</f>
        <v>0</v>
      </c>
    </row>
    <row r="930" spans="1:3" x14ac:dyDescent="0.25">
      <c r="A930" s="9" t="str">
        <f>IF(ISBLANK('Signal Definition'!J930),"",'Signal Definition'!J930)</f>
        <v/>
      </c>
      <c r="B930" s="9">
        <f t="array" ref="B930">COUNT(FIND("input",$D930:$CD930))</f>
        <v>0</v>
      </c>
      <c r="C930" s="9">
        <f t="array" ref="C930">COUNT(FIND("output",$D930:$CD930))</f>
        <v>0</v>
      </c>
    </row>
    <row r="931" spans="1:3" x14ac:dyDescent="0.25">
      <c r="A931" s="9" t="str">
        <f>IF(ISBLANK('Signal Definition'!J931),"",'Signal Definition'!J931)</f>
        <v/>
      </c>
      <c r="B931" s="9">
        <f t="array" ref="B931">COUNT(FIND("input",$D931:$CD931))</f>
        <v>0</v>
      </c>
      <c r="C931" s="9">
        <f t="array" ref="C931">COUNT(FIND("output",$D931:$CD931))</f>
        <v>0</v>
      </c>
    </row>
    <row r="932" spans="1:3" x14ac:dyDescent="0.25">
      <c r="A932" s="9" t="str">
        <f>IF(ISBLANK('Signal Definition'!J932),"",'Signal Definition'!J932)</f>
        <v/>
      </c>
      <c r="B932" s="9">
        <f t="array" ref="B932">COUNT(FIND("input",$D932:$CD932))</f>
        <v>0</v>
      </c>
      <c r="C932" s="9">
        <f t="array" ref="C932">COUNT(FIND("output",$D932:$CD932))</f>
        <v>0</v>
      </c>
    </row>
    <row r="933" spans="1:3" x14ac:dyDescent="0.25">
      <c r="A933" s="9" t="str">
        <f>IF(ISBLANK('Signal Definition'!J933),"",'Signal Definition'!J933)</f>
        <v/>
      </c>
      <c r="B933" s="9">
        <f t="array" ref="B933">COUNT(FIND("input",$D933:$CD933))</f>
        <v>0</v>
      </c>
      <c r="C933" s="9">
        <f t="array" ref="C933">COUNT(FIND("output",$D933:$CD933))</f>
        <v>0</v>
      </c>
    </row>
    <row r="934" spans="1:3" x14ac:dyDescent="0.25">
      <c r="A934" s="9" t="str">
        <f>IF(ISBLANK('Signal Definition'!J934),"",'Signal Definition'!J934)</f>
        <v/>
      </c>
      <c r="B934" s="9">
        <f t="array" ref="B934">COUNT(FIND("input",$D934:$CD934))</f>
        <v>0</v>
      </c>
      <c r="C934" s="9">
        <f t="array" ref="C934">COUNT(FIND("output",$D934:$CD934))</f>
        <v>0</v>
      </c>
    </row>
    <row r="935" spans="1:3" x14ac:dyDescent="0.25">
      <c r="A935" s="9" t="str">
        <f>IF(ISBLANK('Signal Definition'!J935),"",'Signal Definition'!J935)</f>
        <v/>
      </c>
      <c r="B935" s="9">
        <f t="array" ref="B935">COUNT(FIND("input",$D935:$CD935))</f>
        <v>0</v>
      </c>
      <c r="C935" s="9">
        <f t="array" ref="C935">COUNT(FIND("output",$D935:$CD935))</f>
        <v>0</v>
      </c>
    </row>
    <row r="936" spans="1:3" x14ac:dyDescent="0.25">
      <c r="A936" s="9" t="str">
        <f>IF(ISBLANK('Signal Definition'!J936),"",'Signal Definition'!J936)</f>
        <v/>
      </c>
      <c r="B936" s="9">
        <f t="array" ref="B936">COUNT(FIND("input",$D936:$CD936))</f>
        <v>0</v>
      </c>
      <c r="C936" s="9">
        <f t="array" ref="C936">COUNT(FIND("output",$D936:$CD936))</f>
        <v>0</v>
      </c>
    </row>
    <row r="937" spans="1:3" x14ac:dyDescent="0.25">
      <c r="A937" s="9" t="str">
        <f>IF(ISBLANK('Signal Definition'!J937),"",'Signal Definition'!J937)</f>
        <v/>
      </c>
      <c r="B937" s="9">
        <f t="array" ref="B937">COUNT(FIND("input",$D937:$CD937))</f>
        <v>0</v>
      </c>
      <c r="C937" s="9">
        <f t="array" ref="C937">COUNT(FIND("output",$D937:$CD937))</f>
        <v>0</v>
      </c>
    </row>
    <row r="938" spans="1:3" x14ac:dyDescent="0.25">
      <c r="A938" s="9" t="str">
        <f>IF(ISBLANK('Signal Definition'!J938),"",'Signal Definition'!J938)</f>
        <v/>
      </c>
      <c r="B938" s="9">
        <f t="array" ref="B938">COUNT(FIND("input",$D938:$CD938))</f>
        <v>0</v>
      </c>
      <c r="C938" s="9">
        <f t="array" ref="C938">COUNT(FIND("output",$D938:$CD938))</f>
        <v>0</v>
      </c>
    </row>
    <row r="939" spans="1:3" x14ac:dyDescent="0.25">
      <c r="A939" s="9" t="str">
        <f>IF(ISBLANK('Signal Definition'!J939),"",'Signal Definition'!J939)</f>
        <v/>
      </c>
      <c r="B939" s="9">
        <f t="array" ref="B939">COUNT(FIND("input",$D939:$CD939))</f>
        <v>0</v>
      </c>
      <c r="C939" s="9">
        <f t="array" ref="C939">COUNT(FIND("output",$D939:$CD939))</f>
        <v>0</v>
      </c>
    </row>
    <row r="940" spans="1:3" x14ac:dyDescent="0.25">
      <c r="A940" s="9" t="str">
        <f>IF(ISBLANK('Signal Definition'!J940),"",'Signal Definition'!J940)</f>
        <v/>
      </c>
      <c r="B940" s="9">
        <f t="array" ref="B940">COUNT(FIND("input",$D940:$CD940))</f>
        <v>0</v>
      </c>
      <c r="C940" s="9">
        <f t="array" ref="C940">COUNT(FIND("output",$D940:$CD940))</f>
        <v>0</v>
      </c>
    </row>
    <row r="941" spans="1:3" x14ac:dyDescent="0.25">
      <c r="A941" s="9" t="str">
        <f>IF(ISBLANK('Signal Definition'!J941),"",'Signal Definition'!J941)</f>
        <v/>
      </c>
      <c r="B941" s="9">
        <f t="array" ref="B941">COUNT(FIND("input",$D941:$CD941))</f>
        <v>0</v>
      </c>
      <c r="C941" s="9">
        <f t="array" ref="C941">COUNT(FIND("output",$D941:$CD941))</f>
        <v>0</v>
      </c>
    </row>
    <row r="942" spans="1:3" x14ac:dyDescent="0.25">
      <c r="A942" s="9" t="str">
        <f>IF(ISBLANK('Signal Definition'!J942),"",'Signal Definition'!J942)</f>
        <v/>
      </c>
      <c r="B942" s="9">
        <f t="array" ref="B942">COUNT(FIND("input",$D942:$CD942))</f>
        <v>0</v>
      </c>
      <c r="C942" s="9">
        <f t="array" ref="C942">COUNT(FIND("output",$D942:$CD942))</f>
        <v>0</v>
      </c>
    </row>
    <row r="943" spans="1:3" x14ac:dyDescent="0.25">
      <c r="A943" s="9" t="str">
        <f>IF(ISBLANK('Signal Definition'!J943),"",'Signal Definition'!J943)</f>
        <v/>
      </c>
      <c r="B943" s="9">
        <f t="array" ref="B943">COUNT(FIND("input",$D943:$CD943))</f>
        <v>0</v>
      </c>
      <c r="C943" s="9">
        <f t="array" ref="C943">COUNT(FIND("output",$D943:$CD943))</f>
        <v>0</v>
      </c>
    </row>
    <row r="944" spans="1:3" x14ac:dyDescent="0.25">
      <c r="A944" s="9" t="str">
        <f>IF(ISBLANK('Signal Definition'!J944),"",'Signal Definition'!J944)</f>
        <v/>
      </c>
      <c r="B944" s="9">
        <f t="array" ref="B944">COUNT(FIND("input",$D944:$CD944))</f>
        <v>0</v>
      </c>
      <c r="C944" s="9">
        <f t="array" ref="C944">COUNT(FIND("output",$D944:$CD944))</f>
        <v>0</v>
      </c>
    </row>
    <row r="945" spans="1:3" x14ac:dyDescent="0.25">
      <c r="A945" s="9" t="str">
        <f>IF(ISBLANK('Signal Definition'!J945),"",'Signal Definition'!J945)</f>
        <v/>
      </c>
      <c r="B945" s="9">
        <f t="array" ref="B945">COUNT(FIND("input",$D945:$CD945))</f>
        <v>0</v>
      </c>
      <c r="C945" s="9">
        <f t="array" ref="C945">COUNT(FIND("output",$D945:$CD945))</f>
        <v>0</v>
      </c>
    </row>
    <row r="946" spans="1:3" x14ac:dyDescent="0.25">
      <c r="A946" s="9" t="str">
        <f>IF(ISBLANK('Signal Definition'!J946),"",'Signal Definition'!J946)</f>
        <v/>
      </c>
      <c r="B946" s="9">
        <f t="array" ref="B946">COUNT(FIND("input",$D946:$CD946))</f>
        <v>0</v>
      </c>
      <c r="C946" s="9">
        <f t="array" ref="C946">COUNT(FIND("output",$D946:$CD946))</f>
        <v>0</v>
      </c>
    </row>
    <row r="947" spans="1:3" x14ac:dyDescent="0.25">
      <c r="A947" s="9" t="str">
        <f>IF(ISBLANK('Signal Definition'!J947),"",'Signal Definition'!J947)</f>
        <v/>
      </c>
      <c r="B947" s="9">
        <f t="array" ref="B947">COUNT(FIND("input",$D947:$CD947))</f>
        <v>0</v>
      </c>
      <c r="C947" s="9">
        <f t="array" ref="C947">COUNT(FIND("output",$D947:$CD947))</f>
        <v>0</v>
      </c>
    </row>
    <row r="948" spans="1:3" x14ac:dyDescent="0.25">
      <c r="A948" s="9" t="str">
        <f>IF(ISBLANK('Signal Definition'!J948),"",'Signal Definition'!J948)</f>
        <v/>
      </c>
      <c r="B948" s="9">
        <f t="array" ref="B948">COUNT(FIND("input",$D948:$CD948))</f>
        <v>0</v>
      </c>
      <c r="C948" s="9">
        <f t="array" ref="C948">COUNT(FIND("output",$D948:$CD948))</f>
        <v>0</v>
      </c>
    </row>
    <row r="949" spans="1:3" x14ac:dyDescent="0.25">
      <c r="A949" s="9" t="str">
        <f>IF(ISBLANK('Signal Definition'!J949),"",'Signal Definition'!J949)</f>
        <v/>
      </c>
      <c r="B949" s="9">
        <f t="array" ref="B949">COUNT(FIND("input",$D949:$CD949))</f>
        <v>0</v>
      </c>
      <c r="C949" s="9">
        <f t="array" ref="C949">COUNT(FIND("output",$D949:$CD949))</f>
        <v>0</v>
      </c>
    </row>
    <row r="950" spans="1:3" x14ac:dyDescent="0.25">
      <c r="A950" s="9" t="str">
        <f>IF(ISBLANK('Signal Definition'!J950),"",'Signal Definition'!J950)</f>
        <v/>
      </c>
      <c r="B950" s="9">
        <f t="array" ref="B950">COUNT(FIND("input",$D950:$CD950))</f>
        <v>0</v>
      </c>
      <c r="C950" s="9">
        <f t="array" ref="C950">COUNT(FIND("output",$D950:$CD950))</f>
        <v>0</v>
      </c>
    </row>
    <row r="951" spans="1:3" x14ac:dyDescent="0.25">
      <c r="A951" s="9" t="str">
        <f>IF(ISBLANK('Signal Definition'!J951),"",'Signal Definition'!J951)</f>
        <v/>
      </c>
      <c r="B951" s="9">
        <f t="array" ref="B951">COUNT(FIND("input",$D951:$CD951))</f>
        <v>0</v>
      </c>
      <c r="C951" s="9">
        <f t="array" ref="C951">COUNT(FIND("output",$D951:$CD951))</f>
        <v>0</v>
      </c>
    </row>
    <row r="952" spans="1:3" x14ac:dyDescent="0.25">
      <c r="A952" s="9" t="str">
        <f>IF(ISBLANK('Signal Definition'!J952),"",'Signal Definition'!J952)</f>
        <v/>
      </c>
      <c r="B952" s="9">
        <f t="array" ref="B952">COUNT(FIND("input",$D952:$CD952))</f>
        <v>0</v>
      </c>
      <c r="C952" s="9">
        <f t="array" ref="C952">COUNT(FIND("output",$D952:$CD952))</f>
        <v>0</v>
      </c>
    </row>
    <row r="953" spans="1:3" x14ac:dyDescent="0.25">
      <c r="A953" s="9" t="str">
        <f>IF(ISBLANK('Signal Definition'!J953),"",'Signal Definition'!J953)</f>
        <v/>
      </c>
      <c r="B953" s="9">
        <f t="array" ref="B953">COUNT(FIND("input",$D953:$CD953))</f>
        <v>0</v>
      </c>
      <c r="C953" s="9">
        <f t="array" ref="C953">COUNT(FIND("output",$D953:$CD953))</f>
        <v>0</v>
      </c>
    </row>
    <row r="954" spans="1:3" x14ac:dyDescent="0.25">
      <c r="A954" s="9" t="str">
        <f>IF(ISBLANK('Signal Definition'!J954),"",'Signal Definition'!J954)</f>
        <v/>
      </c>
      <c r="B954" s="9">
        <f t="array" ref="B954">COUNT(FIND("input",$D954:$CD954))</f>
        <v>0</v>
      </c>
      <c r="C954" s="9">
        <f t="array" ref="C954">COUNT(FIND("output",$D954:$CD954))</f>
        <v>0</v>
      </c>
    </row>
    <row r="955" spans="1:3" x14ac:dyDescent="0.25">
      <c r="A955" s="9" t="str">
        <f>IF(ISBLANK('Signal Definition'!J955),"",'Signal Definition'!J955)</f>
        <v/>
      </c>
      <c r="B955" s="9">
        <f t="array" ref="B955">COUNT(FIND("input",$D955:$CD955))</f>
        <v>0</v>
      </c>
      <c r="C955" s="9">
        <f t="array" ref="C955">COUNT(FIND("output",$D955:$CD955))</f>
        <v>0</v>
      </c>
    </row>
    <row r="956" spans="1:3" x14ac:dyDescent="0.25">
      <c r="A956" s="9" t="str">
        <f>IF(ISBLANK('Signal Definition'!J956),"",'Signal Definition'!J956)</f>
        <v/>
      </c>
      <c r="B956" s="9">
        <f t="array" ref="B956">COUNT(FIND("input",$D956:$CD956))</f>
        <v>0</v>
      </c>
      <c r="C956" s="9">
        <f t="array" ref="C956">COUNT(FIND("output",$D956:$CD956))</f>
        <v>0</v>
      </c>
    </row>
    <row r="957" spans="1:3" x14ac:dyDescent="0.25">
      <c r="A957" s="9" t="str">
        <f>IF(ISBLANK('Signal Definition'!J957),"",'Signal Definition'!J957)</f>
        <v/>
      </c>
      <c r="B957" s="9">
        <f t="array" ref="B957">COUNT(FIND("input",$D957:$CD957))</f>
        <v>0</v>
      </c>
      <c r="C957" s="9">
        <f t="array" ref="C957">COUNT(FIND("output",$D957:$CD957))</f>
        <v>0</v>
      </c>
    </row>
    <row r="958" spans="1:3" x14ac:dyDescent="0.25">
      <c r="A958" s="9" t="str">
        <f>IF(ISBLANK('Signal Definition'!J958),"",'Signal Definition'!J958)</f>
        <v/>
      </c>
      <c r="B958" s="9">
        <f t="array" ref="B958">COUNT(FIND("input",$D958:$CD958))</f>
        <v>0</v>
      </c>
      <c r="C958" s="9">
        <f t="array" ref="C958">COUNT(FIND("output",$D958:$CD958))</f>
        <v>0</v>
      </c>
    </row>
    <row r="959" spans="1:3" x14ac:dyDescent="0.25">
      <c r="A959" s="9" t="str">
        <f>IF(ISBLANK('Signal Definition'!J959),"",'Signal Definition'!J959)</f>
        <v/>
      </c>
      <c r="B959" s="9">
        <f t="array" ref="B959">COUNT(FIND("input",$D959:$CD959))</f>
        <v>0</v>
      </c>
      <c r="C959" s="9">
        <f t="array" ref="C959">COUNT(FIND("output",$D959:$CD959))</f>
        <v>0</v>
      </c>
    </row>
    <row r="960" spans="1:3" x14ac:dyDescent="0.25">
      <c r="A960" s="9" t="str">
        <f>IF(ISBLANK('Signal Definition'!J960),"",'Signal Definition'!J960)</f>
        <v/>
      </c>
      <c r="B960" s="9">
        <f t="array" ref="B960">COUNT(FIND("input",$D960:$CD960))</f>
        <v>0</v>
      </c>
      <c r="C960" s="9">
        <f t="array" ref="C960">COUNT(FIND("output",$D960:$CD960))</f>
        <v>0</v>
      </c>
    </row>
    <row r="961" spans="1:3" x14ac:dyDescent="0.25">
      <c r="A961" s="9" t="str">
        <f>IF(ISBLANK('Signal Definition'!J961),"",'Signal Definition'!J961)</f>
        <v/>
      </c>
      <c r="B961" s="9">
        <f t="array" ref="B961">COUNT(FIND("input",$D961:$CD961))</f>
        <v>0</v>
      </c>
      <c r="C961" s="9">
        <f t="array" ref="C961">COUNT(FIND("output",$D961:$CD961))</f>
        <v>0</v>
      </c>
    </row>
    <row r="962" spans="1:3" x14ac:dyDescent="0.25">
      <c r="A962" s="9" t="str">
        <f>IF(ISBLANK('Signal Definition'!J962),"",'Signal Definition'!J962)</f>
        <v/>
      </c>
      <c r="B962" s="9">
        <f t="array" ref="B962">COUNT(FIND("input",$D962:$CD962))</f>
        <v>0</v>
      </c>
      <c r="C962" s="9">
        <f t="array" ref="C962">COUNT(FIND("output",$D962:$CD962))</f>
        <v>0</v>
      </c>
    </row>
    <row r="963" spans="1:3" x14ac:dyDescent="0.25">
      <c r="A963" s="9" t="str">
        <f>IF(ISBLANK('Signal Definition'!J963),"",'Signal Definition'!J963)</f>
        <v/>
      </c>
      <c r="B963" s="9">
        <f t="array" ref="B963">COUNT(FIND("input",$D963:$CD963))</f>
        <v>0</v>
      </c>
      <c r="C963" s="9">
        <f t="array" ref="C963">COUNT(FIND("output",$D963:$CD963))</f>
        <v>0</v>
      </c>
    </row>
    <row r="964" spans="1:3" x14ac:dyDescent="0.25">
      <c r="A964" s="9" t="str">
        <f>IF(ISBLANK('Signal Definition'!J964),"",'Signal Definition'!J964)</f>
        <v/>
      </c>
      <c r="B964" s="9">
        <f t="array" ref="B964">COUNT(FIND("input",$D964:$CD964))</f>
        <v>0</v>
      </c>
      <c r="C964" s="9">
        <f t="array" ref="C964">COUNT(FIND("output",$D964:$CD964))</f>
        <v>0</v>
      </c>
    </row>
    <row r="965" spans="1:3" x14ac:dyDescent="0.25">
      <c r="A965" s="9" t="str">
        <f>IF(ISBLANK('Signal Definition'!J965),"",'Signal Definition'!J965)</f>
        <v/>
      </c>
      <c r="B965" s="9">
        <f t="array" ref="B965">COUNT(FIND("input",$D965:$CD965))</f>
        <v>0</v>
      </c>
      <c r="C965" s="9">
        <f t="array" ref="C965">COUNT(FIND("output",$D965:$CD965))</f>
        <v>0</v>
      </c>
    </row>
    <row r="966" spans="1:3" x14ac:dyDescent="0.25">
      <c r="A966" s="9" t="str">
        <f>IF(ISBLANK('Signal Definition'!J966),"",'Signal Definition'!J966)</f>
        <v/>
      </c>
      <c r="B966" s="9">
        <f t="array" ref="B966">COUNT(FIND("input",$D966:$CD966))</f>
        <v>0</v>
      </c>
      <c r="C966" s="9">
        <f t="array" ref="C966">COUNT(FIND("output",$D966:$CD966))</f>
        <v>0</v>
      </c>
    </row>
    <row r="967" spans="1:3" x14ac:dyDescent="0.25">
      <c r="A967" s="9" t="str">
        <f>IF(ISBLANK('Signal Definition'!J967),"",'Signal Definition'!J967)</f>
        <v/>
      </c>
      <c r="B967" s="9">
        <f t="array" ref="B967">COUNT(FIND("input",$D967:$CD967))</f>
        <v>0</v>
      </c>
      <c r="C967" s="9">
        <f t="array" ref="C967">COUNT(FIND("output",$D967:$CD967))</f>
        <v>0</v>
      </c>
    </row>
    <row r="968" spans="1:3" x14ac:dyDescent="0.25">
      <c r="A968" s="9" t="str">
        <f>IF(ISBLANK('Signal Definition'!J968),"",'Signal Definition'!J968)</f>
        <v/>
      </c>
      <c r="B968" s="9">
        <f t="array" ref="B968">COUNT(FIND("input",$D968:$CD968))</f>
        <v>0</v>
      </c>
      <c r="C968" s="9">
        <f t="array" ref="C968">COUNT(FIND("output",$D968:$CD968))</f>
        <v>0</v>
      </c>
    </row>
    <row r="969" spans="1:3" x14ac:dyDescent="0.25">
      <c r="A969" s="9" t="str">
        <f>IF(ISBLANK('Signal Definition'!J969),"",'Signal Definition'!J969)</f>
        <v/>
      </c>
      <c r="B969" s="9">
        <f t="array" ref="B969">COUNT(FIND("input",$D969:$CD969))</f>
        <v>0</v>
      </c>
      <c r="C969" s="9">
        <f t="array" ref="C969">COUNT(FIND("output",$D969:$CD969))</f>
        <v>0</v>
      </c>
    </row>
    <row r="970" spans="1:3" x14ac:dyDescent="0.25">
      <c r="A970" s="9" t="str">
        <f>IF(ISBLANK('Signal Definition'!J970),"",'Signal Definition'!J970)</f>
        <v/>
      </c>
      <c r="B970" s="9">
        <f t="array" ref="B970">COUNT(FIND("input",$D970:$CD970))</f>
        <v>0</v>
      </c>
      <c r="C970" s="9">
        <f t="array" ref="C970">COUNT(FIND("output",$D970:$CD970))</f>
        <v>0</v>
      </c>
    </row>
    <row r="971" spans="1:3" x14ac:dyDescent="0.25">
      <c r="A971" s="9" t="str">
        <f>IF(ISBLANK('Signal Definition'!J971),"",'Signal Definition'!J971)</f>
        <v/>
      </c>
      <c r="B971" s="9">
        <f t="array" ref="B971">COUNT(FIND("input",$D971:$CD971))</f>
        <v>0</v>
      </c>
      <c r="C971" s="9">
        <f t="array" ref="C971">COUNT(FIND("output",$D971:$CD971))</f>
        <v>0</v>
      </c>
    </row>
    <row r="972" spans="1:3" x14ac:dyDescent="0.25">
      <c r="A972" s="9" t="str">
        <f>IF(ISBLANK('Signal Definition'!J972),"",'Signal Definition'!J972)</f>
        <v/>
      </c>
      <c r="B972" s="9">
        <f t="array" ref="B972">COUNT(FIND("input",$D972:$CD972))</f>
        <v>0</v>
      </c>
      <c r="C972" s="9">
        <f t="array" ref="C972">COUNT(FIND("output",$D972:$CD972))</f>
        <v>0</v>
      </c>
    </row>
    <row r="973" spans="1:3" x14ac:dyDescent="0.25">
      <c r="A973" s="9" t="str">
        <f>IF(ISBLANK('Signal Definition'!J973),"",'Signal Definition'!J973)</f>
        <v/>
      </c>
      <c r="B973" s="9">
        <f t="array" ref="B973">COUNT(FIND("input",$D973:$CD973))</f>
        <v>0</v>
      </c>
      <c r="C973" s="9">
        <f t="array" ref="C973">COUNT(FIND("output",$D973:$CD973))</f>
        <v>0</v>
      </c>
    </row>
    <row r="974" spans="1:3" x14ac:dyDescent="0.25">
      <c r="A974" s="9" t="str">
        <f>IF(ISBLANK('Signal Definition'!J974),"",'Signal Definition'!J974)</f>
        <v/>
      </c>
      <c r="B974" s="9">
        <f t="array" ref="B974">COUNT(FIND("input",$D974:$CD974))</f>
        <v>0</v>
      </c>
      <c r="C974" s="9">
        <f t="array" ref="C974">COUNT(FIND("output",$D974:$CD974))</f>
        <v>0</v>
      </c>
    </row>
    <row r="975" spans="1:3" x14ac:dyDescent="0.25">
      <c r="A975" s="9" t="str">
        <f>IF(ISBLANK('Signal Definition'!J975),"",'Signal Definition'!J975)</f>
        <v/>
      </c>
      <c r="B975" s="9">
        <f t="array" ref="B975">COUNT(FIND("input",$D975:$CD975))</f>
        <v>0</v>
      </c>
      <c r="C975" s="9">
        <f t="array" ref="C975">COUNT(FIND("output",$D975:$CD975))</f>
        <v>0</v>
      </c>
    </row>
    <row r="976" spans="1:3" x14ac:dyDescent="0.25">
      <c r="A976" s="9" t="str">
        <f>IF(ISBLANK('Signal Definition'!J976),"",'Signal Definition'!J976)</f>
        <v/>
      </c>
      <c r="B976" s="9">
        <f t="array" ref="B976">COUNT(FIND("input",$D976:$CD976))</f>
        <v>0</v>
      </c>
      <c r="C976" s="9">
        <f t="array" ref="C976">COUNT(FIND("output",$D976:$CD976))</f>
        <v>0</v>
      </c>
    </row>
    <row r="977" spans="1:3" x14ac:dyDescent="0.25">
      <c r="A977" s="9" t="str">
        <f>IF(ISBLANK('Signal Definition'!J977),"",'Signal Definition'!J977)</f>
        <v/>
      </c>
      <c r="B977" s="9">
        <f t="array" ref="B977">COUNT(FIND("input",$D977:$CD977))</f>
        <v>0</v>
      </c>
      <c r="C977" s="9">
        <f t="array" ref="C977">COUNT(FIND("output",$D977:$CD977))</f>
        <v>0</v>
      </c>
    </row>
    <row r="978" spans="1:3" x14ac:dyDescent="0.25">
      <c r="A978" s="9" t="str">
        <f>IF(ISBLANK('Signal Definition'!J978),"",'Signal Definition'!J978)</f>
        <v/>
      </c>
      <c r="B978" s="9">
        <f t="array" ref="B978">COUNT(FIND("input",$D978:$CD978))</f>
        <v>0</v>
      </c>
      <c r="C978" s="9">
        <f t="array" ref="C978">COUNT(FIND("output",$D978:$CD978))</f>
        <v>0</v>
      </c>
    </row>
    <row r="979" spans="1:3" x14ac:dyDescent="0.25">
      <c r="A979" s="9" t="str">
        <f>IF(ISBLANK('Signal Definition'!J979),"",'Signal Definition'!J979)</f>
        <v/>
      </c>
      <c r="B979" s="9">
        <f t="array" ref="B979">COUNT(FIND("input",$D979:$CD979))</f>
        <v>0</v>
      </c>
      <c r="C979" s="9">
        <f t="array" ref="C979">COUNT(FIND("output",$D979:$CD979))</f>
        <v>0</v>
      </c>
    </row>
    <row r="980" spans="1:3" x14ac:dyDescent="0.25">
      <c r="A980" s="9" t="str">
        <f>IF(ISBLANK('Signal Definition'!J980),"",'Signal Definition'!J980)</f>
        <v/>
      </c>
      <c r="B980" s="9">
        <f t="array" ref="B980">COUNT(FIND("input",$D980:$CD980))</f>
        <v>0</v>
      </c>
      <c r="C980" s="9">
        <f t="array" ref="C980">COUNT(FIND("output",$D980:$CD980))</f>
        <v>0</v>
      </c>
    </row>
    <row r="981" spans="1:3" x14ac:dyDescent="0.25">
      <c r="A981" s="9" t="str">
        <f>IF(ISBLANK('Signal Definition'!J981),"",'Signal Definition'!J981)</f>
        <v/>
      </c>
      <c r="B981" s="9">
        <f t="array" ref="B981">COUNT(FIND("input",$D981:$CD981))</f>
        <v>0</v>
      </c>
      <c r="C981" s="9">
        <f t="array" ref="C981">COUNT(FIND("output",$D981:$CD981))</f>
        <v>0</v>
      </c>
    </row>
    <row r="982" spans="1:3" x14ac:dyDescent="0.25">
      <c r="A982" s="9" t="str">
        <f>IF(ISBLANK('Signal Definition'!J982),"",'Signal Definition'!J982)</f>
        <v/>
      </c>
      <c r="B982" s="9">
        <f t="array" ref="B982">COUNT(FIND("input",$D982:$CD982))</f>
        <v>0</v>
      </c>
      <c r="C982" s="9">
        <f t="array" ref="C982">COUNT(FIND("output",$D982:$CD982))</f>
        <v>0</v>
      </c>
    </row>
    <row r="983" spans="1:3" x14ac:dyDescent="0.25">
      <c r="A983" s="9" t="str">
        <f>IF(ISBLANK('Signal Definition'!J983),"",'Signal Definition'!J983)</f>
        <v/>
      </c>
      <c r="B983" s="9">
        <f t="array" ref="B983">COUNT(FIND("input",$D983:$CD983))</f>
        <v>0</v>
      </c>
      <c r="C983" s="9">
        <f t="array" ref="C983">COUNT(FIND("output",$D983:$CD983))</f>
        <v>0</v>
      </c>
    </row>
    <row r="984" spans="1:3" x14ac:dyDescent="0.25">
      <c r="A984" s="9" t="str">
        <f>IF(ISBLANK('Signal Definition'!J984),"",'Signal Definition'!J984)</f>
        <v/>
      </c>
      <c r="B984" s="9">
        <f t="array" ref="B984">COUNT(FIND("input",$D984:$CD984))</f>
        <v>0</v>
      </c>
      <c r="C984" s="9">
        <f t="array" ref="C984">COUNT(FIND("output",$D984:$CD984))</f>
        <v>0</v>
      </c>
    </row>
    <row r="985" spans="1:3" x14ac:dyDescent="0.25">
      <c r="A985" s="9" t="str">
        <f>IF(ISBLANK('Signal Definition'!J985),"",'Signal Definition'!J985)</f>
        <v/>
      </c>
      <c r="B985" s="9">
        <f t="array" ref="B985">COUNT(FIND("input",$D985:$CD985))</f>
        <v>0</v>
      </c>
      <c r="C985" s="9">
        <f t="array" ref="C985">COUNT(FIND("output",$D985:$CD985))</f>
        <v>0</v>
      </c>
    </row>
    <row r="986" spans="1:3" x14ac:dyDescent="0.25">
      <c r="A986" s="9" t="str">
        <f>IF(ISBLANK('Signal Definition'!J986),"",'Signal Definition'!J986)</f>
        <v/>
      </c>
      <c r="B986" s="9">
        <f t="array" ref="B986">COUNT(FIND("input",$D986:$CD986))</f>
        <v>0</v>
      </c>
      <c r="C986" s="9">
        <f t="array" ref="C986">COUNT(FIND("output",$D986:$CD986))</f>
        <v>0</v>
      </c>
    </row>
    <row r="987" spans="1:3" x14ac:dyDescent="0.25">
      <c r="A987" s="9" t="str">
        <f>IF(ISBLANK('Signal Definition'!J987),"",'Signal Definition'!J987)</f>
        <v/>
      </c>
      <c r="B987" s="9">
        <f t="array" ref="B987">COUNT(FIND("input",$D987:$CD987))</f>
        <v>0</v>
      </c>
      <c r="C987" s="9">
        <f t="array" ref="C987">COUNT(FIND("output",$D987:$CD987))</f>
        <v>0</v>
      </c>
    </row>
    <row r="988" spans="1:3" x14ac:dyDescent="0.25">
      <c r="A988" s="9" t="str">
        <f>IF(ISBLANK('Signal Definition'!J988),"",'Signal Definition'!J988)</f>
        <v/>
      </c>
      <c r="B988" s="9">
        <f t="array" ref="B988">COUNT(FIND("input",$D988:$CD988))</f>
        <v>0</v>
      </c>
      <c r="C988" s="9">
        <f t="array" ref="C988">COUNT(FIND("output",$D988:$CD988))</f>
        <v>0</v>
      </c>
    </row>
    <row r="989" spans="1:3" x14ac:dyDescent="0.25">
      <c r="A989" s="9" t="str">
        <f>IF(ISBLANK('Signal Definition'!J989),"",'Signal Definition'!J989)</f>
        <v/>
      </c>
      <c r="B989" s="9">
        <f t="array" ref="B989">COUNT(FIND("input",$D989:$CD989))</f>
        <v>0</v>
      </c>
      <c r="C989" s="9">
        <f t="array" ref="C989">COUNT(FIND("output",$D989:$CD989))</f>
        <v>0</v>
      </c>
    </row>
    <row r="990" spans="1:3" x14ac:dyDescent="0.25">
      <c r="A990" s="9" t="str">
        <f>IF(ISBLANK('Signal Definition'!J990),"",'Signal Definition'!J990)</f>
        <v/>
      </c>
      <c r="B990" s="9">
        <f t="array" ref="B990">COUNT(FIND("input",$D990:$CD990))</f>
        <v>0</v>
      </c>
      <c r="C990" s="9">
        <f t="array" ref="C990">COUNT(FIND("output",$D990:$CD990))</f>
        <v>0</v>
      </c>
    </row>
    <row r="991" spans="1:3" x14ac:dyDescent="0.25">
      <c r="A991" s="9" t="str">
        <f>IF(ISBLANK('Signal Definition'!J991),"",'Signal Definition'!J991)</f>
        <v/>
      </c>
      <c r="B991" s="9">
        <f t="array" ref="B991">COUNT(FIND("input",$D991:$CD991))</f>
        <v>0</v>
      </c>
      <c r="C991" s="9">
        <f t="array" ref="C991">COUNT(FIND("output",$D991:$CD991))</f>
        <v>0</v>
      </c>
    </row>
    <row r="992" spans="1:3" x14ac:dyDescent="0.25">
      <c r="A992" s="9" t="str">
        <f>IF(ISBLANK('Signal Definition'!J992),"",'Signal Definition'!J992)</f>
        <v/>
      </c>
      <c r="B992" s="9">
        <f t="array" ref="B992">COUNT(FIND("input",$D992:$CD992))</f>
        <v>0</v>
      </c>
      <c r="C992" s="9">
        <f t="array" ref="C992">COUNT(FIND("output",$D992:$CD992))</f>
        <v>0</v>
      </c>
    </row>
    <row r="993" spans="1:3" x14ac:dyDescent="0.25">
      <c r="A993" s="9" t="str">
        <f>IF(ISBLANK('Signal Definition'!J993),"",'Signal Definition'!J993)</f>
        <v/>
      </c>
      <c r="B993" s="9">
        <f t="array" ref="B993">COUNT(FIND("input",$D993:$CD993))</f>
        <v>0</v>
      </c>
      <c r="C993" s="9">
        <f t="array" ref="C993">COUNT(FIND("output",$D993:$CD993))</f>
        <v>0</v>
      </c>
    </row>
    <row r="994" spans="1:3" x14ac:dyDescent="0.25">
      <c r="A994" s="9" t="str">
        <f>IF(ISBLANK('Signal Definition'!J994),"",'Signal Definition'!J994)</f>
        <v/>
      </c>
      <c r="B994" s="9">
        <f t="array" ref="B994">COUNT(FIND("input",$D994:$CD994))</f>
        <v>0</v>
      </c>
      <c r="C994" s="9">
        <f t="array" ref="C994">COUNT(FIND("output",$D994:$CD994))</f>
        <v>0</v>
      </c>
    </row>
    <row r="995" spans="1:3" x14ac:dyDescent="0.25">
      <c r="A995" s="9" t="str">
        <f>IF(ISBLANK('Signal Definition'!J995),"",'Signal Definition'!J995)</f>
        <v/>
      </c>
      <c r="B995" s="9">
        <f t="array" ref="B995">COUNT(FIND("input",$D995:$CD995))</f>
        <v>0</v>
      </c>
      <c r="C995" s="9">
        <f t="array" ref="C995">COUNT(FIND("output",$D995:$CD995))</f>
        <v>0</v>
      </c>
    </row>
    <row r="996" spans="1:3" x14ac:dyDescent="0.25">
      <c r="A996" s="9" t="str">
        <f>IF(ISBLANK('Signal Definition'!J996),"",'Signal Definition'!J996)</f>
        <v/>
      </c>
      <c r="B996" s="9">
        <f t="array" ref="B996">COUNT(FIND("input",$D996:$CD996))</f>
        <v>0</v>
      </c>
      <c r="C996" s="9">
        <f t="array" ref="C996">COUNT(FIND("output",$D996:$CD996))</f>
        <v>0</v>
      </c>
    </row>
    <row r="997" spans="1:3" x14ac:dyDescent="0.25">
      <c r="A997" s="9" t="str">
        <f>IF(ISBLANK('Signal Definition'!J997),"",'Signal Definition'!J997)</f>
        <v/>
      </c>
      <c r="B997" s="9">
        <f t="array" ref="B997">COUNT(FIND("input",$D997:$CD997))</f>
        <v>0</v>
      </c>
      <c r="C997" s="9">
        <f t="array" ref="C997">COUNT(FIND("output",$D997:$CD997))</f>
        <v>0</v>
      </c>
    </row>
    <row r="998" spans="1:3" x14ac:dyDescent="0.25">
      <c r="A998" s="9" t="str">
        <f>IF(ISBLANK('Signal Definition'!J998),"",'Signal Definition'!J998)</f>
        <v/>
      </c>
      <c r="B998" s="9">
        <f t="array" ref="B998">COUNT(FIND("input",$D998:$CD998))</f>
        <v>0</v>
      </c>
      <c r="C998" s="9">
        <f t="array" ref="C998">COUNT(FIND("output",$D998:$CD998))</f>
        <v>0</v>
      </c>
    </row>
    <row r="999" spans="1:3" x14ac:dyDescent="0.25">
      <c r="A999" s="9" t="str">
        <f>IF(ISBLANK('Signal Definition'!J999),"",'Signal Definition'!J999)</f>
        <v/>
      </c>
      <c r="B999" s="9">
        <f t="array" ref="B999">COUNT(FIND("input",$D999:$CD999))</f>
        <v>0</v>
      </c>
      <c r="C999" s="9">
        <f t="array" ref="C999">COUNT(FIND("output",$D999:$CD999))</f>
        <v>0</v>
      </c>
    </row>
    <row r="1000" spans="1:3" x14ac:dyDescent="0.25">
      <c r="A1000" s="9" t="str">
        <f>IF(ISBLANK('Signal Definition'!J1000),"",'Signal Definition'!J1000)</f>
        <v/>
      </c>
      <c r="B1000" s="9">
        <f t="array" ref="B1000">COUNT(FIND("input",$D1000:$CD1000))</f>
        <v>0</v>
      </c>
      <c r="C1000" s="9">
        <f t="array" ref="C1000">COUNT(FIND("output",$D1000:$CD1000))</f>
        <v>0</v>
      </c>
    </row>
    <row r="1001" spans="1:3" x14ac:dyDescent="0.25">
      <c r="A1001" s="9" t="str">
        <f>IF(ISBLANK('Signal Definition'!J1001),"",'Signal Definition'!J1001)</f>
        <v/>
      </c>
      <c r="B1001" s="9">
        <f t="array" ref="B1001">COUNT(FIND("input",$D1001:$CD1001))</f>
        <v>0</v>
      </c>
      <c r="C1001" s="9">
        <f t="array" ref="C1001">COUNT(FIND("output",$D1001:$CD1001))</f>
        <v>0</v>
      </c>
    </row>
    <row r="1002" spans="1:3" x14ac:dyDescent="0.25">
      <c r="A1002" s="9" t="str">
        <f>IF(ISBLANK('Signal Definition'!J1002),"",'Signal Definition'!J1002)</f>
        <v/>
      </c>
      <c r="B1002" s="9">
        <f t="array" ref="B1002">COUNT(FIND("input",$D1002:$CD1002))</f>
        <v>0</v>
      </c>
      <c r="C1002" s="9">
        <f t="array" ref="C1002">COUNT(FIND("output",$D1002:$CD1002))</f>
        <v>0</v>
      </c>
    </row>
    <row r="1003" spans="1:3" x14ac:dyDescent="0.25">
      <c r="A1003" s="9" t="str">
        <f>IF(ISBLANK('Signal Definition'!J1003),"",'Signal Definition'!J1003)</f>
        <v/>
      </c>
      <c r="B1003" s="9">
        <f t="array" ref="B1003">COUNT(FIND("input",$D1003:$CD1003))</f>
        <v>0</v>
      </c>
      <c r="C1003" s="9">
        <f t="array" ref="C1003">COUNT(FIND("output",$D1003:$CD1003))</f>
        <v>0</v>
      </c>
    </row>
    <row r="1004" spans="1:3" x14ac:dyDescent="0.25">
      <c r="A1004" s="9" t="str">
        <f>IF(ISBLANK('Signal Definition'!J1004),"",'Signal Definition'!J1004)</f>
        <v/>
      </c>
      <c r="B1004" s="9">
        <f t="array" ref="B1004">COUNT(FIND("input",$D1004:$CD1004))</f>
        <v>0</v>
      </c>
      <c r="C1004" s="9">
        <f t="array" ref="C1004">COUNT(FIND("output",$D1004:$CD1004))</f>
        <v>0</v>
      </c>
    </row>
    <row r="1005" spans="1:3" x14ac:dyDescent="0.25">
      <c r="A1005" s="9" t="str">
        <f>IF(ISBLANK('Signal Definition'!J1005),"",'Signal Definition'!J1005)</f>
        <v/>
      </c>
      <c r="B1005" s="9">
        <f t="array" ref="B1005">COUNT(FIND("input",$D1005:$CD1005))</f>
        <v>0</v>
      </c>
      <c r="C1005" s="9">
        <f t="array" ref="C1005">COUNT(FIND("output",$D1005:$CD1005))</f>
        <v>0</v>
      </c>
    </row>
    <row r="1006" spans="1:3" x14ac:dyDescent="0.25">
      <c r="A1006" s="9" t="str">
        <f>IF(ISBLANK('Signal Definition'!J1006),"",'Signal Definition'!J1006)</f>
        <v/>
      </c>
      <c r="B1006" s="9">
        <f t="array" ref="B1006">COUNT(FIND("input",$D1006:$CD1006))</f>
        <v>0</v>
      </c>
      <c r="C1006" s="9">
        <f t="array" ref="C1006">COUNT(FIND("output",$D1006:$CD1006))</f>
        <v>0</v>
      </c>
    </row>
    <row r="1007" spans="1:3" x14ac:dyDescent="0.25">
      <c r="A1007" s="9" t="str">
        <f>IF(ISBLANK('Signal Definition'!J1007),"",'Signal Definition'!J1007)</f>
        <v/>
      </c>
      <c r="B1007" s="9">
        <f t="array" ref="B1007">COUNT(FIND("input",$D1007:$CD1007))</f>
        <v>0</v>
      </c>
      <c r="C1007" s="9">
        <f t="array" ref="C1007">COUNT(FIND("output",$D1007:$CD1007))</f>
        <v>0</v>
      </c>
    </row>
    <row r="1008" spans="1:3" x14ac:dyDescent="0.25">
      <c r="A1008" s="9" t="str">
        <f>IF(ISBLANK('Signal Definition'!J1008),"",'Signal Definition'!J1008)</f>
        <v/>
      </c>
      <c r="B1008" s="9">
        <f t="array" ref="B1008">COUNT(FIND("input",$D1008:$CD1008))</f>
        <v>0</v>
      </c>
      <c r="C1008" s="9">
        <f t="array" ref="C1008">COUNT(FIND("output",$D1008:$CD1008))</f>
        <v>0</v>
      </c>
    </row>
    <row r="1009" spans="1:3" x14ac:dyDescent="0.25">
      <c r="A1009" s="9" t="str">
        <f>IF(ISBLANK('Signal Definition'!J1009),"",'Signal Definition'!J1009)</f>
        <v/>
      </c>
      <c r="B1009" s="9">
        <f t="array" ref="B1009">COUNT(FIND("input",$D1009:$CD1009))</f>
        <v>0</v>
      </c>
      <c r="C1009" s="9">
        <f t="array" ref="C1009">COUNT(FIND("output",$D1009:$CD1009))</f>
        <v>0</v>
      </c>
    </row>
    <row r="1010" spans="1:3" x14ac:dyDescent="0.25">
      <c r="A1010" s="9" t="str">
        <f>IF(ISBLANK('Signal Definition'!J1010),"",'Signal Definition'!J1010)</f>
        <v/>
      </c>
      <c r="B1010" s="9">
        <f t="array" ref="B1010">COUNT(FIND("input",$D1010:$CD1010))</f>
        <v>0</v>
      </c>
      <c r="C1010" s="9">
        <f t="array" ref="C1010">COUNT(FIND("output",$D1010:$CD1010))</f>
        <v>0</v>
      </c>
    </row>
    <row r="1011" spans="1:3" x14ac:dyDescent="0.25">
      <c r="A1011" s="9" t="str">
        <f>IF(ISBLANK('Signal Definition'!J1011),"",'Signal Definition'!J1011)</f>
        <v/>
      </c>
      <c r="B1011" s="9">
        <f t="array" ref="B1011">COUNT(FIND("input",$D1011:$CD1011))</f>
        <v>0</v>
      </c>
      <c r="C1011" s="9">
        <f t="array" ref="C1011">COUNT(FIND("output",$D1011:$CD1011))</f>
        <v>0</v>
      </c>
    </row>
    <row r="1012" spans="1:3" x14ac:dyDescent="0.25">
      <c r="A1012" s="9" t="str">
        <f>IF(ISBLANK('Signal Definition'!J1012),"",'Signal Definition'!J1012)</f>
        <v/>
      </c>
      <c r="B1012" s="9">
        <f t="array" ref="B1012">COUNT(FIND("input",$D1012:$CD1012))</f>
        <v>0</v>
      </c>
      <c r="C1012" s="9">
        <f t="array" ref="C1012">COUNT(FIND("output",$D1012:$CD1012))</f>
        <v>0</v>
      </c>
    </row>
    <row r="1013" spans="1:3" x14ac:dyDescent="0.25">
      <c r="A1013" s="9" t="str">
        <f>IF(ISBLANK('Signal Definition'!J1013),"",'Signal Definition'!J1013)</f>
        <v/>
      </c>
      <c r="B1013" s="9">
        <f t="array" ref="B1013">COUNT(FIND("input",$D1013:$CD1013))</f>
        <v>0</v>
      </c>
      <c r="C1013" s="9">
        <f t="array" ref="C1013">COUNT(FIND("output",$D1013:$CD1013))</f>
        <v>0</v>
      </c>
    </row>
    <row r="1014" spans="1:3" x14ac:dyDescent="0.25">
      <c r="A1014" s="9" t="str">
        <f>IF(ISBLANK('Signal Definition'!J1014),"",'Signal Definition'!J1014)</f>
        <v/>
      </c>
      <c r="B1014" s="9">
        <f t="array" ref="B1014">COUNT(FIND("input",$D1014:$CD1014))</f>
        <v>0</v>
      </c>
      <c r="C1014" s="9">
        <f t="array" ref="C1014">COUNT(FIND("output",$D1014:$CD1014))</f>
        <v>0</v>
      </c>
    </row>
    <row r="1015" spans="1:3" x14ac:dyDescent="0.25">
      <c r="A1015" s="9" t="str">
        <f>IF(ISBLANK('Signal Definition'!J1015),"",'Signal Definition'!J1015)</f>
        <v/>
      </c>
      <c r="B1015" s="9">
        <f t="array" ref="B1015">COUNT(FIND("input",$D1015:$CD1015))</f>
        <v>0</v>
      </c>
      <c r="C1015" s="9">
        <f t="array" ref="C1015">COUNT(FIND("output",$D1015:$CD1015))</f>
        <v>0</v>
      </c>
    </row>
    <row r="1016" spans="1:3" x14ac:dyDescent="0.25">
      <c r="A1016" s="9" t="str">
        <f>IF(ISBLANK('Signal Definition'!J1016),"",'Signal Definition'!J1016)</f>
        <v/>
      </c>
      <c r="B1016" s="9">
        <f t="array" ref="B1016">COUNT(FIND("input",$D1016:$CD1016))</f>
        <v>0</v>
      </c>
      <c r="C1016" s="9">
        <f t="array" ref="C1016">COUNT(FIND("output",$D1016:$CD1016))</f>
        <v>0</v>
      </c>
    </row>
    <row r="1017" spans="1:3" x14ac:dyDescent="0.25">
      <c r="A1017" s="9" t="str">
        <f>IF(ISBLANK('Signal Definition'!J1017),"",'Signal Definition'!J1017)</f>
        <v/>
      </c>
      <c r="B1017" s="9">
        <f t="array" ref="B1017">COUNT(FIND("input",$D1017:$CD1017))</f>
        <v>0</v>
      </c>
      <c r="C1017" s="9">
        <f t="array" ref="C1017">COUNT(FIND("output",$D1017:$CD1017))</f>
        <v>0</v>
      </c>
    </row>
    <row r="1018" spans="1:3" x14ac:dyDescent="0.25">
      <c r="A1018" s="9" t="str">
        <f>IF(ISBLANK('Signal Definition'!J1018),"",'Signal Definition'!J1018)</f>
        <v/>
      </c>
      <c r="B1018" s="9">
        <f t="array" ref="B1018">COUNT(FIND("input",$D1018:$CD1018))</f>
        <v>0</v>
      </c>
      <c r="C1018" s="9">
        <f t="array" ref="C1018">COUNT(FIND("output",$D1018:$CD1018))</f>
        <v>0</v>
      </c>
    </row>
    <row r="1019" spans="1:3" x14ac:dyDescent="0.25">
      <c r="A1019" s="9" t="str">
        <f>IF(ISBLANK('Signal Definition'!J1019),"",'Signal Definition'!J1019)</f>
        <v/>
      </c>
      <c r="B1019" s="9">
        <f t="array" ref="B1019">COUNT(FIND("input",$D1019:$CD1019))</f>
        <v>0</v>
      </c>
      <c r="C1019" s="9">
        <f t="array" ref="C1019">COUNT(FIND("output",$D1019:$CD1019))</f>
        <v>0</v>
      </c>
    </row>
    <row r="1020" spans="1:3" x14ac:dyDescent="0.25">
      <c r="A1020" s="9" t="str">
        <f>IF(ISBLANK('Signal Definition'!J1020),"",'Signal Definition'!J1020)</f>
        <v/>
      </c>
      <c r="B1020" s="9">
        <f t="array" ref="B1020">COUNT(FIND("input",$D1020:$CD1020))</f>
        <v>0</v>
      </c>
      <c r="C1020" s="9">
        <f t="array" ref="C1020">COUNT(FIND("output",$D1020:$CD1020))</f>
        <v>0</v>
      </c>
    </row>
    <row r="1021" spans="1:3" x14ac:dyDescent="0.25">
      <c r="A1021" s="9" t="str">
        <f>IF(ISBLANK('Signal Definition'!J1021),"",'Signal Definition'!J1021)</f>
        <v/>
      </c>
      <c r="B1021" s="9">
        <f t="array" ref="B1021">COUNT(FIND("input",$D1021:$CD1021))</f>
        <v>0</v>
      </c>
      <c r="C1021" s="9">
        <f t="array" ref="C1021">COUNT(FIND("output",$D1021:$CD1021))</f>
        <v>0</v>
      </c>
    </row>
    <row r="1022" spans="1:3" x14ac:dyDescent="0.25">
      <c r="A1022" s="9" t="str">
        <f>IF(ISBLANK('Signal Definition'!J1022),"",'Signal Definition'!J1022)</f>
        <v/>
      </c>
      <c r="B1022" s="9">
        <f t="array" ref="B1022">COUNT(FIND("input",$D1022:$CD1022))</f>
        <v>0</v>
      </c>
      <c r="C1022" s="9">
        <f t="array" ref="C1022">COUNT(FIND("output",$D1022:$CD1022))</f>
        <v>0</v>
      </c>
    </row>
    <row r="1023" spans="1:3" x14ac:dyDescent="0.25">
      <c r="A1023" s="9" t="str">
        <f>IF(ISBLANK('Signal Definition'!J1023),"",'Signal Definition'!J1023)</f>
        <v/>
      </c>
      <c r="B1023" s="9">
        <f t="array" ref="B1023">COUNT(FIND("input",$D1023:$CD1023))</f>
        <v>0</v>
      </c>
      <c r="C1023" s="9">
        <f t="array" ref="C1023">COUNT(FIND("output",$D1023:$CD1023))</f>
        <v>0</v>
      </c>
    </row>
    <row r="1024" spans="1:3" x14ac:dyDescent="0.25">
      <c r="A1024" s="9" t="str">
        <f>IF(ISBLANK('Signal Definition'!J1024),"",'Signal Definition'!J1024)</f>
        <v/>
      </c>
      <c r="B1024" s="9">
        <f t="array" ref="B1024">COUNT(FIND("input",$D1024:$CD1024))</f>
        <v>0</v>
      </c>
      <c r="C1024" s="9">
        <f t="array" ref="C1024">COUNT(FIND("output",$D1024:$CD1024))</f>
        <v>0</v>
      </c>
    </row>
    <row r="1025" spans="1:3" x14ac:dyDescent="0.25">
      <c r="A1025" s="9" t="str">
        <f>IF(ISBLANK('Signal Definition'!J1025),"",'Signal Definition'!J1025)</f>
        <v/>
      </c>
      <c r="B1025" s="9">
        <f t="array" ref="B1025">COUNT(FIND("input",$D1025:$CD1025))</f>
        <v>0</v>
      </c>
      <c r="C1025" s="9">
        <f t="array" ref="C1025">COUNT(FIND("output",$D1025:$CD1025))</f>
        <v>0</v>
      </c>
    </row>
    <row r="1026" spans="1:3" x14ac:dyDescent="0.25">
      <c r="A1026" s="9" t="str">
        <f>IF(ISBLANK('Signal Definition'!J1026),"",'Signal Definition'!J1026)</f>
        <v/>
      </c>
      <c r="B1026" s="9">
        <f t="array" ref="B1026">COUNT(FIND("input",$D1026:$CD1026))</f>
        <v>0</v>
      </c>
      <c r="C1026" s="9">
        <f t="array" ref="C1026">COUNT(FIND("output",$D1026:$CD1026))</f>
        <v>0</v>
      </c>
    </row>
    <row r="1027" spans="1:3" x14ac:dyDescent="0.25">
      <c r="A1027" s="9" t="str">
        <f>IF(ISBLANK('Signal Definition'!J1027),"",'Signal Definition'!J1027)</f>
        <v/>
      </c>
      <c r="B1027" s="9">
        <f t="array" ref="B1027">COUNT(FIND("input",$D1027:$CD1027))</f>
        <v>0</v>
      </c>
      <c r="C1027" s="9">
        <f t="array" ref="C1027">COUNT(FIND("output",$D1027:$CD1027))</f>
        <v>0</v>
      </c>
    </row>
    <row r="1028" spans="1:3" x14ac:dyDescent="0.25">
      <c r="A1028" s="9" t="str">
        <f>IF(ISBLANK('Signal Definition'!J1028),"",'Signal Definition'!J1028)</f>
        <v/>
      </c>
      <c r="B1028" s="9">
        <f t="array" ref="B1028">COUNT(FIND("input",$D1028:$CD1028))</f>
        <v>0</v>
      </c>
      <c r="C1028" s="9">
        <f t="array" ref="C1028">COUNT(FIND("output",$D1028:$CD1028))</f>
        <v>0</v>
      </c>
    </row>
    <row r="1029" spans="1:3" x14ac:dyDescent="0.25">
      <c r="A1029" s="9" t="str">
        <f>IF(ISBLANK('Signal Definition'!J1029),"",'Signal Definition'!J1029)</f>
        <v/>
      </c>
      <c r="B1029" s="9">
        <f t="array" ref="B1029">COUNT(FIND("input",$D1029:$CD1029))</f>
        <v>0</v>
      </c>
      <c r="C1029" s="9">
        <f t="array" ref="C1029">COUNT(FIND("output",$D1029:$CD1029))</f>
        <v>0</v>
      </c>
    </row>
    <row r="1030" spans="1:3" x14ac:dyDescent="0.25">
      <c r="A1030" s="9" t="str">
        <f>IF(ISBLANK('Signal Definition'!J1030),"",'Signal Definition'!J1030)</f>
        <v/>
      </c>
      <c r="B1030" s="9">
        <f t="array" ref="B1030">COUNT(FIND("input",$D1030:$CD1030))</f>
        <v>0</v>
      </c>
      <c r="C1030" s="9">
        <f t="array" ref="C1030">COUNT(FIND("output",$D1030:$CD1030))</f>
        <v>0</v>
      </c>
    </row>
    <row r="1031" spans="1:3" x14ac:dyDescent="0.25">
      <c r="A1031" s="9" t="str">
        <f>IF(ISBLANK('Signal Definition'!J1031),"",'Signal Definition'!J1031)</f>
        <v/>
      </c>
      <c r="B1031" s="9">
        <f t="array" ref="B1031">COUNT(FIND("input",$D1031:$CD1031))</f>
        <v>0</v>
      </c>
      <c r="C1031" s="9">
        <f t="array" ref="C1031">COUNT(FIND("output",$D1031:$CD1031))</f>
        <v>0</v>
      </c>
    </row>
    <row r="1032" spans="1:3" x14ac:dyDescent="0.25">
      <c r="A1032" s="9" t="str">
        <f>IF(ISBLANK('Signal Definition'!J1032),"",'Signal Definition'!J1032)</f>
        <v/>
      </c>
      <c r="B1032" s="9">
        <f t="array" ref="B1032">COUNT(FIND("input",$D1032:$CD1032))</f>
        <v>0</v>
      </c>
      <c r="C1032" s="9">
        <f t="array" ref="C1032">COUNT(FIND("output",$D1032:$CD1032))</f>
        <v>0</v>
      </c>
    </row>
    <row r="1033" spans="1:3" x14ac:dyDescent="0.25">
      <c r="A1033" s="9" t="str">
        <f>IF(ISBLANK('Signal Definition'!J1033),"",'Signal Definition'!J1033)</f>
        <v/>
      </c>
      <c r="B1033" s="9">
        <f t="array" ref="B1033">COUNT(FIND("input",$D1033:$CD1033))</f>
        <v>0</v>
      </c>
      <c r="C1033" s="9">
        <f t="array" ref="C1033">COUNT(FIND("output",$D1033:$CD1033))</f>
        <v>0</v>
      </c>
    </row>
    <row r="1034" spans="1:3" x14ac:dyDescent="0.25">
      <c r="A1034" s="9" t="str">
        <f>IF(ISBLANK('Signal Definition'!J1034),"",'Signal Definition'!J1034)</f>
        <v/>
      </c>
      <c r="B1034" s="9">
        <f t="array" ref="B1034">COUNT(FIND("input",$D1034:$CD1034))</f>
        <v>0</v>
      </c>
      <c r="C1034" s="9">
        <f t="array" ref="C1034">COUNT(FIND("output",$D1034:$CD1034))</f>
        <v>0</v>
      </c>
    </row>
    <row r="1035" spans="1:3" x14ac:dyDescent="0.25">
      <c r="A1035" s="9" t="str">
        <f>IF(ISBLANK('Signal Definition'!J1035),"",'Signal Definition'!J1035)</f>
        <v/>
      </c>
      <c r="B1035" s="9">
        <f t="array" ref="B1035">COUNT(FIND("input",$D1035:$CD1035))</f>
        <v>0</v>
      </c>
      <c r="C1035" s="9">
        <f t="array" ref="C1035">COUNT(FIND("output",$D1035:$CD1035))</f>
        <v>0</v>
      </c>
    </row>
    <row r="1036" spans="1:3" x14ac:dyDescent="0.25">
      <c r="A1036" s="9" t="str">
        <f>IF(ISBLANK('Signal Definition'!J1036),"",'Signal Definition'!J1036)</f>
        <v/>
      </c>
      <c r="B1036" s="9">
        <f t="array" ref="B1036">COUNT(FIND("input",$D1036:$CD1036))</f>
        <v>0</v>
      </c>
      <c r="C1036" s="9">
        <f t="array" ref="C1036">COUNT(FIND("output",$D1036:$CD1036))</f>
        <v>0</v>
      </c>
    </row>
    <row r="1037" spans="1:3" x14ac:dyDescent="0.25">
      <c r="A1037" s="9" t="str">
        <f>IF(ISBLANK('Signal Definition'!J1037),"",'Signal Definition'!J1037)</f>
        <v/>
      </c>
      <c r="B1037" s="9">
        <f t="array" ref="B1037">COUNT(FIND("input",$D1037:$CD1037))</f>
        <v>0</v>
      </c>
      <c r="C1037" s="9">
        <f t="array" ref="C1037">COUNT(FIND("output",$D1037:$CD1037))</f>
        <v>0</v>
      </c>
    </row>
    <row r="1038" spans="1:3" x14ac:dyDescent="0.25">
      <c r="A1038" s="9" t="str">
        <f>IF(ISBLANK('Signal Definition'!J1038),"",'Signal Definition'!J1038)</f>
        <v/>
      </c>
      <c r="B1038" s="9">
        <f t="array" ref="B1038">COUNT(FIND("input",$D1038:$CD1038))</f>
        <v>0</v>
      </c>
      <c r="C1038" s="9">
        <f t="array" ref="C1038">COUNT(FIND("output",$D1038:$CD1038))</f>
        <v>0</v>
      </c>
    </row>
    <row r="1039" spans="1:3" x14ac:dyDescent="0.25">
      <c r="A1039" s="9" t="str">
        <f>IF(ISBLANK('Signal Definition'!J1039),"",'Signal Definition'!J1039)</f>
        <v/>
      </c>
      <c r="B1039" s="9">
        <f t="array" ref="B1039">COUNT(FIND("input",$D1039:$CD1039))</f>
        <v>0</v>
      </c>
      <c r="C1039" s="9">
        <f t="array" ref="C1039">COUNT(FIND("output",$D1039:$CD1039))</f>
        <v>0</v>
      </c>
    </row>
    <row r="1040" spans="1:3" x14ac:dyDescent="0.25">
      <c r="A1040" s="9" t="str">
        <f>IF(ISBLANK('Signal Definition'!J1040),"",'Signal Definition'!J1040)</f>
        <v/>
      </c>
      <c r="B1040" s="9">
        <f t="array" ref="B1040">COUNT(FIND("input",$D1040:$CD1040))</f>
        <v>0</v>
      </c>
      <c r="C1040" s="9">
        <f t="array" ref="C1040">COUNT(FIND("output",$D1040:$CD1040))</f>
        <v>0</v>
      </c>
    </row>
    <row r="1041" spans="1:3" x14ac:dyDescent="0.25">
      <c r="A1041" s="9" t="str">
        <f>IF(ISBLANK('Signal Definition'!J1041),"",'Signal Definition'!J1041)</f>
        <v/>
      </c>
      <c r="B1041" s="9">
        <f t="array" ref="B1041">COUNT(FIND("input",$D1041:$CD1041))</f>
        <v>0</v>
      </c>
      <c r="C1041" s="9">
        <f t="array" ref="C1041">COUNT(FIND("output",$D1041:$CD1041))</f>
        <v>0</v>
      </c>
    </row>
    <row r="1042" spans="1:3" x14ac:dyDescent="0.25">
      <c r="A1042" s="9" t="str">
        <f>IF(ISBLANK('Signal Definition'!J1042),"",'Signal Definition'!J1042)</f>
        <v/>
      </c>
      <c r="B1042" s="9">
        <f t="array" ref="B1042">COUNT(FIND("input",$D1042:$CD1042))</f>
        <v>0</v>
      </c>
      <c r="C1042" s="9">
        <f t="array" ref="C1042">COUNT(FIND("output",$D1042:$CD1042))</f>
        <v>0</v>
      </c>
    </row>
    <row r="1043" spans="1:3" x14ac:dyDescent="0.25">
      <c r="A1043" s="9" t="str">
        <f>IF(ISBLANK('Signal Definition'!J1043),"",'Signal Definition'!J1043)</f>
        <v/>
      </c>
      <c r="B1043" s="9">
        <f t="array" ref="B1043">COUNT(FIND("input",$D1043:$CD1043))</f>
        <v>0</v>
      </c>
      <c r="C1043" s="9">
        <f t="array" ref="C1043">COUNT(FIND("output",$D1043:$CD1043))</f>
        <v>0</v>
      </c>
    </row>
    <row r="1044" spans="1:3" x14ac:dyDescent="0.25">
      <c r="A1044" s="9" t="str">
        <f>IF(ISBLANK('Signal Definition'!J1044),"",'Signal Definition'!J1044)</f>
        <v/>
      </c>
      <c r="B1044" s="9">
        <f t="array" ref="B1044">COUNT(FIND("input",$D1044:$CD1044))</f>
        <v>0</v>
      </c>
      <c r="C1044" s="9">
        <f t="array" ref="C1044">COUNT(FIND("output",$D1044:$CD1044))</f>
        <v>0</v>
      </c>
    </row>
    <row r="1045" spans="1:3" x14ac:dyDescent="0.25">
      <c r="A1045" s="9" t="str">
        <f>IF(ISBLANK('Signal Definition'!J1045),"",'Signal Definition'!J1045)</f>
        <v/>
      </c>
      <c r="B1045" s="9">
        <f t="array" ref="B1045">COUNT(FIND("input",$D1045:$CD1045))</f>
        <v>0</v>
      </c>
      <c r="C1045" s="9">
        <f t="array" ref="C1045">COUNT(FIND("output",$D1045:$CD1045))</f>
        <v>0</v>
      </c>
    </row>
    <row r="1046" spans="1:3" x14ac:dyDescent="0.25">
      <c r="A1046" s="9" t="str">
        <f>IF(ISBLANK('Signal Definition'!J1046),"",'Signal Definition'!J1046)</f>
        <v/>
      </c>
      <c r="B1046" s="9">
        <f t="array" ref="B1046">COUNT(FIND("input",$D1046:$CD1046))</f>
        <v>0</v>
      </c>
      <c r="C1046" s="9">
        <f t="array" ref="C1046">COUNT(FIND("output",$D1046:$CD1046))</f>
        <v>0</v>
      </c>
    </row>
    <row r="1047" spans="1:3" x14ac:dyDescent="0.25">
      <c r="A1047" s="9" t="str">
        <f>IF(ISBLANK('Signal Definition'!J1047),"",'Signal Definition'!J1047)</f>
        <v/>
      </c>
      <c r="B1047" s="9">
        <f t="array" ref="B1047">COUNT(FIND("input",$D1047:$CD1047))</f>
        <v>0</v>
      </c>
      <c r="C1047" s="9">
        <f t="array" ref="C1047">COUNT(FIND("output",$D1047:$CD1047))</f>
        <v>0</v>
      </c>
    </row>
    <row r="1048" spans="1:3" x14ac:dyDescent="0.25">
      <c r="A1048" s="9" t="str">
        <f>IF(ISBLANK('Signal Definition'!J1048),"",'Signal Definition'!J1048)</f>
        <v/>
      </c>
      <c r="B1048" s="9">
        <f t="array" ref="B1048">COUNT(FIND("input",$D1048:$CD1048))</f>
        <v>0</v>
      </c>
      <c r="C1048" s="9">
        <f t="array" ref="C1048">COUNT(FIND("output",$D1048:$CD1048))</f>
        <v>0</v>
      </c>
    </row>
    <row r="1049" spans="1:3" x14ac:dyDescent="0.25">
      <c r="A1049" s="9" t="str">
        <f>IF(ISBLANK('Signal Definition'!J1049),"",'Signal Definition'!J1049)</f>
        <v/>
      </c>
      <c r="B1049" s="9">
        <f t="array" ref="B1049">COUNT(FIND("input",$D1049:$CD1049))</f>
        <v>0</v>
      </c>
      <c r="C1049" s="9">
        <f t="array" ref="C1049">COUNT(FIND("output",$D1049:$CD1049))</f>
        <v>0</v>
      </c>
    </row>
    <row r="1050" spans="1:3" x14ac:dyDescent="0.25">
      <c r="A1050" s="9" t="str">
        <f>IF(ISBLANK('Signal Definition'!J1050),"",'Signal Definition'!J1050)</f>
        <v/>
      </c>
      <c r="B1050" s="9">
        <f t="array" ref="B1050">COUNT(FIND("input",$D1050:$CD1050))</f>
        <v>0</v>
      </c>
      <c r="C1050" s="9">
        <f t="array" ref="C1050">COUNT(FIND("output",$D1050:$CD1050))</f>
        <v>0</v>
      </c>
    </row>
    <row r="1051" spans="1:3" x14ac:dyDescent="0.25">
      <c r="A1051" s="9" t="str">
        <f>IF(ISBLANK('Signal Definition'!J1051),"",'Signal Definition'!J1051)</f>
        <v/>
      </c>
      <c r="B1051" s="9">
        <f t="array" ref="B1051">COUNT(FIND("input",$D1051:$CD1051))</f>
        <v>0</v>
      </c>
      <c r="C1051" s="9">
        <f t="array" ref="C1051">COUNT(FIND("output",$D1051:$CD1051))</f>
        <v>0</v>
      </c>
    </row>
    <row r="1052" spans="1:3" x14ac:dyDescent="0.25">
      <c r="A1052" s="9" t="str">
        <f>IF(ISBLANK('Signal Definition'!J1052),"",'Signal Definition'!J1052)</f>
        <v/>
      </c>
      <c r="B1052" s="9">
        <f t="array" ref="B1052">COUNT(FIND("input",$D1052:$CD1052))</f>
        <v>0</v>
      </c>
      <c r="C1052" s="9">
        <f t="array" ref="C1052">COUNT(FIND("output",$D1052:$CD1052))</f>
        <v>0</v>
      </c>
    </row>
    <row r="1053" spans="1:3" x14ac:dyDescent="0.25">
      <c r="A1053" s="9" t="str">
        <f>IF(ISBLANK('Signal Definition'!J1053),"",'Signal Definition'!J1053)</f>
        <v/>
      </c>
      <c r="B1053" s="9">
        <f t="array" ref="B1053">COUNT(FIND("input",$D1053:$CD1053))</f>
        <v>0</v>
      </c>
      <c r="C1053" s="9">
        <f t="array" ref="C1053">COUNT(FIND("output",$D1053:$CD1053))</f>
        <v>0</v>
      </c>
    </row>
    <row r="1054" spans="1:3" x14ac:dyDescent="0.25">
      <c r="A1054" s="9" t="str">
        <f>IF(ISBLANK('Signal Definition'!J1054),"",'Signal Definition'!J1054)</f>
        <v/>
      </c>
      <c r="B1054" s="9">
        <f t="array" ref="B1054">COUNT(FIND("input",$D1054:$CD1054))</f>
        <v>0</v>
      </c>
      <c r="C1054" s="9">
        <f t="array" ref="C1054">COUNT(FIND("output",$D1054:$CD1054))</f>
        <v>0</v>
      </c>
    </row>
    <row r="1055" spans="1:3" x14ac:dyDescent="0.25">
      <c r="A1055" s="9" t="str">
        <f>IF(ISBLANK('Signal Definition'!J1055),"",'Signal Definition'!J1055)</f>
        <v/>
      </c>
      <c r="B1055" s="9">
        <f t="array" ref="B1055">COUNT(FIND("input",$D1055:$CD1055))</f>
        <v>0</v>
      </c>
      <c r="C1055" s="9">
        <f t="array" ref="C1055">COUNT(FIND("output",$D1055:$CD1055))</f>
        <v>0</v>
      </c>
    </row>
    <row r="1056" spans="1:3" x14ac:dyDescent="0.25">
      <c r="A1056" s="9" t="str">
        <f>IF(ISBLANK('Signal Definition'!J1056),"",'Signal Definition'!J1056)</f>
        <v/>
      </c>
      <c r="B1056" s="9">
        <f t="array" ref="B1056">COUNT(FIND("input",$D1056:$CD1056))</f>
        <v>0</v>
      </c>
      <c r="C1056" s="9">
        <f t="array" ref="C1056">COUNT(FIND("output",$D1056:$CD1056))</f>
        <v>0</v>
      </c>
    </row>
    <row r="1057" spans="1:3" x14ac:dyDescent="0.25">
      <c r="A1057" s="9" t="str">
        <f>IF(ISBLANK('Signal Definition'!J1057),"",'Signal Definition'!J1057)</f>
        <v/>
      </c>
      <c r="B1057" s="9">
        <f t="array" ref="B1057">COUNT(FIND("input",$D1057:$CD1057))</f>
        <v>0</v>
      </c>
      <c r="C1057" s="9">
        <f t="array" ref="C1057">COUNT(FIND("output",$D1057:$CD1057))</f>
        <v>0</v>
      </c>
    </row>
    <row r="1058" spans="1:3" x14ac:dyDescent="0.25">
      <c r="A1058" s="9" t="str">
        <f>IF(ISBLANK('Signal Definition'!J1058),"",'Signal Definition'!J1058)</f>
        <v/>
      </c>
      <c r="B1058" s="9">
        <f t="array" ref="B1058">COUNT(FIND("input",$D1058:$CD1058))</f>
        <v>0</v>
      </c>
      <c r="C1058" s="9">
        <f t="array" ref="C1058">COUNT(FIND("output",$D1058:$CD1058))</f>
        <v>0</v>
      </c>
    </row>
    <row r="1059" spans="1:3" x14ac:dyDescent="0.25">
      <c r="A1059" s="9" t="str">
        <f>IF(ISBLANK('Signal Definition'!J1059),"",'Signal Definition'!J1059)</f>
        <v/>
      </c>
      <c r="B1059" s="9">
        <f t="array" ref="B1059">COUNT(FIND("input",$D1059:$CD1059))</f>
        <v>0</v>
      </c>
      <c r="C1059" s="9">
        <f t="array" ref="C1059">COUNT(FIND("output",$D1059:$CD1059))</f>
        <v>0</v>
      </c>
    </row>
    <row r="1060" spans="1:3" x14ac:dyDescent="0.25">
      <c r="A1060" s="9" t="str">
        <f>IF(ISBLANK('Signal Definition'!J1060),"",'Signal Definition'!J1060)</f>
        <v/>
      </c>
      <c r="B1060" s="9">
        <f t="array" ref="B1060">COUNT(FIND("input",$D1060:$CD1060))</f>
        <v>0</v>
      </c>
      <c r="C1060" s="9">
        <f t="array" ref="C1060">COUNT(FIND("output",$D1060:$CD1060))</f>
        <v>0</v>
      </c>
    </row>
    <row r="1061" spans="1:3" x14ac:dyDescent="0.25">
      <c r="A1061" s="9" t="str">
        <f>IF(ISBLANK('Signal Definition'!J1061),"",'Signal Definition'!J1061)</f>
        <v/>
      </c>
      <c r="B1061" s="9">
        <f t="array" ref="B1061">COUNT(FIND("input",$D1061:$CD1061))</f>
        <v>0</v>
      </c>
      <c r="C1061" s="9">
        <f t="array" ref="C1061">COUNT(FIND("output",$D1061:$CD1061))</f>
        <v>0</v>
      </c>
    </row>
    <row r="1062" spans="1:3" x14ac:dyDescent="0.25">
      <c r="A1062" s="9" t="str">
        <f>IF(ISBLANK('Signal Definition'!J1062),"",'Signal Definition'!J1062)</f>
        <v/>
      </c>
      <c r="B1062" s="9">
        <f t="array" ref="B1062">COUNT(FIND("input",$D1062:$CD1062))</f>
        <v>0</v>
      </c>
      <c r="C1062" s="9">
        <f t="array" ref="C1062">COUNT(FIND("output",$D1062:$CD1062))</f>
        <v>0</v>
      </c>
    </row>
    <row r="1063" spans="1:3" x14ac:dyDescent="0.25">
      <c r="A1063" s="9" t="str">
        <f>IF(ISBLANK('Signal Definition'!J1063),"",'Signal Definition'!J1063)</f>
        <v/>
      </c>
      <c r="B1063" s="9">
        <f t="array" ref="B1063">COUNT(FIND("input",$D1063:$CD1063))</f>
        <v>0</v>
      </c>
      <c r="C1063" s="9">
        <f t="array" ref="C1063">COUNT(FIND("output",$D1063:$CD1063))</f>
        <v>0</v>
      </c>
    </row>
    <row r="1064" spans="1:3" x14ac:dyDescent="0.25">
      <c r="A1064" s="9" t="str">
        <f>IF(ISBLANK('Signal Definition'!J1064),"",'Signal Definition'!J1064)</f>
        <v/>
      </c>
      <c r="B1064" s="9">
        <f t="array" ref="B1064">COUNT(FIND("input",$D1064:$CD1064))</f>
        <v>0</v>
      </c>
      <c r="C1064" s="9">
        <f t="array" ref="C1064">COUNT(FIND("output",$D1064:$CD1064))</f>
        <v>0</v>
      </c>
    </row>
    <row r="1065" spans="1:3" x14ac:dyDescent="0.25">
      <c r="A1065" s="9" t="str">
        <f>IF(ISBLANK('Signal Definition'!J1065),"",'Signal Definition'!J1065)</f>
        <v/>
      </c>
      <c r="B1065" s="9">
        <f t="array" ref="B1065">COUNT(FIND("input",$D1065:$CD1065))</f>
        <v>0</v>
      </c>
      <c r="C1065" s="9">
        <f t="array" ref="C1065">COUNT(FIND("output",$D1065:$CD1065))</f>
        <v>0</v>
      </c>
    </row>
    <row r="1066" spans="1:3" x14ac:dyDescent="0.25">
      <c r="A1066" s="9" t="str">
        <f>IF(ISBLANK('Signal Definition'!J1066),"",'Signal Definition'!J1066)</f>
        <v/>
      </c>
      <c r="B1066" s="9">
        <f t="array" ref="B1066">COUNT(FIND("input",$D1066:$CD1066))</f>
        <v>0</v>
      </c>
      <c r="C1066" s="9">
        <f t="array" ref="C1066">COUNT(FIND("output",$D1066:$CD1066))</f>
        <v>0</v>
      </c>
    </row>
    <row r="1067" spans="1:3" x14ac:dyDescent="0.25">
      <c r="A1067" s="9" t="str">
        <f>IF(ISBLANK('Signal Definition'!J1067),"",'Signal Definition'!J1067)</f>
        <v/>
      </c>
      <c r="B1067" s="9">
        <f t="array" ref="B1067">COUNT(FIND("input",$D1067:$CD1067))</f>
        <v>0</v>
      </c>
      <c r="C1067" s="9">
        <f t="array" ref="C1067">COUNT(FIND("output",$D1067:$CD1067))</f>
        <v>0</v>
      </c>
    </row>
    <row r="1068" spans="1:3" x14ac:dyDescent="0.25">
      <c r="A1068" s="9" t="str">
        <f>IF(ISBLANK('Signal Definition'!J1068),"",'Signal Definition'!J1068)</f>
        <v/>
      </c>
      <c r="B1068" s="9">
        <f t="array" ref="B1068">COUNT(FIND("input",$D1068:$CD1068))</f>
        <v>0</v>
      </c>
      <c r="C1068" s="9">
        <f t="array" ref="C1068">COUNT(FIND("output",$D1068:$CD1068))</f>
        <v>0</v>
      </c>
    </row>
    <row r="1069" spans="1:3" x14ac:dyDescent="0.25">
      <c r="A1069" s="9" t="str">
        <f>IF(ISBLANK('Signal Definition'!J1069),"",'Signal Definition'!J1069)</f>
        <v/>
      </c>
      <c r="B1069" s="9">
        <f t="array" ref="B1069">COUNT(FIND("input",$D1069:$CD1069))</f>
        <v>0</v>
      </c>
      <c r="C1069" s="9">
        <f t="array" ref="C1069">COUNT(FIND("output",$D1069:$CD1069))</f>
        <v>0</v>
      </c>
    </row>
    <row r="1070" spans="1:3" x14ac:dyDescent="0.25">
      <c r="A1070" s="9" t="str">
        <f>IF(ISBLANK('Signal Definition'!J1070),"",'Signal Definition'!J1070)</f>
        <v/>
      </c>
      <c r="B1070" s="9">
        <f t="array" ref="B1070">COUNT(FIND("input",$D1070:$CD1070))</f>
        <v>0</v>
      </c>
      <c r="C1070" s="9">
        <f t="array" ref="C1070">COUNT(FIND("output",$D1070:$CD1070))</f>
        <v>0</v>
      </c>
    </row>
    <row r="1071" spans="1:3" x14ac:dyDescent="0.25">
      <c r="A1071" s="9" t="str">
        <f>IF(ISBLANK('Signal Definition'!J1071),"",'Signal Definition'!J1071)</f>
        <v/>
      </c>
      <c r="B1071" s="9">
        <f t="array" ref="B1071">COUNT(FIND("input",$D1071:$CD1071))</f>
        <v>0</v>
      </c>
      <c r="C1071" s="9">
        <f t="array" ref="C1071">COUNT(FIND("output",$D1071:$CD1071))</f>
        <v>0</v>
      </c>
    </row>
    <row r="1072" spans="1:3" x14ac:dyDescent="0.25">
      <c r="A1072" s="9" t="str">
        <f>IF(ISBLANK('Signal Definition'!J1072),"",'Signal Definition'!J1072)</f>
        <v/>
      </c>
      <c r="B1072" s="9">
        <f t="array" ref="B1072">COUNT(FIND("input",$D1072:$CD1072))</f>
        <v>0</v>
      </c>
      <c r="C1072" s="9">
        <f t="array" ref="C1072">COUNT(FIND("output",$D1072:$CD1072))</f>
        <v>0</v>
      </c>
    </row>
    <row r="1073" spans="1:3" x14ac:dyDescent="0.25">
      <c r="A1073" s="9" t="str">
        <f>IF(ISBLANK('Signal Definition'!J1073),"",'Signal Definition'!J1073)</f>
        <v/>
      </c>
      <c r="B1073" s="9">
        <f t="array" ref="B1073">COUNT(FIND("input",$D1073:$CD1073))</f>
        <v>0</v>
      </c>
      <c r="C1073" s="9">
        <f t="array" ref="C1073">COUNT(FIND("output",$D1073:$CD1073))</f>
        <v>0</v>
      </c>
    </row>
    <row r="1074" spans="1:3" x14ac:dyDescent="0.25">
      <c r="A1074" s="9" t="str">
        <f>IF(ISBLANK('Signal Definition'!J1074),"",'Signal Definition'!J1074)</f>
        <v/>
      </c>
      <c r="B1074" s="9">
        <f t="array" ref="B1074">COUNT(FIND("input",$D1074:$CD1074))</f>
        <v>0</v>
      </c>
      <c r="C1074" s="9">
        <f t="array" ref="C1074">COUNT(FIND("output",$D1074:$CD1074))</f>
        <v>0</v>
      </c>
    </row>
    <row r="1075" spans="1:3" x14ac:dyDescent="0.25">
      <c r="A1075" s="9" t="str">
        <f>IF(ISBLANK('Signal Definition'!J1075),"",'Signal Definition'!J1075)</f>
        <v/>
      </c>
      <c r="B1075" s="9">
        <f t="array" ref="B1075">COUNT(FIND("input",$D1075:$CD1075))</f>
        <v>0</v>
      </c>
      <c r="C1075" s="9">
        <f t="array" ref="C1075">COUNT(FIND("output",$D1075:$CD1075))</f>
        <v>0</v>
      </c>
    </row>
    <row r="1076" spans="1:3" x14ac:dyDescent="0.25">
      <c r="A1076" s="9" t="str">
        <f>IF(ISBLANK('Signal Definition'!J1076),"",'Signal Definition'!J1076)</f>
        <v/>
      </c>
      <c r="B1076" s="9">
        <f t="array" ref="B1076">COUNT(FIND("input",$D1076:$CD1076))</f>
        <v>0</v>
      </c>
      <c r="C1076" s="9">
        <f t="array" ref="C1076">COUNT(FIND("output",$D1076:$CD1076))</f>
        <v>0</v>
      </c>
    </row>
    <row r="1077" spans="1:3" x14ac:dyDescent="0.25">
      <c r="A1077" s="9" t="str">
        <f>IF(ISBLANK('Signal Definition'!J1077),"",'Signal Definition'!J1077)</f>
        <v/>
      </c>
      <c r="B1077" s="9">
        <f t="array" ref="B1077">COUNT(FIND("input",$D1077:$CD1077))</f>
        <v>0</v>
      </c>
      <c r="C1077" s="9">
        <f t="array" ref="C1077">COUNT(FIND("output",$D1077:$CD1077))</f>
        <v>0</v>
      </c>
    </row>
    <row r="1078" spans="1:3" x14ac:dyDescent="0.25">
      <c r="A1078" s="9" t="str">
        <f>IF(ISBLANK('Signal Definition'!J1078),"",'Signal Definition'!J1078)</f>
        <v/>
      </c>
      <c r="B1078" s="9">
        <f t="array" ref="B1078">COUNT(FIND("input",$D1078:$CD1078))</f>
        <v>0</v>
      </c>
      <c r="C1078" s="9">
        <f t="array" ref="C1078">COUNT(FIND("output",$D1078:$CD1078))</f>
        <v>0</v>
      </c>
    </row>
    <row r="1079" spans="1:3" x14ac:dyDescent="0.25">
      <c r="A1079" s="9" t="str">
        <f>IF(ISBLANK('Signal Definition'!J1079),"",'Signal Definition'!J1079)</f>
        <v/>
      </c>
      <c r="B1079" s="9">
        <f t="array" ref="B1079">COUNT(FIND("input",$D1079:$CD1079))</f>
        <v>0</v>
      </c>
      <c r="C1079" s="9">
        <f t="array" ref="C1079">COUNT(FIND("output",$D1079:$CD1079))</f>
        <v>0</v>
      </c>
    </row>
    <row r="1080" spans="1:3" x14ac:dyDescent="0.25">
      <c r="A1080" s="9" t="str">
        <f>IF(ISBLANK('Signal Definition'!J1080),"",'Signal Definition'!J1080)</f>
        <v/>
      </c>
      <c r="B1080" s="9">
        <f t="array" ref="B1080">COUNT(FIND("input",$D1080:$CD1080))</f>
        <v>0</v>
      </c>
      <c r="C1080" s="9">
        <f t="array" ref="C1080">COUNT(FIND("output",$D1080:$CD1080))</f>
        <v>0</v>
      </c>
    </row>
    <row r="1081" spans="1:3" x14ac:dyDescent="0.25">
      <c r="A1081" s="9" t="str">
        <f>IF(ISBLANK('Signal Definition'!J1081),"",'Signal Definition'!J1081)</f>
        <v/>
      </c>
      <c r="B1081" s="9">
        <f t="array" ref="B1081">COUNT(FIND("input",$D1081:$CD1081))</f>
        <v>0</v>
      </c>
      <c r="C1081" s="9">
        <f t="array" ref="C1081">COUNT(FIND("output",$D1081:$CD1081))</f>
        <v>0</v>
      </c>
    </row>
    <row r="1082" spans="1:3" x14ac:dyDescent="0.25">
      <c r="A1082" s="9" t="str">
        <f>IF(ISBLANK('Signal Definition'!J1082),"",'Signal Definition'!J1082)</f>
        <v/>
      </c>
      <c r="B1082" s="9">
        <f t="array" ref="B1082">COUNT(FIND("input",$D1082:$CD1082))</f>
        <v>0</v>
      </c>
      <c r="C1082" s="9">
        <f t="array" ref="C1082">COUNT(FIND("output",$D1082:$CD1082))</f>
        <v>0</v>
      </c>
    </row>
    <row r="1083" spans="1:3" x14ac:dyDescent="0.25">
      <c r="A1083" s="9" t="str">
        <f>IF(ISBLANK('Signal Definition'!J1083),"",'Signal Definition'!J1083)</f>
        <v/>
      </c>
      <c r="B1083" s="9">
        <f t="array" ref="B1083">COUNT(FIND("input",$D1083:$CD1083))</f>
        <v>0</v>
      </c>
      <c r="C1083" s="9">
        <f t="array" ref="C1083">COUNT(FIND("output",$D1083:$CD1083))</f>
        <v>0</v>
      </c>
    </row>
    <row r="1084" spans="1:3" x14ac:dyDescent="0.25">
      <c r="A1084" s="9" t="str">
        <f>IF(ISBLANK('Signal Definition'!J1084),"",'Signal Definition'!J1084)</f>
        <v/>
      </c>
      <c r="B1084" s="9">
        <f t="array" ref="B1084">COUNT(FIND("input",$D1084:$CD1084))</f>
        <v>0</v>
      </c>
      <c r="C1084" s="9">
        <f t="array" ref="C1084">COUNT(FIND("output",$D1084:$CD1084))</f>
        <v>0</v>
      </c>
    </row>
    <row r="1085" spans="1:3" x14ac:dyDescent="0.25">
      <c r="A1085" s="9" t="str">
        <f>IF(ISBLANK('Signal Definition'!J1085),"",'Signal Definition'!J1085)</f>
        <v/>
      </c>
      <c r="B1085" s="9">
        <f t="array" ref="B1085">COUNT(FIND("input",$D1085:$CD1085))</f>
        <v>0</v>
      </c>
      <c r="C1085" s="9">
        <f t="array" ref="C1085">COUNT(FIND("output",$D1085:$CD1085))</f>
        <v>0</v>
      </c>
    </row>
    <row r="1086" spans="1:3" x14ac:dyDescent="0.25">
      <c r="A1086" s="9" t="str">
        <f>IF(ISBLANK('Signal Definition'!J1086),"",'Signal Definition'!J1086)</f>
        <v/>
      </c>
      <c r="B1086" s="9">
        <f t="array" ref="B1086">COUNT(FIND("input",$D1086:$CD1086))</f>
        <v>0</v>
      </c>
      <c r="C1086" s="9">
        <f t="array" ref="C1086">COUNT(FIND("output",$D1086:$CD1086))</f>
        <v>0</v>
      </c>
    </row>
    <row r="1087" spans="1:3" x14ac:dyDescent="0.25">
      <c r="A1087" s="9" t="str">
        <f>IF(ISBLANK('Signal Definition'!J1087),"",'Signal Definition'!J1087)</f>
        <v/>
      </c>
      <c r="B1087" s="9">
        <f t="array" ref="B1087">COUNT(FIND("input",$D1087:$CD1087))</f>
        <v>0</v>
      </c>
      <c r="C1087" s="9">
        <f t="array" ref="C1087">COUNT(FIND("output",$D1087:$CD1087))</f>
        <v>0</v>
      </c>
    </row>
    <row r="1088" spans="1:3" x14ac:dyDescent="0.25">
      <c r="A1088" s="9" t="str">
        <f>IF(ISBLANK('Signal Definition'!J1088),"",'Signal Definition'!J1088)</f>
        <v/>
      </c>
      <c r="B1088" s="9">
        <f t="array" ref="B1088">COUNT(FIND("input",$D1088:$CD1088))</f>
        <v>0</v>
      </c>
      <c r="C1088" s="9">
        <f t="array" ref="C1088">COUNT(FIND("output",$D1088:$CD1088))</f>
        <v>0</v>
      </c>
    </row>
    <row r="1089" spans="1:3" x14ac:dyDescent="0.25">
      <c r="A1089" s="9" t="str">
        <f>IF(ISBLANK('Signal Definition'!J1089),"",'Signal Definition'!J1089)</f>
        <v/>
      </c>
      <c r="B1089" s="9">
        <f t="array" ref="B1089">COUNT(FIND("input",$D1089:$CD1089))</f>
        <v>0</v>
      </c>
      <c r="C1089" s="9">
        <f t="array" ref="C1089">COUNT(FIND("output",$D1089:$CD1089))</f>
        <v>0</v>
      </c>
    </row>
    <row r="1090" spans="1:3" x14ac:dyDescent="0.25">
      <c r="A1090" s="9" t="str">
        <f>IF(ISBLANK('Signal Definition'!J1090),"",'Signal Definition'!J1090)</f>
        <v/>
      </c>
      <c r="B1090" s="9">
        <f t="array" ref="B1090">COUNT(FIND("input",$D1090:$CD1090))</f>
        <v>0</v>
      </c>
      <c r="C1090" s="9">
        <f t="array" ref="C1090">COUNT(FIND("output",$D1090:$CD1090))</f>
        <v>0</v>
      </c>
    </row>
    <row r="1091" spans="1:3" x14ac:dyDescent="0.25">
      <c r="A1091" s="9" t="str">
        <f>IF(ISBLANK('Signal Definition'!J1091),"",'Signal Definition'!J1091)</f>
        <v/>
      </c>
      <c r="B1091" s="9">
        <f t="array" ref="B1091">COUNT(FIND("input",$D1091:$CD1091))</f>
        <v>0</v>
      </c>
      <c r="C1091" s="9">
        <f t="array" ref="C1091">COUNT(FIND("output",$D1091:$CD1091))</f>
        <v>0</v>
      </c>
    </row>
    <row r="1092" spans="1:3" x14ac:dyDescent="0.25">
      <c r="A1092" s="9" t="str">
        <f>IF(ISBLANK('Signal Definition'!J1092),"",'Signal Definition'!J1092)</f>
        <v/>
      </c>
      <c r="B1092" s="9">
        <f t="array" ref="B1092">COUNT(FIND("input",$D1092:$CD1092))</f>
        <v>0</v>
      </c>
      <c r="C1092" s="9">
        <f t="array" ref="C1092">COUNT(FIND("output",$D1092:$CD1092))</f>
        <v>0</v>
      </c>
    </row>
    <row r="1093" spans="1:3" x14ac:dyDescent="0.25">
      <c r="A1093" s="9" t="str">
        <f>IF(ISBLANK('Signal Definition'!J1093),"",'Signal Definition'!J1093)</f>
        <v/>
      </c>
      <c r="B1093" s="9">
        <f t="array" ref="B1093">COUNT(FIND("input",$D1093:$CD1093))</f>
        <v>0</v>
      </c>
      <c r="C1093" s="9">
        <f t="array" ref="C1093">COUNT(FIND("output",$D1093:$CD1093))</f>
        <v>0</v>
      </c>
    </row>
    <row r="1094" spans="1:3" x14ac:dyDescent="0.25">
      <c r="A1094" s="9" t="str">
        <f>IF(ISBLANK('Signal Definition'!J1094),"",'Signal Definition'!J1094)</f>
        <v/>
      </c>
      <c r="B1094" s="9">
        <f t="array" ref="B1094">COUNT(FIND("input",$D1094:$CD1094))</f>
        <v>0</v>
      </c>
      <c r="C1094" s="9">
        <f t="array" ref="C1094">COUNT(FIND("output",$D1094:$CD1094))</f>
        <v>0</v>
      </c>
    </row>
    <row r="1095" spans="1:3" x14ac:dyDescent="0.25">
      <c r="A1095" s="9" t="str">
        <f>IF(ISBLANK('Signal Definition'!J1095),"",'Signal Definition'!J1095)</f>
        <v/>
      </c>
      <c r="B1095" s="9">
        <f t="array" ref="B1095">COUNT(FIND("input",$D1095:$CD1095))</f>
        <v>0</v>
      </c>
      <c r="C1095" s="9">
        <f t="array" ref="C1095">COUNT(FIND("output",$D1095:$CD1095))</f>
        <v>0</v>
      </c>
    </row>
    <row r="1096" spans="1:3" x14ac:dyDescent="0.25">
      <c r="A1096" s="9" t="str">
        <f>IF(ISBLANK('Signal Definition'!J1096),"",'Signal Definition'!J1096)</f>
        <v/>
      </c>
      <c r="B1096" s="9">
        <f t="array" ref="B1096">COUNT(FIND("input",$D1096:$CD1096))</f>
        <v>0</v>
      </c>
      <c r="C1096" s="9">
        <f t="array" ref="C1096">COUNT(FIND("output",$D1096:$CD1096))</f>
        <v>0</v>
      </c>
    </row>
    <row r="1097" spans="1:3" x14ac:dyDescent="0.25">
      <c r="A1097" s="9" t="str">
        <f>IF(ISBLANK('Signal Definition'!J1097),"",'Signal Definition'!J1097)</f>
        <v/>
      </c>
      <c r="B1097" s="9">
        <f t="array" ref="B1097">COUNT(FIND("input",$D1097:$CD1097))</f>
        <v>0</v>
      </c>
      <c r="C1097" s="9">
        <f t="array" ref="C1097">COUNT(FIND("output",$D1097:$CD1097))</f>
        <v>0</v>
      </c>
    </row>
  </sheetData>
  <sheetProtection algorithmName="SHA-512" hashValue="99oTmHouiktgRHwm8ecB23kdkVQOu9OGmLJBc/JmJvZ2iFTGxlZMyBCydKOQygVGuG2afG356UOLQKYcMns/1w==" saltValue="GZHhxOBtNIP4JRO5vzQheg==" spinCount="100000" sheet="1" objects="1" scenarios="1" autoFilter="0"/>
  <autoFilter ref="A2:BP1097"/>
  <mergeCells count="3">
    <mergeCell ref="A1:A2"/>
    <mergeCell ref="B1:B2"/>
    <mergeCell ref="C1:C2"/>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6" r:id="rId4" name="Button 1">
              <controlPr defaultSize="0" print="0" autoFill="0" autoPict="0" macro="[0]!Call_Signal_Form" altText="Add Signal">
                <anchor moveWithCells="1">
                  <from>
                    <xdr:col>0</xdr:col>
                    <xdr:colOff>76200</xdr:colOff>
                    <xdr:row>0</xdr:row>
                    <xdr:rowOff>76200</xdr:rowOff>
                  </from>
                  <to>
                    <xdr:col>0</xdr:col>
                    <xdr:colOff>1162050</xdr:colOff>
                    <xdr:row>1</xdr:row>
                    <xdr:rowOff>314325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Tabelle6"/>
  <dimension ref="A1:P13"/>
  <sheetViews>
    <sheetView workbookViewId="0">
      <selection activeCell="D28" sqref="D28"/>
    </sheetView>
  </sheetViews>
  <sheetFormatPr baseColWidth="10" defaultColWidth="11.42578125" defaultRowHeight="15" x14ac:dyDescent="0.25"/>
  <cols>
    <col min="1" max="1" width="28.42578125" customWidth="1"/>
    <col min="2" max="2" width="32.28515625" bestFit="1" customWidth="1"/>
    <col min="3" max="3" width="16.28515625" customWidth="1"/>
    <col min="4" max="4" width="23.140625" bestFit="1" customWidth="1"/>
    <col min="5" max="5" width="30.28515625" bestFit="1" customWidth="1"/>
    <col min="6" max="6" width="19.7109375" customWidth="1"/>
    <col min="8" max="8" width="7.140625" customWidth="1"/>
    <col min="9" max="9" width="43.42578125" style="69" customWidth="1"/>
    <col min="10" max="10" width="9" bestFit="1" customWidth="1"/>
    <col min="12" max="12" width="14.42578125" customWidth="1"/>
    <col min="15" max="15" width="13.7109375" customWidth="1"/>
    <col min="16" max="16" width="36.42578125" style="55" customWidth="1"/>
  </cols>
  <sheetData>
    <row r="1" spans="1:16" ht="62.85" customHeight="1" x14ac:dyDescent="0.25">
      <c r="A1" s="10"/>
      <c r="B1" s="87" t="s">
        <v>2614</v>
      </c>
      <c r="C1" s="88"/>
      <c r="D1" s="88"/>
      <c r="E1" s="88"/>
      <c r="F1" s="88"/>
      <c r="G1" s="88"/>
      <c r="H1" s="88"/>
      <c r="I1" s="88"/>
      <c r="J1" s="89" t="s">
        <v>2613</v>
      </c>
      <c r="K1" s="89"/>
      <c r="L1" s="89"/>
      <c r="M1" s="89"/>
      <c r="N1" s="89"/>
      <c r="O1" s="89"/>
      <c r="P1" s="89"/>
    </row>
    <row r="2" spans="1:16" x14ac:dyDescent="0.25">
      <c r="A2" s="11" t="s">
        <v>1</v>
      </c>
      <c r="B2" s="12" t="s">
        <v>31</v>
      </c>
      <c r="C2" s="11" t="s">
        <v>32</v>
      </c>
      <c r="D2" s="14" t="s">
        <v>549</v>
      </c>
      <c r="E2" s="11" t="s">
        <v>2599</v>
      </c>
      <c r="F2" s="11" t="s">
        <v>3</v>
      </c>
      <c r="G2" s="13" t="s">
        <v>4</v>
      </c>
      <c r="H2" s="14" t="s">
        <v>132</v>
      </c>
      <c r="I2" s="68" t="s">
        <v>2610</v>
      </c>
      <c r="J2" s="11" t="s">
        <v>7</v>
      </c>
      <c r="K2" s="14" t="s">
        <v>772</v>
      </c>
      <c r="L2" s="11" t="s">
        <v>8</v>
      </c>
      <c r="M2" s="11" t="s">
        <v>9</v>
      </c>
      <c r="N2" s="11" t="s">
        <v>1952</v>
      </c>
      <c r="O2" s="11" t="s">
        <v>10</v>
      </c>
      <c r="P2" s="57" t="s">
        <v>2457</v>
      </c>
    </row>
    <row r="3" spans="1:16" x14ac:dyDescent="0.25">
      <c r="A3" t="s">
        <v>2956</v>
      </c>
      <c r="B3" t="s">
        <v>2957</v>
      </c>
      <c r="C3" t="s">
        <v>2958</v>
      </c>
      <c r="D3" t="s">
        <v>2803</v>
      </c>
      <c r="E3" t="s">
        <v>2804</v>
      </c>
      <c r="F3" t="s">
        <v>2959</v>
      </c>
      <c r="G3" t="s">
        <v>2603</v>
      </c>
      <c r="H3" t="s">
        <v>2568</v>
      </c>
      <c r="I3" s="16" t="s">
        <v>2960</v>
      </c>
      <c r="J3" t="s">
        <v>14</v>
      </c>
      <c r="K3" t="s">
        <v>2661</v>
      </c>
      <c r="L3">
        <v>0</v>
      </c>
      <c r="M3">
        <v>1</v>
      </c>
      <c r="N3">
        <v>2.0000000000000001E-10</v>
      </c>
      <c r="O3">
        <v>4294967296</v>
      </c>
      <c r="P3" s="55">
        <v>1E-3</v>
      </c>
    </row>
    <row r="4" spans="1:16" x14ac:dyDescent="0.25">
      <c r="A4" t="s">
        <v>2956</v>
      </c>
      <c r="B4" t="s">
        <v>2957</v>
      </c>
      <c r="C4" t="s">
        <v>2958</v>
      </c>
      <c r="D4" t="s">
        <v>2666</v>
      </c>
      <c r="E4" t="s">
        <v>2666</v>
      </c>
      <c r="F4" t="s">
        <v>2959</v>
      </c>
      <c r="G4" t="s">
        <v>2603</v>
      </c>
      <c r="H4" t="s">
        <v>2568</v>
      </c>
      <c r="I4" s="16" t="s">
        <v>2961</v>
      </c>
      <c r="J4" t="s">
        <v>14</v>
      </c>
      <c r="K4" t="s">
        <v>2661</v>
      </c>
      <c r="L4">
        <v>0</v>
      </c>
      <c r="M4">
        <v>1</v>
      </c>
      <c r="N4">
        <v>2.0000000000000001E-10</v>
      </c>
      <c r="O4">
        <v>4294967296</v>
      </c>
      <c r="P4" s="56">
        <v>1E-3</v>
      </c>
    </row>
    <row r="5" spans="1:16" x14ac:dyDescent="0.25">
      <c r="A5" t="s">
        <v>2956</v>
      </c>
      <c r="B5" t="s">
        <v>2957</v>
      </c>
      <c r="C5" t="s">
        <v>2958</v>
      </c>
      <c r="D5" t="s">
        <v>2812</v>
      </c>
      <c r="E5" t="s">
        <v>2812</v>
      </c>
      <c r="F5" t="s">
        <v>2959</v>
      </c>
      <c r="G5" t="s">
        <v>2603</v>
      </c>
      <c r="H5" t="s">
        <v>2568</v>
      </c>
      <c r="I5" s="16" t="s">
        <v>2962</v>
      </c>
      <c r="J5" t="s">
        <v>14</v>
      </c>
      <c r="K5" t="s">
        <v>2661</v>
      </c>
      <c r="L5">
        <v>0</v>
      </c>
      <c r="M5">
        <v>1</v>
      </c>
      <c r="N5">
        <v>2.0000000000000001E-10</v>
      </c>
      <c r="O5">
        <v>4294967296</v>
      </c>
      <c r="P5" s="55">
        <v>1E-3</v>
      </c>
    </row>
    <row r="6" spans="1:16" x14ac:dyDescent="0.25">
      <c r="A6" t="s">
        <v>2956</v>
      </c>
      <c r="B6" t="s">
        <v>2957</v>
      </c>
      <c r="C6" t="s">
        <v>2958</v>
      </c>
      <c r="D6" t="s">
        <v>2687</v>
      </c>
      <c r="E6" t="s">
        <v>2687</v>
      </c>
      <c r="F6" t="s">
        <v>2959</v>
      </c>
      <c r="G6" t="s">
        <v>2603</v>
      </c>
      <c r="H6" t="s">
        <v>2568</v>
      </c>
      <c r="I6" s="16" t="s">
        <v>2963</v>
      </c>
      <c r="J6" t="s">
        <v>14</v>
      </c>
      <c r="K6" t="s">
        <v>2661</v>
      </c>
      <c r="L6">
        <v>0</v>
      </c>
      <c r="M6">
        <v>1</v>
      </c>
      <c r="N6">
        <v>2.0000000000000001E-10</v>
      </c>
      <c r="O6">
        <v>4294967296</v>
      </c>
      <c r="P6" s="55">
        <v>1E-3</v>
      </c>
    </row>
    <row r="7" spans="1:16" x14ac:dyDescent="0.25">
      <c r="A7" t="s">
        <v>2956</v>
      </c>
      <c r="B7" t="s">
        <v>2957</v>
      </c>
      <c r="C7" t="s">
        <v>2958</v>
      </c>
      <c r="D7" t="s">
        <v>2696</v>
      </c>
      <c r="E7" t="s">
        <v>2697</v>
      </c>
      <c r="F7" t="s">
        <v>2959</v>
      </c>
      <c r="G7" t="s">
        <v>2603</v>
      </c>
      <c r="H7" t="s">
        <v>2568</v>
      </c>
      <c r="I7" s="16" t="s">
        <v>2964</v>
      </c>
      <c r="J7" t="s">
        <v>14</v>
      </c>
      <c r="K7" t="s">
        <v>2661</v>
      </c>
      <c r="L7">
        <v>0</v>
      </c>
      <c r="M7">
        <v>1</v>
      </c>
      <c r="N7">
        <v>2.0000000000000001E-10</v>
      </c>
      <c r="O7">
        <v>4294967296</v>
      </c>
      <c r="P7" s="55">
        <v>1E-3</v>
      </c>
    </row>
    <row r="8" spans="1:16" x14ac:dyDescent="0.25">
      <c r="A8" t="s">
        <v>2956</v>
      </c>
      <c r="B8" t="s">
        <v>2957</v>
      </c>
      <c r="C8" t="s">
        <v>2958</v>
      </c>
      <c r="D8" t="s">
        <v>2658</v>
      </c>
      <c r="E8" t="s">
        <v>2658</v>
      </c>
      <c r="F8" t="s">
        <v>2959</v>
      </c>
      <c r="G8" t="s">
        <v>2603</v>
      </c>
      <c r="H8" t="s">
        <v>2568</v>
      </c>
      <c r="I8" s="16" t="s">
        <v>2965</v>
      </c>
      <c r="J8" t="s">
        <v>14</v>
      </c>
      <c r="K8" t="s">
        <v>2661</v>
      </c>
      <c r="L8">
        <v>0</v>
      </c>
      <c r="M8">
        <v>1</v>
      </c>
      <c r="N8">
        <v>2.0000000000000001E-10</v>
      </c>
      <c r="O8">
        <v>4294967296</v>
      </c>
      <c r="P8" s="55">
        <v>1E-3</v>
      </c>
    </row>
    <row r="9" spans="1:16" x14ac:dyDescent="0.25">
      <c r="A9" t="s">
        <v>2957</v>
      </c>
      <c r="B9" t="s">
        <v>2957</v>
      </c>
      <c r="C9" t="s">
        <v>2958</v>
      </c>
      <c r="D9" t="s">
        <v>2714</v>
      </c>
      <c r="E9" t="s">
        <v>2715</v>
      </c>
      <c r="F9" t="s">
        <v>2959</v>
      </c>
      <c r="G9" t="s">
        <v>2603</v>
      </c>
      <c r="H9" t="s">
        <v>2568</v>
      </c>
      <c r="I9" s="16" t="s">
        <v>2966</v>
      </c>
      <c r="J9" t="s">
        <v>14</v>
      </c>
      <c r="K9" t="s">
        <v>2661</v>
      </c>
      <c r="L9">
        <v>0</v>
      </c>
      <c r="M9">
        <v>1</v>
      </c>
      <c r="N9">
        <v>2.0000000000000001E-10</v>
      </c>
      <c r="O9">
        <v>4294967296</v>
      </c>
      <c r="P9" s="55">
        <v>0.01</v>
      </c>
    </row>
    <row r="10" spans="1:16" x14ac:dyDescent="0.25">
      <c r="A10" t="s">
        <v>2957</v>
      </c>
      <c r="B10" t="s">
        <v>2957</v>
      </c>
      <c r="C10" t="s">
        <v>2958</v>
      </c>
      <c r="D10" t="s">
        <v>2734</v>
      </c>
      <c r="E10" t="s">
        <v>2735</v>
      </c>
      <c r="F10" t="s">
        <v>2959</v>
      </c>
      <c r="G10" t="s">
        <v>2603</v>
      </c>
      <c r="H10" t="s">
        <v>2568</v>
      </c>
      <c r="I10" s="16" t="s">
        <v>2967</v>
      </c>
      <c r="J10" t="s">
        <v>14</v>
      </c>
      <c r="K10" t="s">
        <v>2661</v>
      </c>
      <c r="L10">
        <v>0</v>
      </c>
      <c r="M10">
        <v>1</v>
      </c>
      <c r="N10">
        <v>2.0000000000000001E-10</v>
      </c>
      <c r="O10">
        <v>4294967296</v>
      </c>
      <c r="P10" s="55">
        <v>0.02</v>
      </c>
    </row>
    <row r="11" spans="1:16" x14ac:dyDescent="0.25">
      <c r="A11" t="s">
        <v>2957</v>
      </c>
      <c r="B11" t="s">
        <v>2957</v>
      </c>
      <c r="C11" t="s">
        <v>2958</v>
      </c>
      <c r="D11" t="s">
        <v>2724</v>
      </c>
      <c r="E11" t="s">
        <v>2724</v>
      </c>
      <c r="F11" t="s">
        <v>2959</v>
      </c>
      <c r="G11" t="s">
        <v>2603</v>
      </c>
      <c r="H11" t="s">
        <v>2568</v>
      </c>
      <c r="I11" s="16" t="s">
        <v>2968</v>
      </c>
      <c r="J11" t="s">
        <v>14</v>
      </c>
      <c r="K11" t="s">
        <v>2661</v>
      </c>
      <c r="L11">
        <v>0</v>
      </c>
      <c r="M11">
        <v>1</v>
      </c>
      <c r="N11">
        <v>2.0000000000000001E-10</v>
      </c>
      <c r="O11">
        <v>4294967296</v>
      </c>
      <c r="P11" s="55">
        <v>0.01</v>
      </c>
    </row>
    <row r="12" spans="1:16" x14ac:dyDescent="0.25">
      <c r="A12" t="s">
        <v>2957</v>
      </c>
      <c r="B12" t="s">
        <v>2957</v>
      </c>
      <c r="C12" t="s">
        <v>2958</v>
      </c>
      <c r="D12" t="s">
        <v>2814</v>
      </c>
      <c r="E12" t="s">
        <v>2815</v>
      </c>
      <c r="F12" t="s">
        <v>2959</v>
      </c>
      <c r="G12" t="s">
        <v>2603</v>
      </c>
      <c r="H12" t="s">
        <v>2568</v>
      </c>
      <c r="I12" s="16" t="s">
        <v>2969</v>
      </c>
      <c r="J12" t="s">
        <v>14</v>
      </c>
      <c r="K12" t="s">
        <v>2661</v>
      </c>
      <c r="L12">
        <v>0</v>
      </c>
      <c r="M12">
        <v>1</v>
      </c>
      <c r="N12">
        <v>2.0000000000000001E-10</v>
      </c>
      <c r="O12">
        <v>4294967296</v>
      </c>
      <c r="P12" s="55">
        <v>1E-3</v>
      </c>
    </row>
    <row r="13" spans="1:16" x14ac:dyDescent="0.25">
      <c r="A13" t="s">
        <v>2957</v>
      </c>
      <c r="B13" t="s">
        <v>2957</v>
      </c>
      <c r="C13" t="s">
        <v>2958</v>
      </c>
      <c r="D13" t="s">
        <v>2888</v>
      </c>
      <c r="E13" t="s">
        <v>2890</v>
      </c>
      <c r="F13" t="s">
        <v>2959</v>
      </c>
      <c r="G13" t="s">
        <v>2603</v>
      </c>
      <c r="H13" t="s">
        <v>2568</v>
      </c>
      <c r="I13" s="69" t="s">
        <v>2970</v>
      </c>
      <c r="J13" t="s">
        <v>14</v>
      </c>
      <c r="K13" t="s">
        <v>2661</v>
      </c>
      <c r="L13">
        <v>0</v>
      </c>
      <c r="M13">
        <v>1</v>
      </c>
      <c r="N13">
        <v>2.0000000000000001E-10</v>
      </c>
      <c r="O13">
        <v>4294967296</v>
      </c>
      <c r="P13" s="55">
        <v>1E-3</v>
      </c>
    </row>
  </sheetData>
  <sheetProtection algorithmName="SHA-512" hashValue="P6HhPDaF/VKV5XTBVifFTUPq37F7FQgtW6hdg8MdPW1sJ61NzYVEQAmDQkF+LcWzAaw3Gr7DWFAxz3riTt6pCw==" saltValue="UKgs6ImTuYsgJzLgMYhP4A==" spinCount="100000" sheet="1" objects="1" scenarios="1" autoFilter="0"/>
  <autoFilter ref="A2:P12"/>
  <mergeCells count="2">
    <mergeCell ref="B1:I1"/>
    <mergeCell ref="J1:P1"/>
  </mergeCells>
  <pageMargins left="0.7" right="0.7" top="0.78740157499999996" bottom="0.78740157499999996" header="0.3" footer="0.3"/>
  <pageSetup orientation="portrait" r:id="rId1"/>
  <headerFooter>
    <oddFooter>&amp;R&amp;KFF0000Herkese Açık | Public&amp;K000000</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3" r:id="rId4" name="Button 3">
              <controlPr defaultSize="0" print="0" autoFill="0" autoPict="0" macro="[0]!Call_Signal_Form" altText="Add Signal">
                <anchor moveWithCells="1">
                  <from>
                    <xdr:col>0</xdr:col>
                    <xdr:colOff>57150</xdr:colOff>
                    <xdr:row>0</xdr:row>
                    <xdr:rowOff>47625</xdr:rowOff>
                  </from>
                  <to>
                    <xdr:col>0</xdr:col>
                    <xdr:colOff>876300</xdr:colOff>
                    <xdr:row>0</xdr:row>
                    <xdr:rowOff>419100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G10"/>
  <sheetViews>
    <sheetView workbookViewId="0">
      <selection activeCell="B13" sqref="B13"/>
    </sheetView>
  </sheetViews>
  <sheetFormatPr baseColWidth="10" defaultColWidth="11.42578125" defaultRowHeight="15" x14ac:dyDescent="0.25"/>
  <cols>
    <col min="2" max="2" width="26.42578125" bestFit="1" customWidth="1"/>
    <col min="4" max="4" width="20.42578125" bestFit="1" customWidth="1"/>
  </cols>
  <sheetData>
    <row r="1" spans="1:7" ht="30.75" thickBot="1" x14ac:dyDescent="0.3">
      <c r="A1" s="4" t="s">
        <v>2</v>
      </c>
      <c r="B1" s="4" t="s">
        <v>1</v>
      </c>
      <c r="C1" s="5" t="s">
        <v>11</v>
      </c>
      <c r="D1" s="6" t="s">
        <v>12</v>
      </c>
      <c r="E1" s="7" t="s">
        <v>8</v>
      </c>
      <c r="F1" s="7" t="s">
        <v>9</v>
      </c>
      <c r="G1" s="7" t="s">
        <v>13</v>
      </c>
    </row>
    <row r="2" spans="1:7" x14ac:dyDescent="0.25">
      <c r="A2" s="2" t="s">
        <v>14</v>
      </c>
      <c r="B2" s="2" t="s">
        <v>15</v>
      </c>
      <c r="C2" s="1">
        <v>32</v>
      </c>
      <c r="D2" s="1">
        <v>1</v>
      </c>
      <c r="E2" s="1">
        <f t="shared" ref="E2:E9" si="0">IF(D2=1,-1,0)*2^(C2-1)</f>
        <v>-2147483648</v>
      </c>
      <c r="F2" s="1">
        <f t="shared" ref="F2:F9" si="1">E2+G2-1</f>
        <v>2147483647</v>
      </c>
      <c r="G2" s="1">
        <f t="shared" ref="G2:G9" si="2">2^C2</f>
        <v>4294967296</v>
      </c>
    </row>
    <row r="3" spans="1:7" x14ac:dyDescent="0.25">
      <c r="A3" s="1" t="s">
        <v>16</v>
      </c>
      <c r="B3" s="1" t="s">
        <v>17</v>
      </c>
      <c r="C3" s="1">
        <v>16</v>
      </c>
      <c r="D3" s="1">
        <v>1</v>
      </c>
      <c r="E3" s="1">
        <f t="shared" si="0"/>
        <v>-32768</v>
      </c>
      <c r="F3" s="1">
        <f t="shared" si="1"/>
        <v>32767</v>
      </c>
      <c r="G3" s="1">
        <f t="shared" si="2"/>
        <v>65536</v>
      </c>
    </row>
    <row r="4" spans="1:7" x14ac:dyDescent="0.25">
      <c r="A4" s="1" t="s">
        <v>18</v>
      </c>
      <c r="B4" s="1" t="s">
        <v>19</v>
      </c>
      <c r="C4" s="1">
        <v>32</v>
      </c>
      <c r="D4" s="1">
        <v>1</v>
      </c>
      <c r="E4" s="1">
        <f t="shared" si="0"/>
        <v>-2147483648</v>
      </c>
      <c r="F4" s="1">
        <f t="shared" si="1"/>
        <v>2147483647</v>
      </c>
      <c r="G4" s="1">
        <f t="shared" si="2"/>
        <v>4294967296</v>
      </c>
    </row>
    <row r="5" spans="1:7" x14ac:dyDescent="0.25">
      <c r="A5" s="1" t="s">
        <v>20</v>
      </c>
      <c r="B5" s="1" t="s">
        <v>21</v>
      </c>
      <c r="C5" s="1">
        <v>8</v>
      </c>
      <c r="D5" s="1">
        <v>1</v>
      </c>
      <c r="E5" s="1">
        <f t="shared" si="0"/>
        <v>-128</v>
      </c>
      <c r="F5" s="1">
        <f t="shared" si="1"/>
        <v>127</v>
      </c>
      <c r="G5" s="1">
        <f t="shared" si="2"/>
        <v>256</v>
      </c>
    </row>
    <row r="6" spans="1:7" x14ac:dyDescent="0.25">
      <c r="A6" s="1" t="s">
        <v>22</v>
      </c>
      <c r="B6" s="1" t="s">
        <v>23</v>
      </c>
      <c r="C6" s="1">
        <v>16</v>
      </c>
      <c r="D6" s="1">
        <v>1</v>
      </c>
      <c r="E6" s="1">
        <f t="shared" si="0"/>
        <v>-32768</v>
      </c>
      <c r="F6" s="1">
        <f t="shared" si="1"/>
        <v>32767</v>
      </c>
      <c r="G6" s="1">
        <f t="shared" si="2"/>
        <v>65536</v>
      </c>
    </row>
    <row r="7" spans="1:7" x14ac:dyDescent="0.25">
      <c r="A7" s="1" t="s">
        <v>24</v>
      </c>
      <c r="B7" s="1" t="s">
        <v>25</v>
      </c>
      <c r="C7" s="1">
        <v>16</v>
      </c>
      <c r="D7" s="1">
        <v>0</v>
      </c>
      <c r="E7" s="1">
        <f t="shared" si="0"/>
        <v>0</v>
      </c>
      <c r="F7" s="1">
        <f t="shared" si="1"/>
        <v>65535</v>
      </c>
      <c r="G7" s="1">
        <f t="shared" si="2"/>
        <v>65536</v>
      </c>
    </row>
    <row r="8" spans="1:7" x14ac:dyDescent="0.25">
      <c r="A8" s="1" t="s">
        <v>26</v>
      </c>
      <c r="B8" s="1" t="s">
        <v>27</v>
      </c>
      <c r="C8" s="1">
        <v>32</v>
      </c>
      <c r="D8" s="1">
        <v>0</v>
      </c>
      <c r="E8" s="1">
        <f t="shared" si="0"/>
        <v>0</v>
      </c>
      <c r="F8" s="1">
        <f t="shared" si="1"/>
        <v>4294967295</v>
      </c>
      <c r="G8" s="1">
        <f t="shared" si="2"/>
        <v>4294967296</v>
      </c>
    </row>
    <row r="9" spans="1:7" x14ac:dyDescent="0.25">
      <c r="A9" s="3" t="s">
        <v>28</v>
      </c>
      <c r="B9" s="3" t="s">
        <v>29</v>
      </c>
      <c r="C9" s="3">
        <v>8</v>
      </c>
      <c r="D9" s="3">
        <v>0</v>
      </c>
      <c r="E9" s="3">
        <f t="shared" si="0"/>
        <v>0</v>
      </c>
      <c r="F9" s="3">
        <f t="shared" si="1"/>
        <v>255</v>
      </c>
      <c r="G9" s="3">
        <f t="shared" si="2"/>
        <v>256</v>
      </c>
    </row>
    <row r="10" spans="1:7" x14ac:dyDescent="0.25">
      <c r="A10" s="1" t="s">
        <v>2925</v>
      </c>
      <c r="B10" s="1" t="s">
        <v>2646</v>
      </c>
      <c r="C10" s="1">
        <v>8</v>
      </c>
      <c r="D10" s="1">
        <v>0</v>
      </c>
      <c r="E10" s="1">
        <f>IF(D10=1,-1,0)*2^(C10-1)</f>
        <v>0</v>
      </c>
      <c r="F10" s="1">
        <v>1</v>
      </c>
      <c r="G10" s="1">
        <v>2</v>
      </c>
    </row>
  </sheetData>
  <sheetProtection algorithmName="SHA-512" hashValue="43NukQm9X3/ZCugl47vHgMNzxW/PWany5EngLxb1eoUNgwJnGtL7qNmKZIl8NiMCgGO8ZrjOQrqzJWnfZeBC1g==" saltValue="IWNUOqUtY5HyFyRaHUJ/SQ==" spinCount="100000" sheet="1" objects="1" scenarios="1"/>
  <pageMargins left="0.7" right="0.7" top="0.78740157499999996" bottom="0.78740157499999996"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dimension ref="A1:P1356"/>
  <sheetViews>
    <sheetView zoomScale="85" zoomScaleNormal="85" zoomScalePageLayoutView="85" workbookViewId="0">
      <selection activeCell="D45" sqref="D45"/>
    </sheetView>
  </sheetViews>
  <sheetFormatPr baseColWidth="10" defaultColWidth="11.42578125" defaultRowHeight="15" x14ac:dyDescent="0.25"/>
  <cols>
    <col min="1" max="1" width="25.42578125" style="28" customWidth="1"/>
    <col min="2" max="2" width="17.7109375" style="28" customWidth="1"/>
    <col min="3" max="3" width="33.28515625" style="39" customWidth="1"/>
    <col min="4" max="4" width="32.7109375" style="19" bestFit="1" customWidth="1"/>
    <col min="5" max="5" width="21.140625" style="20" bestFit="1" customWidth="1"/>
    <col min="6" max="6" width="11" style="19" customWidth="1"/>
    <col min="7" max="7" width="16.42578125" style="20" bestFit="1" customWidth="1"/>
    <col min="8" max="8" width="22.42578125" style="19" bestFit="1" customWidth="1"/>
    <col min="9" max="9" width="8.42578125" style="18" bestFit="1" customWidth="1"/>
    <col min="10" max="10" width="15.28515625" style="20" bestFit="1" customWidth="1"/>
    <col min="11" max="11" width="11.42578125" style="42"/>
    <col min="12" max="12" width="18" style="66" bestFit="1" customWidth="1"/>
    <col min="13" max="13" width="29.140625" style="58" bestFit="1" customWidth="1"/>
    <col min="14" max="14" width="16.7109375" style="61" bestFit="1" customWidth="1"/>
  </cols>
  <sheetData>
    <row r="1" spans="1:16" ht="27" customHeight="1" x14ac:dyDescent="0.3">
      <c r="A1" s="51" t="s">
        <v>134</v>
      </c>
      <c r="B1" s="51" t="s">
        <v>135</v>
      </c>
      <c r="C1" s="71" t="s">
        <v>136</v>
      </c>
      <c r="D1" s="43" t="s">
        <v>2599</v>
      </c>
      <c r="E1" s="29" t="s">
        <v>128</v>
      </c>
      <c r="F1" s="43" t="s">
        <v>33</v>
      </c>
      <c r="G1" s="29" t="s">
        <v>128</v>
      </c>
      <c r="H1" s="44" t="s">
        <v>2611</v>
      </c>
      <c r="I1" s="45" t="s">
        <v>3</v>
      </c>
      <c r="J1" s="46" t="s">
        <v>39</v>
      </c>
      <c r="K1" s="44" t="s">
        <v>132</v>
      </c>
      <c r="L1" s="64" t="s">
        <v>1</v>
      </c>
      <c r="M1" s="63" t="s">
        <v>549</v>
      </c>
      <c r="N1" s="60" t="s">
        <v>128</v>
      </c>
      <c r="O1" s="40"/>
      <c r="P1" s="40"/>
    </row>
    <row r="2" spans="1:16" x14ac:dyDescent="0.25">
      <c r="A2" s="21" t="s">
        <v>137</v>
      </c>
      <c r="B2" s="21" t="s">
        <v>137</v>
      </c>
      <c r="C2" s="36"/>
      <c r="D2" s="19" t="s">
        <v>2658</v>
      </c>
      <c r="E2" s="20" t="s">
        <v>2664</v>
      </c>
      <c r="F2" s="19" t="s">
        <v>34</v>
      </c>
      <c r="G2" s="41" t="s">
        <v>2649</v>
      </c>
      <c r="H2" s="34" t="s">
        <v>147</v>
      </c>
      <c r="I2" s="30" t="s">
        <v>40</v>
      </c>
      <c r="J2" s="32" t="s">
        <v>2604</v>
      </c>
      <c r="K2" s="42" t="s">
        <v>2568</v>
      </c>
      <c r="L2" s="65" t="s">
        <v>129</v>
      </c>
      <c r="M2" s="58" t="s">
        <v>2658</v>
      </c>
      <c r="N2" s="61" t="s">
        <v>2664</v>
      </c>
    </row>
    <row r="3" spans="1:16" x14ac:dyDescent="0.25">
      <c r="A3" s="21" t="s">
        <v>138</v>
      </c>
      <c r="B3" s="21" t="s">
        <v>138</v>
      </c>
      <c r="C3" s="36" t="s">
        <v>139</v>
      </c>
      <c r="D3" s="19" t="s">
        <v>2666</v>
      </c>
      <c r="E3" s="20" t="s">
        <v>2667</v>
      </c>
      <c r="F3" s="19" t="s">
        <v>35</v>
      </c>
      <c r="G3" s="70" t="s">
        <v>2651</v>
      </c>
      <c r="H3" s="34" t="s">
        <v>75</v>
      </c>
      <c r="I3" s="30" t="s">
        <v>74</v>
      </c>
      <c r="J3" s="32" t="s">
        <v>76</v>
      </c>
      <c r="K3" s="42" t="s">
        <v>2569</v>
      </c>
      <c r="L3" s="65" t="s">
        <v>130</v>
      </c>
      <c r="M3" s="58" t="s">
        <v>2666</v>
      </c>
      <c r="N3" s="61" t="s">
        <v>2667</v>
      </c>
    </row>
    <row r="4" spans="1:16" x14ac:dyDescent="0.25">
      <c r="A4" s="21" t="s">
        <v>140</v>
      </c>
      <c r="B4" s="21" t="s">
        <v>141</v>
      </c>
      <c r="C4" s="36" t="s">
        <v>142</v>
      </c>
      <c r="D4" s="19" t="s">
        <v>2687</v>
      </c>
      <c r="E4" s="20" t="s">
        <v>2783</v>
      </c>
      <c r="F4" s="19" t="s">
        <v>36</v>
      </c>
      <c r="G4" s="41" t="s">
        <v>36</v>
      </c>
      <c r="H4" s="34" t="s">
        <v>2575</v>
      </c>
      <c r="I4" s="30" t="s">
        <v>2576</v>
      </c>
      <c r="J4" s="32" t="s">
        <v>2602</v>
      </c>
      <c r="K4" s="42" t="s">
        <v>2639</v>
      </c>
      <c r="L4" s="65" t="s">
        <v>2642</v>
      </c>
      <c r="M4" s="58" t="s">
        <v>2687</v>
      </c>
      <c r="N4" s="61" t="s">
        <v>2783</v>
      </c>
    </row>
    <row r="5" spans="1:16" x14ac:dyDescent="0.25">
      <c r="A5" s="21" t="s">
        <v>143</v>
      </c>
      <c r="B5" s="21" t="s">
        <v>143</v>
      </c>
      <c r="C5" s="36" t="s">
        <v>144</v>
      </c>
      <c r="D5" s="19" t="s">
        <v>2697</v>
      </c>
      <c r="E5" s="20" t="s">
        <v>2784</v>
      </c>
      <c r="F5" s="19" t="s">
        <v>37</v>
      </c>
      <c r="G5" s="41" t="s">
        <v>2650</v>
      </c>
      <c r="H5" s="34" t="s">
        <v>42</v>
      </c>
      <c r="I5" s="30" t="s">
        <v>41</v>
      </c>
      <c r="J5" s="32" t="s">
        <v>43</v>
      </c>
      <c r="K5" s="42" t="s">
        <v>2640</v>
      </c>
      <c r="L5" s="65" t="s">
        <v>2643</v>
      </c>
      <c r="M5" s="58" t="s">
        <v>2696</v>
      </c>
      <c r="N5" s="61" t="s">
        <v>2785</v>
      </c>
    </row>
    <row r="6" spans="1:16" x14ac:dyDescent="0.25">
      <c r="A6" s="21" t="s">
        <v>145</v>
      </c>
      <c r="B6" s="21" t="s">
        <v>145</v>
      </c>
      <c r="C6" s="36" t="s">
        <v>146</v>
      </c>
      <c r="D6" s="19" t="s">
        <v>2715</v>
      </c>
      <c r="E6" s="20" t="s">
        <v>2715</v>
      </c>
      <c r="F6" s="19" t="s">
        <v>2597</v>
      </c>
      <c r="G6" s="41" t="s">
        <v>2597</v>
      </c>
      <c r="H6" s="34" t="s">
        <v>45</v>
      </c>
      <c r="I6" s="30" t="s">
        <v>44</v>
      </c>
      <c r="J6" s="32" t="s">
        <v>2605</v>
      </c>
      <c r="K6" s="42" t="s">
        <v>2641</v>
      </c>
      <c r="L6" s="65" t="s">
        <v>2644</v>
      </c>
      <c r="M6" s="58" t="s">
        <v>2714</v>
      </c>
      <c r="N6" s="61" t="s">
        <v>2786</v>
      </c>
    </row>
    <row r="7" spans="1:16" x14ac:dyDescent="0.25">
      <c r="A7" s="21" t="s">
        <v>147</v>
      </c>
      <c r="B7" s="21" t="s">
        <v>59</v>
      </c>
      <c r="C7" s="36" t="s">
        <v>148</v>
      </c>
      <c r="D7" s="19" t="s">
        <v>2724</v>
      </c>
      <c r="E7" s="20" t="s">
        <v>2787</v>
      </c>
      <c r="H7" s="35" t="s">
        <v>112</v>
      </c>
      <c r="I7" s="31" t="s">
        <v>111</v>
      </c>
      <c r="J7" s="33" t="s">
        <v>113</v>
      </c>
      <c r="K7" s="42" t="s">
        <v>2570</v>
      </c>
      <c r="L7" s="65" t="s">
        <v>2645</v>
      </c>
      <c r="M7" s="58" t="s">
        <v>2724</v>
      </c>
      <c r="N7" s="61" t="s">
        <v>2787</v>
      </c>
    </row>
    <row r="8" spans="1:16" x14ac:dyDescent="0.25">
      <c r="A8" s="21" t="s">
        <v>149</v>
      </c>
      <c r="B8" s="21" t="s">
        <v>150</v>
      </c>
      <c r="C8" s="36"/>
      <c r="D8" s="19" t="s">
        <v>2735</v>
      </c>
      <c r="E8" s="20" t="s">
        <v>2735</v>
      </c>
      <c r="H8" s="34" t="s">
        <v>58</v>
      </c>
      <c r="I8" s="30" t="s">
        <v>57</v>
      </c>
      <c r="J8" s="32" t="s">
        <v>59</v>
      </c>
      <c r="K8" s="42" t="s">
        <v>2571</v>
      </c>
      <c r="L8" s="65" t="s">
        <v>131</v>
      </c>
      <c r="M8" s="58" t="s">
        <v>2734</v>
      </c>
      <c r="N8" s="61" t="s">
        <v>2788</v>
      </c>
    </row>
    <row r="9" spans="1:16" x14ac:dyDescent="0.25">
      <c r="A9" s="21" t="s">
        <v>151</v>
      </c>
      <c r="B9" s="21" t="s">
        <v>152</v>
      </c>
      <c r="C9" s="36"/>
      <c r="D9" s="19" t="s">
        <v>2804</v>
      </c>
      <c r="E9" s="20" t="s">
        <v>2855</v>
      </c>
      <c r="H9" s="34" t="s">
        <v>90</v>
      </c>
      <c r="I9" s="30" t="s">
        <v>89</v>
      </c>
      <c r="J9" s="32" t="s">
        <v>2606</v>
      </c>
      <c r="L9" s="65"/>
      <c r="M9" s="59" t="s">
        <v>2803</v>
      </c>
      <c r="N9" s="62" t="s">
        <v>2856</v>
      </c>
    </row>
    <row r="10" spans="1:16" x14ac:dyDescent="0.25">
      <c r="A10" s="21" t="s">
        <v>153</v>
      </c>
      <c r="B10" s="21" t="s">
        <v>154</v>
      </c>
      <c r="C10" s="36"/>
      <c r="D10" s="19" t="s">
        <v>2734</v>
      </c>
      <c r="E10" s="20" t="s">
        <v>2788</v>
      </c>
      <c r="H10" s="34" t="s">
        <v>115</v>
      </c>
      <c r="I10" s="30" t="s">
        <v>114</v>
      </c>
      <c r="J10" s="32" t="s">
        <v>113</v>
      </c>
      <c r="M10" s="58" t="s">
        <v>2812</v>
      </c>
      <c r="N10" s="61" t="s">
        <v>2857</v>
      </c>
    </row>
    <row r="11" spans="1:16" x14ac:dyDescent="0.25">
      <c r="A11" s="21" t="s">
        <v>155</v>
      </c>
      <c r="B11" s="21" t="s">
        <v>156</v>
      </c>
      <c r="C11" s="36"/>
      <c r="D11" s="19" t="s">
        <v>2806</v>
      </c>
      <c r="E11" s="20" t="s">
        <v>2858</v>
      </c>
      <c r="H11" s="34" t="s">
        <v>117</v>
      </c>
      <c r="I11" s="30" t="s">
        <v>116</v>
      </c>
      <c r="J11" s="32" t="s">
        <v>113</v>
      </c>
      <c r="M11" s="58" t="s">
        <v>2807</v>
      </c>
      <c r="N11" s="61" t="s">
        <v>2859</v>
      </c>
    </row>
    <row r="12" spans="1:16" x14ac:dyDescent="0.25">
      <c r="A12" s="21" t="s">
        <v>157</v>
      </c>
      <c r="B12" s="21" t="s">
        <v>158</v>
      </c>
      <c r="C12" s="36"/>
      <c r="D12" s="19" t="s">
        <v>2860</v>
      </c>
      <c r="E12" s="20" t="s">
        <v>2861</v>
      </c>
      <c r="H12" s="34" t="s">
        <v>50</v>
      </c>
      <c r="I12" s="30" t="s">
        <v>49</v>
      </c>
      <c r="J12" s="32" t="s">
        <v>51</v>
      </c>
      <c r="M12" s="58" t="s">
        <v>2814</v>
      </c>
      <c r="N12" s="61" t="s">
        <v>2862</v>
      </c>
    </row>
    <row r="13" spans="1:16" x14ac:dyDescent="0.25">
      <c r="A13" s="21" t="s">
        <v>159</v>
      </c>
      <c r="B13" s="21" t="s">
        <v>160</v>
      </c>
      <c r="C13" s="36"/>
      <c r="D13" s="19" t="s">
        <v>2807</v>
      </c>
      <c r="E13" s="20" t="s">
        <v>2859</v>
      </c>
      <c r="H13" s="34" t="s">
        <v>47</v>
      </c>
      <c r="I13" s="30" t="s">
        <v>46</v>
      </c>
      <c r="J13" s="32" t="s">
        <v>48</v>
      </c>
      <c r="M13" s="58" t="s">
        <v>2888</v>
      </c>
      <c r="N13" s="61" t="s">
        <v>2889</v>
      </c>
    </row>
    <row r="14" spans="1:16" x14ac:dyDescent="0.25">
      <c r="A14" s="21" t="s">
        <v>161</v>
      </c>
      <c r="B14" s="21" t="s">
        <v>162</v>
      </c>
      <c r="C14" s="36"/>
      <c r="D14" s="19" t="s">
        <v>2812</v>
      </c>
      <c r="E14" s="20" t="s">
        <v>2857</v>
      </c>
      <c r="H14" s="34" t="s">
        <v>84</v>
      </c>
      <c r="I14" s="30" t="s">
        <v>83</v>
      </c>
      <c r="J14" s="32" t="s">
        <v>85</v>
      </c>
      <c r="M14" s="58" t="s">
        <v>2627</v>
      </c>
      <c r="N14" s="61" t="s">
        <v>309</v>
      </c>
    </row>
    <row r="15" spans="1:16" x14ac:dyDescent="0.25">
      <c r="A15" s="21" t="s">
        <v>163</v>
      </c>
      <c r="B15" s="21" t="s">
        <v>164</v>
      </c>
      <c r="C15" s="36"/>
      <c r="D15" s="19" t="s">
        <v>2815</v>
      </c>
      <c r="E15" s="20" t="s">
        <v>2863</v>
      </c>
      <c r="H15" s="34" t="s">
        <v>52</v>
      </c>
      <c r="I15" s="30" t="s">
        <v>2609</v>
      </c>
      <c r="J15" s="32" t="s">
        <v>53</v>
      </c>
    </row>
    <row r="16" spans="1:16" x14ac:dyDescent="0.25">
      <c r="A16" s="21" t="s">
        <v>165</v>
      </c>
      <c r="B16" s="21" t="s">
        <v>166</v>
      </c>
      <c r="C16" s="36"/>
      <c r="D16" s="19" t="s">
        <v>2890</v>
      </c>
      <c r="E16" s="20" t="s">
        <v>2890</v>
      </c>
      <c r="H16" s="34" t="s">
        <v>55</v>
      </c>
      <c r="I16" s="30" t="s">
        <v>54</v>
      </c>
      <c r="J16" s="32" t="s">
        <v>56</v>
      </c>
    </row>
    <row r="17" spans="1:10" x14ac:dyDescent="0.25">
      <c r="A17" s="21" t="s">
        <v>167</v>
      </c>
      <c r="B17" s="21" t="s">
        <v>168</v>
      </c>
      <c r="C17" s="36"/>
      <c r="D17" s="19" t="s">
        <v>3287</v>
      </c>
      <c r="E17" s="20" t="s">
        <v>3319</v>
      </c>
      <c r="H17" s="34" t="s">
        <v>119</v>
      </c>
      <c r="I17" s="30" t="s">
        <v>118</v>
      </c>
      <c r="J17" s="32" t="s">
        <v>113</v>
      </c>
    </row>
    <row r="18" spans="1:10" x14ac:dyDescent="0.25">
      <c r="A18" s="21" t="s">
        <v>169</v>
      </c>
      <c r="B18" s="21" t="s">
        <v>170</v>
      </c>
      <c r="C18" s="36"/>
      <c r="D18" s="19" t="s">
        <v>3170</v>
      </c>
      <c r="E18" s="20" t="s">
        <v>3320</v>
      </c>
      <c r="H18" s="34" t="s">
        <v>63</v>
      </c>
      <c r="I18" s="30" t="s">
        <v>62</v>
      </c>
      <c r="J18" s="32" t="s">
        <v>64</v>
      </c>
    </row>
    <row r="19" spans="1:10" x14ac:dyDescent="0.25">
      <c r="A19" s="21" t="s">
        <v>171</v>
      </c>
      <c r="B19" s="21" t="s">
        <v>172</v>
      </c>
      <c r="C19" s="36"/>
      <c r="D19" s="19" t="s">
        <v>3177</v>
      </c>
      <c r="E19" s="20" t="s">
        <v>3321</v>
      </c>
      <c r="H19" s="34" t="s">
        <v>105</v>
      </c>
      <c r="I19" s="30" t="s">
        <v>104</v>
      </c>
      <c r="J19" s="32" t="s">
        <v>3103</v>
      </c>
    </row>
    <row r="20" spans="1:10" x14ac:dyDescent="0.25">
      <c r="A20" s="21" t="s">
        <v>173</v>
      </c>
      <c r="B20" s="21" t="s">
        <v>174</v>
      </c>
      <c r="C20" s="36"/>
      <c r="D20" s="19" t="s">
        <v>3230</v>
      </c>
      <c r="E20" s="20" t="s">
        <v>3237</v>
      </c>
      <c r="H20" s="34" t="s">
        <v>65</v>
      </c>
      <c r="I20" s="30" t="s">
        <v>64</v>
      </c>
      <c r="J20" s="32" t="s">
        <v>66</v>
      </c>
    </row>
    <row r="21" spans="1:10" x14ac:dyDescent="0.25">
      <c r="A21" s="21" t="s">
        <v>175</v>
      </c>
      <c r="B21" s="21" t="s">
        <v>176</v>
      </c>
      <c r="C21" s="36"/>
      <c r="D21" s="19" t="s">
        <v>3214</v>
      </c>
      <c r="E21" s="20" t="s">
        <v>3217</v>
      </c>
      <c r="H21" s="34" t="s">
        <v>68</v>
      </c>
      <c r="I21" s="30" t="s">
        <v>67</v>
      </c>
      <c r="J21" s="32" t="s">
        <v>2601</v>
      </c>
    </row>
    <row r="22" spans="1:10" x14ac:dyDescent="0.25">
      <c r="A22" s="21" t="s">
        <v>177</v>
      </c>
      <c r="B22" s="21" t="s">
        <v>178</v>
      </c>
      <c r="C22" s="36"/>
      <c r="D22" s="19" t="s">
        <v>3192</v>
      </c>
      <c r="E22" s="20" t="s">
        <v>3193</v>
      </c>
      <c r="H22" s="34" t="s">
        <v>61</v>
      </c>
      <c r="I22" s="30" t="s">
        <v>60</v>
      </c>
      <c r="J22" s="32" t="s">
        <v>2607</v>
      </c>
    </row>
    <row r="23" spans="1:10" x14ac:dyDescent="0.25">
      <c r="A23" s="21" t="s">
        <v>179</v>
      </c>
      <c r="B23" s="21" t="s">
        <v>180</v>
      </c>
      <c r="C23" s="36"/>
      <c r="D23" s="19" t="s">
        <v>3242</v>
      </c>
      <c r="E23" s="20" t="s">
        <v>3322</v>
      </c>
      <c r="H23" s="34" t="s">
        <v>121</v>
      </c>
      <c r="I23" s="30" t="s">
        <v>120</v>
      </c>
      <c r="J23" s="32" t="s">
        <v>113</v>
      </c>
    </row>
    <row r="24" spans="1:10" x14ac:dyDescent="0.25">
      <c r="A24" s="21" t="s">
        <v>181</v>
      </c>
      <c r="B24" s="21" t="s">
        <v>182</v>
      </c>
      <c r="C24" s="36"/>
      <c r="H24" s="34" t="s">
        <v>78</v>
      </c>
      <c r="I24" s="30" t="s">
        <v>77</v>
      </c>
      <c r="J24" s="32" t="s">
        <v>79</v>
      </c>
    </row>
    <row r="25" spans="1:10" x14ac:dyDescent="0.25">
      <c r="A25" s="21" t="s">
        <v>183</v>
      </c>
      <c r="B25" s="21" t="s">
        <v>184</v>
      </c>
      <c r="C25" s="36"/>
      <c r="H25" s="34" t="s">
        <v>81</v>
      </c>
      <c r="I25" s="30" t="s">
        <v>80</v>
      </c>
      <c r="J25" s="32" t="s">
        <v>82</v>
      </c>
    </row>
    <row r="26" spans="1:10" x14ac:dyDescent="0.25">
      <c r="A26" s="21" t="s">
        <v>185</v>
      </c>
      <c r="B26" s="21" t="s">
        <v>186</v>
      </c>
      <c r="C26" s="36"/>
      <c r="H26" s="34" t="s">
        <v>73</v>
      </c>
      <c r="I26" s="30" t="s">
        <v>72</v>
      </c>
      <c r="J26" s="32" t="s">
        <v>1679</v>
      </c>
    </row>
    <row r="27" spans="1:10" x14ac:dyDescent="0.25">
      <c r="A27" s="21" t="s">
        <v>187</v>
      </c>
      <c r="B27" s="21" t="s">
        <v>188</v>
      </c>
      <c r="C27" s="36"/>
      <c r="H27" s="34" t="s">
        <v>1862</v>
      </c>
      <c r="I27" s="30" t="s">
        <v>2971</v>
      </c>
      <c r="J27" s="32" t="s">
        <v>2932</v>
      </c>
    </row>
    <row r="28" spans="1:10" x14ac:dyDescent="0.25">
      <c r="A28" s="21" t="s">
        <v>189</v>
      </c>
      <c r="B28" s="21" t="s">
        <v>190</v>
      </c>
      <c r="C28" s="36"/>
      <c r="H28" s="34" t="s">
        <v>123</v>
      </c>
      <c r="I28" s="30" t="s">
        <v>122</v>
      </c>
      <c r="J28" s="32" t="s">
        <v>113</v>
      </c>
    </row>
    <row r="29" spans="1:10" x14ac:dyDescent="0.25">
      <c r="A29" s="21" t="s">
        <v>191</v>
      </c>
      <c r="B29" s="21" t="s">
        <v>192</v>
      </c>
      <c r="C29" s="36"/>
      <c r="H29" s="34" t="s">
        <v>87</v>
      </c>
      <c r="I29" s="30" t="s">
        <v>86</v>
      </c>
      <c r="J29" s="32" t="s">
        <v>88</v>
      </c>
    </row>
    <row r="30" spans="1:10" x14ac:dyDescent="0.25">
      <c r="A30" s="21" t="s">
        <v>193</v>
      </c>
      <c r="B30" s="21" t="s">
        <v>194</v>
      </c>
      <c r="C30" s="36"/>
      <c r="H30" s="34" t="s">
        <v>70</v>
      </c>
      <c r="I30" s="30" t="s">
        <v>69</v>
      </c>
      <c r="J30" s="32" t="s">
        <v>71</v>
      </c>
    </row>
    <row r="31" spans="1:10" x14ac:dyDescent="0.25">
      <c r="A31" s="21" t="s">
        <v>195</v>
      </c>
      <c r="B31" s="21" t="s">
        <v>196</v>
      </c>
      <c r="C31" s="36"/>
      <c r="H31" s="34" t="s">
        <v>92</v>
      </c>
      <c r="I31" s="30" t="s">
        <v>91</v>
      </c>
      <c r="J31" s="32" t="s">
        <v>93</v>
      </c>
    </row>
    <row r="32" spans="1:10" x14ac:dyDescent="0.25">
      <c r="A32" s="21" t="s">
        <v>197</v>
      </c>
      <c r="B32" s="21" t="s">
        <v>198</v>
      </c>
      <c r="C32" s="36"/>
      <c r="H32" s="34" t="s">
        <v>125</v>
      </c>
      <c r="I32" s="30" t="s">
        <v>124</v>
      </c>
      <c r="J32" s="32" t="s">
        <v>113</v>
      </c>
    </row>
    <row r="33" spans="1:10" x14ac:dyDescent="0.25">
      <c r="A33" s="21" t="s">
        <v>199</v>
      </c>
      <c r="B33" s="21" t="s">
        <v>200</v>
      </c>
      <c r="C33" s="36"/>
      <c r="H33" s="34" t="s">
        <v>127</v>
      </c>
      <c r="I33" s="30" t="s">
        <v>126</v>
      </c>
      <c r="J33" s="32" t="s">
        <v>113</v>
      </c>
    </row>
    <row r="34" spans="1:10" x14ac:dyDescent="0.25">
      <c r="A34" s="21" t="s">
        <v>201</v>
      </c>
      <c r="B34" s="21" t="s">
        <v>202</v>
      </c>
      <c r="C34" s="36"/>
      <c r="H34" s="34" t="s">
        <v>95</v>
      </c>
      <c r="I34" s="30" t="s">
        <v>94</v>
      </c>
      <c r="J34" s="32" t="s">
        <v>96</v>
      </c>
    </row>
    <row r="35" spans="1:10" x14ac:dyDescent="0.25">
      <c r="A35" s="21" t="s">
        <v>203</v>
      </c>
      <c r="B35" s="21" t="s">
        <v>204</v>
      </c>
      <c r="C35" s="36"/>
      <c r="H35" s="34" t="s">
        <v>2338</v>
      </c>
      <c r="I35" s="30" t="s">
        <v>97</v>
      </c>
      <c r="J35" s="32" t="s">
        <v>2603</v>
      </c>
    </row>
    <row r="36" spans="1:10" x14ac:dyDescent="0.25">
      <c r="A36" s="21" t="s">
        <v>2864</v>
      </c>
      <c r="B36" s="21" t="s">
        <v>2865</v>
      </c>
      <c r="C36" s="36"/>
      <c r="H36" s="34" t="s">
        <v>99</v>
      </c>
      <c r="I36" s="30" t="s">
        <v>98</v>
      </c>
      <c r="J36" s="32" t="s">
        <v>100</v>
      </c>
    </row>
    <row r="37" spans="1:10" x14ac:dyDescent="0.25">
      <c r="A37" s="21" t="s">
        <v>205</v>
      </c>
      <c r="B37" s="21" t="s">
        <v>206</v>
      </c>
      <c r="C37" s="36"/>
      <c r="H37" s="34" t="s">
        <v>102</v>
      </c>
      <c r="I37" s="30" t="s">
        <v>101</v>
      </c>
      <c r="J37" s="32" t="s">
        <v>103</v>
      </c>
    </row>
    <row r="38" spans="1:10" x14ac:dyDescent="0.25">
      <c r="A38" s="21" t="s">
        <v>207</v>
      </c>
      <c r="B38" s="21" t="s">
        <v>208</v>
      </c>
      <c r="C38" s="36"/>
      <c r="H38" s="34" t="s">
        <v>107</v>
      </c>
      <c r="I38" s="30" t="s">
        <v>106</v>
      </c>
      <c r="J38" s="32" t="s">
        <v>2608</v>
      </c>
    </row>
    <row r="39" spans="1:10" x14ac:dyDescent="0.25">
      <c r="A39" s="21" t="s">
        <v>209</v>
      </c>
      <c r="B39" s="21" t="s">
        <v>209</v>
      </c>
      <c r="C39" s="36"/>
      <c r="H39" s="34" t="s">
        <v>2636</v>
      </c>
      <c r="I39" s="30" t="s">
        <v>2637</v>
      </c>
      <c r="J39" s="32" t="s">
        <v>2638</v>
      </c>
    </row>
    <row r="40" spans="1:10" x14ac:dyDescent="0.25">
      <c r="A40" s="21" t="s">
        <v>210</v>
      </c>
      <c r="B40" s="21" t="s">
        <v>210</v>
      </c>
      <c r="C40" s="36" t="s">
        <v>211</v>
      </c>
      <c r="H40" s="19" t="s">
        <v>110</v>
      </c>
      <c r="I40" s="77" t="s">
        <v>109</v>
      </c>
      <c r="J40" s="41" t="s">
        <v>53</v>
      </c>
    </row>
    <row r="41" spans="1:10" x14ac:dyDescent="0.25">
      <c r="A41" s="21" t="s">
        <v>212</v>
      </c>
      <c r="B41" s="21" t="s">
        <v>213</v>
      </c>
      <c r="C41" s="36" t="s">
        <v>214</v>
      </c>
      <c r="H41" s="19" t="s">
        <v>3102</v>
      </c>
      <c r="I41" s="77" t="s">
        <v>3112</v>
      </c>
      <c r="J41" s="76" t="s">
        <v>3111</v>
      </c>
    </row>
    <row r="42" spans="1:10" x14ac:dyDescent="0.25">
      <c r="A42" s="21" t="s">
        <v>215</v>
      </c>
      <c r="B42" s="21" t="s">
        <v>215</v>
      </c>
      <c r="C42" s="36"/>
    </row>
    <row r="43" spans="1:10" x14ac:dyDescent="0.25">
      <c r="A43" s="21" t="s">
        <v>216</v>
      </c>
      <c r="B43" s="21" t="s">
        <v>217</v>
      </c>
      <c r="C43" s="36"/>
    </row>
    <row r="44" spans="1:10" x14ac:dyDescent="0.25">
      <c r="A44" s="21" t="s">
        <v>218</v>
      </c>
      <c r="B44" s="21" t="s">
        <v>219</v>
      </c>
      <c r="C44" s="36"/>
    </row>
    <row r="45" spans="1:10" x14ac:dyDescent="0.25">
      <c r="A45" s="21" t="s">
        <v>220</v>
      </c>
      <c r="B45" s="21" t="s">
        <v>220</v>
      </c>
      <c r="C45" s="36"/>
    </row>
    <row r="46" spans="1:10" x14ac:dyDescent="0.25">
      <c r="A46" s="21" t="s">
        <v>221</v>
      </c>
      <c r="B46" s="21" t="s">
        <v>222</v>
      </c>
      <c r="C46" s="36"/>
    </row>
    <row r="47" spans="1:10" x14ac:dyDescent="0.25">
      <c r="A47" s="21" t="s">
        <v>223</v>
      </c>
      <c r="B47" s="21" t="s">
        <v>224</v>
      </c>
      <c r="C47" s="36"/>
    </row>
    <row r="48" spans="1:10" x14ac:dyDescent="0.25">
      <c r="A48" s="21" t="s">
        <v>225</v>
      </c>
      <c r="B48" s="21" t="s">
        <v>226</v>
      </c>
      <c r="C48" s="36"/>
    </row>
    <row r="49" spans="1:3" x14ac:dyDescent="0.25">
      <c r="A49" s="21" t="s">
        <v>227</v>
      </c>
      <c r="B49" s="21" t="s">
        <v>228</v>
      </c>
      <c r="C49" s="36" t="s">
        <v>229</v>
      </c>
    </row>
    <row r="50" spans="1:3" x14ac:dyDescent="0.25">
      <c r="A50" s="21" t="s">
        <v>230</v>
      </c>
      <c r="B50" s="21" t="s">
        <v>231</v>
      </c>
      <c r="C50" s="36"/>
    </row>
    <row r="51" spans="1:3" x14ac:dyDescent="0.25">
      <c r="A51" s="21" t="s">
        <v>232</v>
      </c>
      <c r="B51" s="21" t="s">
        <v>233</v>
      </c>
      <c r="C51" s="36"/>
    </row>
    <row r="52" spans="1:3" x14ac:dyDescent="0.25">
      <c r="A52" s="21" t="s">
        <v>234</v>
      </c>
      <c r="B52" s="21" t="s">
        <v>235</v>
      </c>
      <c r="C52" s="36"/>
    </row>
    <row r="53" spans="1:3" x14ac:dyDescent="0.25">
      <c r="A53" s="21" t="s">
        <v>236</v>
      </c>
      <c r="B53" s="21" t="s">
        <v>237</v>
      </c>
      <c r="C53" s="36"/>
    </row>
    <row r="54" spans="1:3" x14ac:dyDescent="0.25">
      <c r="A54" s="21" t="s">
        <v>238</v>
      </c>
      <c r="B54" s="21" t="s">
        <v>239</v>
      </c>
      <c r="C54" s="36"/>
    </row>
    <row r="55" spans="1:3" x14ac:dyDescent="0.25">
      <c r="A55" s="21" t="s">
        <v>240</v>
      </c>
      <c r="B55" s="21" t="s">
        <v>240</v>
      </c>
      <c r="C55" s="36" t="s">
        <v>241</v>
      </c>
    </row>
    <row r="56" spans="1:3" x14ac:dyDescent="0.25">
      <c r="A56" s="22" t="s">
        <v>242</v>
      </c>
      <c r="B56" s="21" t="s">
        <v>243</v>
      </c>
      <c r="C56" s="36"/>
    </row>
    <row r="57" spans="1:3" x14ac:dyDescent="0.25">
      <c r="A57" s="21" t="s">
        <v>244</v>
      </c>
      <c r="B57" s="21" t="s">
        <v>245</v>
      </c>
      <c r="C57" s="36"/>
    </row>
    <row r="58" spans="1:3" x14ac:dyDescent="0.25">
      <c r="A58" s="21" t="s">
        <v>246</v>
      </c>
      <c r="B58" s="21" t="s">
        <v>246</v>
      </c>
      <c r="C58" s="36" t="s">
        <v>247</v>
      </c>
    </row>
    <row r="59" spans="1:3" x14ac:dyDescent="0.25">
      <c r="A59" s="21" t="s">
        <v>75</v>
      </c>
      <c r="B59" s="21" t="s">
        <v>248</v>
      </c>
      <c r="C59" s="36"/>
    </row>
    <row r="60" spans="1:3" x14ac:dyDescent="0.25">
      <c r="A60" s="22" t="s">
        <v>249</v>
      </c>
      <c r="B60" s="21" t="s">
        <v>250</v>
      </c>
      <c r="C60" s="36"/>
    </row>
    <row r="61" spans="1:3" x14ac:dyDescent="0.25">
      <c r="A61" s="21" t="s">
        <v>251</v>
      </c>
      <c r="B61" s="21" t="s">
        <v>252</v>
      </c>
      <c r="C61" s="36"/>
    </row>
    <row r="62" spans="1:3" x14ac:dyDescent="0.25">
      <c r="A62" s="21" t="s">
        <v>253</v>
      </c>
      <c r="B62" s="21" t="s">
        <v>254</v>
      </c>
      <c r="C62" s="36"/>
    </row>
    <row r="63" spans="1:3" x14ac:dyDescent="0.25">
      <c r="A63" s="21" t="s">
        <v>255</v>
      </c>
      <c r="B63" s="21" t="s">
        <v>256</v>
      </c>
      <c r="C63" s="36" t="s">
        <v>257</v>
      </c>
    </row>
    <row r="64" spans="1:3" x14ac:dyDescent="0.25">
      <c r="A64" s="21" t="s">
        <v>258</v>
      </c>
      <c r="B64" s="21" t="s">
        <v>259</v>
      </c>
      <c r="C64" s="36"/>
    </row>
    <row r="65" spans="1:3" x14ac:dyDescent="0.25">
      <c r="A65" s="21" t="s">
        <v>260</v>
      </c>
      <c r="B65" s="21" t="s">
        <v>261</v>
      </c>
      <c r="C65" s="36"/>
    </row>
    <row r="66" spans="1:3" x14ac:dyDescent="0.25">
      <c r="A66" s="21" t="s">
        <v>262</v>
      </c>
      <c r="B66" s="21" t="s">
        <v>262</v>
      </c>
      <c r="C66" s="36"/>
    </row>
    <row r="67" spans="1:3" x14ac:dyDescent="0.25">
      <c r="A67" s="21" t="s">
        <v>263</v>
      </c>
      <c r="B67" s="21" t="s">
        <v>264</v>
      </c>
      <c r="C67" s="36"/>
    </row>
    <row r="68" spans="1:3" x14ac:dyDescent="0.25">
      <c r="A68" s="21" t="s">
        <v>265</v>
      </c>
      <c r="B68" s="21" t="s">
        <v>266</v>
      </c>
      <c r="C68" s="36"/>
    </row>
    <row r="69" spans="1:3" x14ac:dyDescent="0.25">
      <c r="A69" s="21" t="s">
        <v>267</v>
      </c>
      <c r="B69" s="21" t="s">
        <v>268</v>
      </c>
      <c r="C69" s="36"/>
    </row>
    <row r="70" spans="1:3" x14ac:dyDescent="0.25">
      <c r="A70" s="21" t="s">
        <v>45</v>
      </c>
      <c r="B70" s="21" t="s">
        <v>269</v>
      </c>
      <c r="C70" s="36"/>
    </row>
    <row r="71" spans="1:3" x14ac:dyDescent="0.25">
      <c r="A71" s="21" t="s">
        <v>270</v>
      </c>
      <c r="B71" s="21" t="s">
        <v>270</v>
      </c>
      <c r="C71" s="36" t="s">
        <v>271</v>
      </c>
    </row>
    <row r="72" spans="1:3" x14ac:dyDescent="0.25">
      <c r="A72" s="21" t="s">
        <v>272</v>
      </c>
      <c r="B72" s="21" t="s">
        <v>273</v>
      </c>
      <c r="C72" s="36" t="s">
        <v>274</v>
      </c>
    </row>
    <row r="73" spans="1:3" x14ac:dyDescent="0.25">
      <c r="A73" s="21" t="s">
        <v>275</v>
      </c>
      <c r="B73" s="21" t="s">
        <v>275</v>
      </c>
      <c r="C73" s="36"/>
    </row>
    <row r="74" spans="1:3" x14ac:dyDescent="0.25">
      <c r="A74" s="21" t="s">
        <v>276</v>
      </c>
      <c r="B74" s="21" t="s">
        <v>276</v>
      </c>
      <c r="C74" s="36" t="s">
        <v>271</v>
      </c>
    </row>
    <row r="75" spans="1:3" x14ac:dyDescent="0.25">
      <c r="A75" s="21" t="s">
        <v>277</v>
      </c>
      <c r="B75" s="21" t="s">
        <v>278</v>
      </c>
      <c r="C75" s="36"/>
    </row>
    <row r="76" spans="1:3" x14ac:dyDescent="0.25">
      <c r="A76" s="22" t="s">
        <v>2972</v>
      </c>
      <c r="B76" s="22" t="s">
        <v>2972</v>
      </c>
      <c r="C76" s="37"/>
    </row>
    <row r="77" spans="1:3" x14ac:dyDescent="0.25">
      <c r="A77" s="21" t="s">
        <v>279</v>
      </c>
      <c r="B77" s="21" t="s">
        <v>279</v>
      </c>
      <c r="C77" s="36" t="s">
        <v>280</v>
      </c>
    </row>
    <row r="78" spans="1:3" x14ac:dyDescent="0.25">
      <c r="A78" s="21" t="s">
        <v>2973</v>
      </c>
      <c r="B78" s="21" t="s">
        <v>2973</v>
      </c>
      <c r="C78" s="36" t="s">
        <v>280</v>
      </c>
    </row>
    <row r="79" spans="1:3" x14ac:dyDescent="0.25">
      <c r="A79" s="21" t="s">
        <v>281</v>
      </c>
      <c r="B79" s="21" t="s">
        <v>281</v>
      </c>
      <c r="C79" s="36"/>
    </row>
    <row r="80" spans="1:3" x14ac:dyDescent="0.25">
      <c r="A80" s="21" t="s">
        <v>282</v>
      </c>
      <c r="B80" s="21" t="s">
        <v>283</v>
      </c>
      <c r="C80" s="36"/>
    </row>
    <row r="81" spans="1:3" x14ac:dyDescent="0.25">
      <c r="A81" s="21" t="s">
        <v>284</v>
      </c>
      <c r="B81" s="21" t="s">
        <v>285</v>
      </c>
      <c r="C81" s="36" t="s">
        <v>286</v>
      </c>
    </row>
    <row r="82" spans="1:3" x14ac:dyDescent="0.25">
      <c r="A82" s="21" t="s">
        <v>287</v>
      </c>
      <c r="B82" s="21" t="s">
        <v>288</v>
      </c>
      <c r="C82" s="36" t="s">
        <v>289</v>
      </c>
    </row>
    <row r="83" spans="1:3" x14ac:dyDescent="0.25">
      <c r="A83" s="21" t="s">
        <v>290</v>
      </c>
      <c r="B83" s="21" t="s">
        <v>291</v>
      </c>
      <c r="C83" s="36"/>
    </row>
    <row r="84" spans="1:3" x14ac:dyDescent="0.25">
      <c r="A84" s="21" t="s">
        <v>292</v>
      </c>
      <c r="B84" s="21" t="s">
        <v>293</v>
      </c>
      <c r="C84" s="36"/>
    </row>
    <row r="85" spans="1:3" x14ac:dyDescent="0.25">
      <c r="A85" s="21" t="s">
        <v>294</v>
      </c>
      <c r="B85" s="21" t="s">
        <v>294</v>
      </c>
      <c r="C85" s="36" t="s">
        <v>295</v>
      </c>
    </row>
    <row r="86" spans="1:3" x14ac:dyDescent="0.25">
      <c r="A86" s="21" t="s">
        <v>296</v>
      </c>
      <c r="B86" s="21" t="s">
        <v>297</v>
      </c>
      <c r="C86" s="36" t="s">
        <v>298</v>
      </c>
    </row>
    <row r="87" spans="1:3" x14ac:dyDescent="0.25">
      <c r="A87" s="21" t="s">
        <v>299</v>
      </c>
      <c r="B87" s="21" t="s">
        <v>299</v>
      </c>
      <c r="C87" s="36"/>
    </row>
    <row r="88" spans="1:3" x14ac:dyDescent="0.25">
      <c r="A88" s="21" t="s">
        <v>300</v>
      </c>
      <c r="B88" s="21" t="s">
        <v>301</v>
      </c>
      <c r="C88" s="36"/>
    </row>
    <row r="89" spans="1:3" x14ac:dyDescent="0.25">
      <c r="A89" s="28" t="s">
        <v>302</v>
      </c>
      <c r="B89" s="28" t="s">
        <v>303</v>
      </c>
    </row>
    <row r="90" spans="1:3" x14ac:dyDescent="0.25">
      <c r="A90" s="21" t="s">
        <v>304</v>
      </c>
      <c r="B90" s="21" t="s">
        <v>305</v>
      </c>
      <c r="C90" s="36"/>
    </row>
    <row r="91" spans="1:3" x14ac:dyDescent="0.25">
      <c r="A91" s="21" t="s">
        <v>306</v>
      </c>
      <c r="B91" s="21" t="s">
        <v>307</v>
      </c>
      <c r="C91" s="36"/>
    </row>
    <row r="92" spans="1:3" x14ac:dyDescent="0.25">
      <c r="A92" s="21" t="s">
        <v>2627</v>
      </c>
      <c r="B92" s="21" t="s">
        <v>309</v>
      </c>
      <c r="C92" s="36"/>
    </row>
    <row r="93" spans="1:3" x14ac:dyDescent="0.25">
      <c r="A93" s="21" t="s">
        <v>308</v>
      </c>
      <c r="B93" s="21" t="s">
        <v>309</v>
      </c>
      <c r="C93" s="36"/>
    </row>
    <row r="94" spans="1:3" x14ac:dyDescent="0.25">
      <c r="A94" s="21" t="s">
        <v>310</v>
      </c>
      <c r="B94" s="21" t="s">
        <v>311</v>
      </c>
      <c r="C94" s="36"/>
    </row>
    <row r="95" spans="1:3" x14ac:dyDescent="0.25">
      <c r="A95" s="21" t="s">
        <v>312</v>
      </c>
      <c r="B95" s="21" t="s">
        <v>312</v>
      </c>
      <c r="C95" s="36"/>
    </row>
    <row r="96" spans="1:3" x14ac:dyDescent="0.25">
      <c r="A96" s="21" t="s">
        <v>313</v>
      </c>
      <c r="B96" s="21" t="s">
        <v>313</v>
      </c>
      <c r="C96" s="36"/>
    </row>
    <row r="97" spans="1:3" x14ac:dyDescent="0.25">
      <c r="A97" s="21" t="s">
        <v>314</v>
      </c>
      <c r="B97" s="21" t="s">
        <v>314</v>
      </c>
      <c r="C97" s="36" t="s">
        <v>315</v>
      </c>
    </row>
    <row r="98" spans="1:3" x14ac:dyDescent="0.25">
      <c r="A98" s="21" t="s">
        <v>316</v>
      </c>
      <c r="B98" s="21" t="s">
        <v>316</v>
      </c>
      <c r="C98" s="36" t="s">
        <v>317</v>
      </c>
    </row>
    <row r="99" spans="1:3" x14ac:dyDescent="0.25">
      <c r="A99" s="21" t="s">
        <v>318</v>
      </c>
      <c r="B99" s="21" t="s">
        <v>318</v>
      </c>
      <c r="C99" s="36"/>
    </row>
    <row r="100" spans="1:3" x14ac:dyDescent="0.25">
      <c r="A100" s="21" t="s">
        <v>319</v>
      </c>
      <c r="B100" s="21" t="s">
        <v>320</v>
      </c>
      <c r="C100" s="36"/>
    </row>
    <row r="101" spans="1:3" x14ac:dyDescent="0.25">
      <c r="A101" s="21" t="s">
        <v>321</v>
      </c>
      <c r="B101" s="21" t="s">
        <v>321</v>
      </c>
      <c r="C101" s="36"/>
    </row>
    <row r="102" spans="1:3" x14ac:dyDescent="0.25">
      <c r="A102" s="21" t="s">
        <v>322</v>
      </c>
      <c r="B102" s="21" t="s">
        <v>323</v>
      </c>
      <c r="C102" s="36"/>
    </row>
    <row r="103" spans="1:3" x14ac:dyDescent="0.25">
      <c r="A103" s="21" t="s">
        <v>324</v>
      </c>
      <c r="B103" s="21" t="s">
        <v>325</v>
      </c>
      <c r="C103" s="36"/>
    </row>
    <row r="104" spans="1:3" x14ac:dyDescent="0.25">
      <c r="A104" s="21" t="s">
        <v>326</v>
      </c>
      <c r="B104" s="21" t="s">
        <v>327</v>
      </c>
      <c r="C104" s="36"/>
    </row>
    <row r="105" spans="1:3" x14ac:dyDescent="0.25">
      <c r="A105" s="21" t="s">
        <v>328</v>
      </c>
      <c r="B105" s="21" t="s">
        <v>328</v>
      </c>
      <c r="C105" s="36" t="s">
        <v>329</v>
      </c>
    </row>
    <row r="106" spans="1:3" x14ac:dyDescent="0.25">
      <c r="A106" s="21" t="s">
        <v>330</v>
      </c>
      <c r="B106" s="21" t="s">
        <v>331</v>
      </c>
      <c r="C106" s="36"/>
    </row>
    <row r="107" spans="1:3" x14ac:dyDescent="0.25">
      <c r="A107" s="21" t="s">
        <v>332</v>
      </c>
      <c r="B107" s="21" t="s">
        <v>333</v>
      </c>
      <c r="C107" s="36" t="s">
        <v>334</v>
      </c>
    </row>
    <row r="108" spans="1:3" x14ac:dyDescent="0.25">
      <c r="A108" s="21" t="s">
        <v>335</v>
      </c>
      <c r="B108" s="21" t="s">
        <v>336</v>
      </c>
      <c r="C108" s="36"/>
    </row>
    <row r="109" spans="1:3" x14ac:dyDescent="0.25">
      <c r="A109" s="21" t="s">
        <v>337</v>
      </c>
      <c r="B109" s="21" t="s">
        <v>338</v>
      </c>
      <c r="C109" s="36"/>
    </row>
    <row r="110" spans="1:3" x14ac:dyDescent="0.25">
      <c r="A110" s="21" t="s">
        <v>339</v>
      </c>
      <c r="B110" s="21" t="s">
        <v>339</v>
      </c>
      <c r="C110" s="36"/>
    </row>
    <row r="111" spans="1:3" x14ac:dyDescent="0.25">
      <c r="A111" s="21" t="s">
        <v>340</v>
      </c>
      <c r="B111" s="21" t="s">
        <v>340</v>
      </c>
      <c r="C111" s="36"/>
    </row>
    <row r="112" spans="1:3" x14ac:dyDescent="0.25">
      <c r="A112" s="21" t="s">
        <v>341</v>
      </c>
      <c r="B112" s="21" t="s">
        <v>342</v>
      </c>
      <c r="C112" s="36" t="s">
        <v>343</v>
      </c>
    </row>
    <row r="113" spans="1:3" x14ac:dyDescent="0.25">
      <c r="A113" s="21" t="s">
        <v>344</v>
      </c>
      <c r="B113" s="21" t="s">
        <v>344</v>
      </c>
      <c r="C113" s="36" t="s">
        <v>345</v>
      </c>
    </row>
    <row r="114" spans="1:3" x14ac:dyDescent="0.25">
      <c r="A114" s="21" t="s">
        <v>346</v>
      </c>
      <c r="B114" s="21" t="s">
        <v>346</v>
      </c>
      <c r="C114" s="36"/>
    </row>
    <row r="115" spans="1:3" x14ac:dyDescent="0.25">
      <c r="A115" s="21" t="s">
        <v>347</v>
      </c>
      <c r="B115" s="21" t="s">
        <v>348</v>
      </c>
      <c r="C115" s="36"/>
    </row>
    <row r="116" spans="1:3" x14ac:dyDescent="0.25">
      <c r="A116" s="21" t="s">
        <v>349</v>
      </c>
      <c r="B116" s="21" t="s">
        <v>349</v>
      </c>
      <c r="C116" s="36"/>
    </row>
    <row r="117" spans="1:3" x14ac:dyDescent="0.25">
      <c r="A117" s="21" t="s">
        <v>350</v>
      </c>
      <c r="B117" s="21" t="s">
        <v>351</v>
      </c>
      <c r="C117" s="36"/>
    </row>
    <row r="118" spans="1:3" x14ac:dyDescent="0.25">
      <c r="A118" s="21" t="s">
        <v>352</v>
      </c>
      <c r="B118" s="21" t="s">
        <v>353</v>
      </c>
      <c r="C118" s="36"/>
    </row>
    <row r="119" spans="1:3" x14ac:dyDescent="0.25">
      <c r="A119" s="21" t="s">
        <v>354</v>
      </c>
      <c r="B119" s="21" t="s">
        <v>355</v>
      </c>
      <c r="C119" s="36"/>
    </row>
    <row r="120" spans="1:3" x14ac:dyDescent="0.25">
      <c r="A120" s="21" t="s">
        <v>356</v>
      </c>
      <c r="B120" s="21" t="s">
        <v>356</v>
      </c>
      <c r="C120" s="36"/>
    </row>
    <row r="121" spans="1:3" x14ac:dyDescent="0.25">
      <c r="A121" s="21" t="s">
        <v>357</v>
      </c>
      <c r="B121" s="21" t="s">
        <v>358</v>
      </c>
      <c r="C121" s="36"/>
    </row>
    <row r="122" spans="1:3" x14ac:dyDescent="0.25">
      <c r="A122" s="21" t="s">
        <v>359</v>
      </c>
      <c r="B122" s="21" t="s">
        <v>359</v>
      </c>
      <c r="C122" s="36" t="s">
        <v>360</v>
      </c>
    </row>
    <row r="123" spans="1:3" x14ac:dyDescent="0.25">
      <c r="A123" s="21" t="s">
        <v>361</v>
      </c>
      <c r="B123" s="21" t="s">
        <v>361</v>
      </c>
      <c r="C123" s="36"/>
    </row>
    <row r="124" spans="1:3" x14ac:dyDescent="0.25">
      <c r="A124" s="21" t="s">
        <v>362</v>
      </c>
      <c r="B124" s="21" t="s">
        <v>363</v>
      </c>
      <c r="C124" s="36"/>
    </row>
    <row r="125" spans="1:3" x14ac:dyDescent="0.25">
      <c r="A125" s="22" t="s">
        <v>364</v>
      </c>
      <c r="B125" s="21" t="s">
        <v>365</v>
      </c>
      <c r="C125" s="36"/>
    </row>
    <row r="126" spans="1:3" x14ac:dyDescent="0.25">
      <c r="A126" s="21" t="s">
        <v>366</v>
      </c>
      <c r="B126" s="21" t="s">
        <v>367</v>
      </c>
      <c r="C126" s="36"/>
    </row>
    <row r="127" spans="1:3" x14ac:dyDescent="0.25">
      <c r="A127" s="21" t="s">
        <v>368</v>
      </c>
      <c r="B127" s="21" t="s">
        <v>368</v>
      </c>
      <c r="C127" s="36"/>
    </row>
    <row r="128" spans="1:3" x14ac:dyDescent="0.25">
      <c r="A128" s="21" t="s">
        <v>369</v>
      </c>
      <c r="B128" s="21" t="s">
        <v>370</v>
      </c>
      <c r="C128" s="36" t="s">
        <v>371</v>
      </c>
    </row>
    <row r="129" spans="1:3" x14ac:dyDescent="0.25">
      <c r="A129" s="21" t="s">
        <v>372</v>
      </c>
      <c r="B129" s="21" t="s">
        <v>373</v>
      </c>
      <c r="C129" s="36"/>
    </row>
    <row r="130" spans="1:3" x14ac:dyDescent="0.25">
      <c r="A130" s="21" t="s">
        <v>374</v>
      </c>
      <c r="B130" s="21" t="s">
        <v>375</v>
      </c>
      <c r="C130" s="36"/>
    </row>
    <row r="131" spans="1:3" x14ac:dyDescent="0.25">
      <c r="A131" s="21" t="s">
        <v>376</v>
      </c>
      <c r="B131" s="21" t="s">
        <v>377</v>
      </c>
      <c r="C131" s="36"/>
    </row>
    <row r="132" spans="1:3" x14ac:dyDescent="0.25">
      <c r="A132" s="23" t="s">
        <v>378</v>
      </c>
      <c r="B132" s="21" t="s">
        <v>378</v>
      </c>
      <c r="C132" s="36"/>
    </row>
    <row r="133" spans="1:3" x14ac:dyDescent="0.25">
      <c r="A133" s="22" t="s">
        <v>379</v>
      </c>
      <c r="B133" s="21" t="s">
        <v>379</v>
      </c>
      <c r="C133" s="36"/>
    </row>
    <row r="134" spans="1:3" x14ac:dyDescent="0.25">
      <c r="A134" s="22" t="s">
        <v>380</v>
      </c>
      <c r="B134" s="22" t="s">
        <v>381</v>
      </c>
      <c r="C134" s="36" t="s">
        <v>382</v>
      </c>
    </row>
    <row r="135" spans="1:3" x14ac:dyDescent="0.25">
      <c r="A135" s="21" t="s">
        <v>383</v>
      </c>
      <c r="B135" s="21" t="s">
        <v>384</v>
      </c>
      <c r="C135" s="36"/>
    </row>
    <row r="136" spans="1:3" x14ac:dyDescent="0.25">
      <c r="A136" s="21" t="s">
        <v>385</v>
      </c>
      <c r="B136" s="21" t="s">
        <v>386</v>
      </c>
      <c r="C136" s="36" t="s">
        <v>387</v>
      </c>
    </row>
    <row r="137" spans="1:3" x14ac:dyDescent="0.25">
      <c r="A137" s="21" t="s">
        <v>388</v>
      </c>
      <c r="B137" s="21" t="s">
        <v>389</v>
      </c>
      <c r="C137" s="36" t="s">
        <v>390</v>
      </c>
    </row>
    <row r="138" spans="1:3" x14ac:dyDescent="0.25">
      <c r="A138" s="21" t="s">
        <v>391</v>
      </c>
      <c r="B138" s="21" t="s">
        <v>392</v>
      </c>
      <c r="C138" s="36"/>
    </row>
    <row r="139" spans="1:3" x14ac:dyDescent="0.25">
      <c r="A139" s="21" t="s">
        <v>393</v>
      </c>
      <c r="B139" s="21" t="s">
        <v>394</v>
      </c>
      <c r="C139" s="36"/>
    </row>
    <row r="140" spans="1:3" x14ac:dyDescent="0.25">
      <c r="A140" s="21" t="s">
        <v>395</v>
      </c>
      <c r="B140" s="21" t="s">
        <v>396</v>
      </c>
      <c r="C140" s="36"/>
    </row>
    <row r="141" spans="1:3" x14ac:dyDescent="0.25">
      <c r="A141" s="21" t="s">
        <v>397</v>
      </c>
      <c r="B141" s="21" t="s">
        <v>398</v>
      </c>
      <c r="C141" s="36"/>
    </row>
    <row r="142" spans="1:3" x14ac:dyDescent="0.25">
      <c r="A142" s="21" t="s">
        <v>33</v>
      </c>
      <c r="B142" s="21" t="s">
        <v>33</v>
      </c>
      <c r="C142" s="36" t="s">
        <v>399</v>
      </c>
    </row>
    <row r="143" spans="1:3" x14ac:dyDescent="0.25">
      <c r="A143" s="21" t="s">
        <v>400</v>
      </c>
      <c r="B143" s="21" t="s">
        <v>401</v>
      </c>
      <c r="C143" s="36"/>
    </row>
    <row r="144" spans="1:3" x14ac:dyDescent="0.25">
      <c r="A144" s="21" t="s">
        <v>402</v>
      </c>
      <c r="B144" s="21" t="s">
        <v>403</v>
      </c>
      <c r="C144" s="36"/>
    </row>
    <row r="145" spans="1:3" x14ac:dyDescent="0.25">
      <c r="A145" s="21" t="s">
        <v>404</v>
      </c>
      <c r="B145" s="21" t="s">
        <v>404</v>
      </c>
      <c r="C145" s="36" t="s">
        <v>247</v>
      </c>
    </row>
    <row r="146" spans="1:3" x14ac:dyDescent="0.25">
      <c r="A146" s="21" t="s">
        <v>405</v>
      </c>
      <c r="B146" s="21" t="s">
        <v>406</v>
      </c>
      <c r="C146" s="36"/>
    </row>
    <row r="147" spans="1:3" x14ac:dyDescent="0.25">
      <c r="A147" s="21" t="s">
        <v>407</v>
      </c>
      <c r="B147" s="21" t="s">
        <v>408</v>
      </c>
      <c r="C147" s="36"/>
    </row>
    <row r="148" spans="1:3" x14ac:dyDescent="0.25">
      <c r="A148" s="21" t="s">
        <v>409</v>
      </c>
      <c r="B148" s="21" t="s">
        <v>410</v>
      </c>
      <c r="C148" s="36"/>
    </row>
    <row r="149" spans="1:3" x14ac:dyDescent="0.25">
      <c r="A149" s="21" t="s">
        <v>411</v>
      </c>
      <c r="B149" s="21" t="s">
        <v>412</v>
      </c>
      <c r="C149" s="36"/>
    </row>
    <row r="150" spans="1:3" x14ac:dyDescent="0.25">
      <c r="A150" s="21" t="s">
        <v>413</v>
      </c>
      <c r="B150" s="21" t="s">
        <v>414</v>
      </c>
      <c r="C150" s="36"/>
    </row>
    <row r="151" spans="1:3" x14ac:dyDescent="0.25">
      <c r="A151" s="21" t="s">
        <v>415</v>
      </c>
      <c r="B151" s="21" t="s">
        <v>415</v>
      </c>
      <c r="C151" s="36"/>
    </row>
    <row r="152" spans="1:3" x14ac:dyDescent="0.25">
      <c r="A152" s="21" t="s">
        <v>416</v>
      </c>
      <c r="B152" s="21" t="s">
        <v>417</v>
      </c>
      <c r="C152" s="36"/>
    </row>
    <row r="153" spans="1:3" x14ac:dyDescent="0.25">
      <c r="A153" s="21" t="s">
        <v>418</v>
      </c>
      <c r="B153" s="21" t="s">
        <v>418</v>
      </c>
      <c r="C153" s="36"/>
    </row>
    <row r="154" spans="1:3" x14ac:dyDescent="0.25">
      <c r="A154" s="21" t="s">
        <v>419</v>
      </c>
      <c r="B154" s="21" t="s">
        <v>420</v>
      </c>
      <c r="C154" s="36"/>
    </row>
    <row r="155" spans="1:3" x14ac:dyDescent="0.25">
      <c r="A155" s="21" t="s">
        <v>421</v>
      </c>
      <c r="B155" s="21" t="s">
        <v>422</v>
      </c>
      <c r="C155" s="36"/>
    </row>
    <row r="156" spans="1:3" x14ac:dyDescent="0.25">
      <c r="A156" s="21" t="s">
        <v>423</v>
      </c>
      <c r="B156" s="21" t="s">
        <v>424</v>
      </c>
      <c r="C156" s="36" t="s">
        <v>425</v>
      </c>
    </row>
    <row r="157" spans="1:3" x14ac:dyDescent="0.25">
      <c r="A157" s="21" t="s">
        <v>426</v>
      </c>
      <c r="B157" s="21" t="s">
        <v>427</v>
      </c>
      <c r="C157" s="36"/>
    </row>
    <row r="158" spans="1:3" x14ac:dyDescent="0.25">
      <c r="A158" s="21" t="s">
        <v>428</v>
      </c>
      <c r="B158" s="21" t="s">
        <v>429</v>
      </c>
      <c r="C158" s="36"/>
    </row>
    <row r="159" spans="1:3" x14ac:dyDescent="0.25">
      <c r="A159" s="21" t="s">
        <v>430</v>
      </c>
      <c r="B159" s="21" t="s">
        <v>431</v>
      </c>
      <c r="C159" s="36" t="s">
        <v>432</v>
      </c>
    </row>
    <row r="160" spans="1:3" x14ac:dyDescent="0.25">
      <c r="A160" s="21" t="s">
        <v>433</v>
      </c>
      <c r="B160" s="21" t="s">
        <v>433</v>
      </c>
      <c r="C160" s="36"/>
    </row>
    <row r="161" spans="1:3" x14ac:dyDescent="0.25">
      <c r="A161" s="21" t="s">
        <v>2838</v>
      </c>
      <c r="B161" s="21" t="s">
        <v>2839</v>
      </c>
      <c r="C161" s="36"/>
    </row>
    <row r="162" spans="1:3" x14ac:dyDescent="0.25">
      <c r="A162" s="21" t="s">
        <v>2825</v>
      </c>
      <c r="B162" s="21" t="s">
        <v>2826</v>
      </c>
      <c r="C162" s="36"/>
    </row>
    <row r="163" spans="1:3" x14ac:dyDescent="0.25">
      <c r="A163" s="21" t="s">
        <v>434</v>
      </c>
      <c r="B163" s="21" t="s">
        <v>434</v>
      </c>
      <c r="C163" s="36"/>
    </row>
    <row r="164" spans="1:3" x14ac:dyDescent="0.25">
      <c r="A164" s="21" t="s">
        <v>435</v>
      </c>
      <c r="B164" s="21" t="s">
        <v>436</v>
      </c>
      <c r="C164" s="36"/>
    </row>
    <row r="165" spans="1:3" x14ac:dyDescent="0.25">
      <c r="A165" s="21" t="s">
        <v>437</v>
      </c>
      <c r="B165" s="21" t="s">
        <v>438</v>
      </c>
      <c r="C165" s="36"/>
    </row>
    <row r="166" spans="1:3" x14ac:dyDescent="0.25">
      <c r="A166" s="21" t="s">
        <v>439</v>
      </c>
      <c r="B166" s="21" t="s">
        <v>440</v>
      </c>
      <c r="C166" s="36"/>
    </row>
    <row r="167" spans="1:3" x14ac:dyDescent="0.25">
      <c r="A167" s="21" t="s">
        <v>441</v>
      </c>
      <c r="B167" s="21" t="s">
        <v>442</v>
      </c>
      <c r="C167" s="36"/>
    </row>
    <row r="168" spans="1:3" x14ac:dyDescent="0.25">
      <c r="A168" s="21" t="s">
        <v>443</v>
      </c>
      <c r="B168" s="21" t="s">
        <v>444</v>
      </c>
      <c r="C168" s="36"/>
    </row>
    <row r="169" spans="1:3" x14ac:dyDescent="0.25">
      <c r="A169" s="21" t="s">
        <v>445</v>
      </c>
      <c r="B169" s="21" t="s">
        <v>446</v>
      </c>
      <c r="C169" s="36" t="s">
        <v>447</v>
      </c>
    </row>
    <row r="170" spans="1:3" x14ac:dyDescent="0.25">
      <c r="A170" s="21" t="s">
        <v>448</v>
      </c>
      <c r="B170" s="21" t="s">
        <v>449</v>
      </c>
      <c r="C170" s="36"/>
    </row>
    <row r="171" spans="1:3" x14ac:dyDescent="0.25">
      <c r="A171" s="21" t="s">
        <v>450</v>
      </c>
      <c r="B171" s="21" t="s">
        <v>451</v>
      </c>
      <c r="C171" s="36"/>
    </row>
    <row r="172" spans="1:3" x14ac:dyDescent="0.25">
      <c r="A172" s="21" t="s">
        <v>2866</v>
      </c>
      <c r="B172" s="21" t="s">
        <v>2867</v>
      </c>
      <c r="C172" s="36"/>
    </row>
    <row r="173" spans="1:3" x14ac:dyDescent="0.25">
      <c r="A173" s="21" t="s">
        <v>452</v>
      </c>
      <c r="B173" s="21" t="s">
        <v>453</v>
      </c>
      <c r="C173" s="36"/>
    </row>
    <row r="174" spans="1:3" x14ac:dyDescent="0.25">
      <c r="A174" s="21" t="s">
        <v>454</v>
      </c>
      <c r="B174" s="21" t="s">
        <v>455</v>
      </c>
      <c r="C174" s="36"/>
    </row>
    <row r="175" spans="1:3" x14ac:dyDescent="0.25">
      <c r="A175" s="21" t="s">
        <v>456</v>
      </c>
      <c r="B175" s="21" t="s">
        <v>456</v>
      </c>
      <c r="C175" s="36"/>
    </row>
    <row r="176" spans="1:3" x14ac:dyDescent="0.25">
      <c r="A176" s="21" t="s">
        <v>457</v>
      </c>
      <c r="B176" s="21" t="s">
        <v>458</v>
      </c>
      <c r="C176" s="36"/>
    </row>
    <row r="177" spans="1:3" x14ac:dyDescent="0.25">
      <c r="A177" s="22" t="s">
        <v>459</v>
      </c>
      <c r="B177" s="22" t="s">
        <v>460</v>
      </c>
      <c r="C177" s="37"/>
    </row>
    <row r="178" spans="1:3" x14ac:dyDescent="0.25">
      <c r="A178" s="21" t="s">
        <v>461</v>
      </c>
      <c r="B178" s="21" t="s">
        <v>462</v>
      </c>
      <c r="C178" s="36"/>
    </row>
    <row r="179" spans="1:3" x14ac:dyDescent="0.25">
      <c r="A179" s="21" t="s">
        <v>463</v>
      </c>
      <c r="B179" s="21" t="s">
        <v>463</v>
      </c>
      <c r="C179" s="36"/>
    </row>
    <row r="180" spans="1:3" x14ac:dyDescent="0.25">
      <c r="A180" s="21" t="s">
        <v>464</v>
      </c>
      <c r="B180" s="21" t="s">
        <v>464</v>
      </c>
      <c r="C180" s="36"/>
    </row>
    <row r="181" spans="1:3" x14ac:dyDescent="0.25">
      <c r="A181" s="21" t="s">
        <v>465</v>
      </c>
      <c r="B181" s="21" t="s">
        <v>465</v>
      </c>
      <c r="C181" s="36"/>
    </row>
    <row r="182" spans="1:3" x14ac:dyDescent="0.25">
      <c r="A182" s="21" t="s">
        <v>466</v>
      </c>
      <c r="B182" s="21" t="s">
        <v>466</v>
      </c>
      <c r="C182" s="36" t="s">
        <v>467</v>
      </c>
    </row>
    <row r="183" spans="1:3" x14ac:dyDescent="0.25">
      <c r="A183" s="21" t="s">
        <v>468</v>
      </c>
      <c r="B183" s="21" t="s">
        <v>468</v>
      </c>
      <c r="C183" s="36"/>
    </row>
    <row r="184" spans="1:3" x14ac:dyDescent="0.25">
      <c r="A184" s="21" t="s">
        <v>469</v>
      </c>
      <c r="B184" s="21" t="s">
        <v>470</v>
      </c>
      <c r="C184" s="36"/>
    </row>
    <row r="185" spans="1:3" x14ac:dyDescent="0.25">
      <c r="A185" s="21" t="s">
        <v>471</v>
      </c>
      <c r="B185" s="21" t="s">
        <v>472</v>
      </c>
      <c r="C185" s="36" t="s">
        <v>473</v>
      </c>
    </row>
    <row r="186" spans="1:3" x14ac:dyDescent="0.25">
      <c r="A186" s="21" t="s">
        <v>474</v>
      </c>
      <c r="B186" s="21" t="s">
        <v>475</v>
      </c>
      <c r="C186" s="36"/>
    </row>
    <row r="187" spans="1:3" x14ac:dyDescent="0.25">
      <c r="A187" s="21" t="s">
        <v>476</v>
      </c>
      <c r="B187" s="21" t="s">
        <v>477</v>
      </c>
      <c r="C187" s="36"/>
    </row>
    <row r="188" spans="1:3" x14ac:dyDescent="0.25">
      <c r="A188" s="21" t="s">
        <v>478</v>
      </c>
      <c r="B188" s="21" t="s">
        <v>479</v>
      </c>
      <c r="C188" s="36"/>
    </row>
    <row r="189" spans="1:3" x14ac:dyDescent="0.25">
      <c r="A189" s="21" t="s">
        <v>480</v>
      </c>
      <c r="B189" s="21" t="s">
        <v>480</v>
      </c>
      <c r="C189" s="36"/>
    </row>
    <row r="190" spans="1:3" x14ac:dyDescent="0.25">
      <c r="A190" s="21" t="s">
        <v>481</v>
      </c>
      <c r="B190" s="21" t="s">
        <v>482</v>
      </c>
      <c r="C190" s="36"/>
    </row>
    <row r="191" spans="1:3" x14ac:dyDescent="0.25">
      <c r="A191" s="21" t="s">
        <v>483</v>
      </c>
      <c r="B191" s="21" t="s">
        <v>484</v>
      </c>
      <c r="C191" s="36"/>
    </row>
    <row r="192" spans="1:3" x14ac:dyDescent="0.25">
      <c r="A192" s="21" t="s">
        <v>485</v>
      </c>
      <c r="B192" s="21" t="s">
        <v>486</v>
      </c>
      <c r="C192" s="36" t="s">
        <v>487</v>
      </c>
    </row>
    <row r="193" spans="1:3" x14ac:dyDescent="0.25">
      <c r="A193" s="28" t="s">
        <v>488</v>
      </c>
      <c r="B193" s="28" t="s">
        <v>489</v>
      </c>
    </row>
    <row r="194" spans="1:3" x14ac:dyDescent="0.25">
      <c r="A194" s="21" t="s">
        <v>490</v>
      </c>
      <c r="B194" s="21" t="s">
        <v>491</v>
      </c>
      <c r="C194" s="36"/>
    </row>
    <row r="195" spans="1:3" x14ac:dyDescent="0.25">
      <c r="A195" s="21" t="s">
        <v>492</v>
      </c>
      <c r="B195" s="21" t="s">
        <v>493</v>
      </c>
      <c r="C195" s="36"/>
    </row>
    <row r="196" spans="1:3" x14ac:dyDescent="0.25">
      <c r="A196" s="21" t="s">
        <v>494</v>
      </c>
      <c r="B196" s="21" t="s">
        <v>495</v>
      </c>
      <c r="C196" s="36"/>
    </row>
    <row r="197" spans="1:3" x14ac:dyDescent="0.25">
      <c r="A197" s="21" t="s">
        <v>496</v>
      </c>
      <c r="B197" s="21" t="s">
        <v>497</v>
      </c>
      <c r="C197" s="36"/>
    </row>
    <row r="198" spans="1:3" x14ac:dyDescent="0.25">
      <c r="A198" s="21" t="s">
        <v>498</v>
      </c>
      <c r="B198" s="21" t="s">
        <v>499</v>
      </c>
      <c r="C198" s="36"/>
    </row>
    <row r="199" spans="1:3" x14ac:dyDescent="0.25">
      <c r="A199" s="21" t="s">
        <v>37</v>
      </c>
      <c r="B199" s="21" t="s">
        <v>133</v>
      </c>
      <c r="C199" s="36"/>
    </row>
    <row r="200" spans="1:3" x14ac:dyDescent="0.25">
      <c r="A200" s="21" t="s">
        <v>500</v>
      </c>
      <c r="B200" s="21" t="s">
        <v>501</v>
      </c>
      <c r="C200" s="36"/>
    </row>
    <row r="201" spans="1:3" x14ac:dyDescent="0.25">
      <c r="A201" s="21" t="s">
        <v>502</v>
      </c>
      <c r="B201" s="21" t="s">
        <v>503</v>
      </c>
      <c r="C201" s="36" t="s">
        <v>504</v>
      </c>
    </row>
    <row r="202" spans="1:3" x14ac:dyDescent="0.25">
      <c r="A202" s="21" t="s">
        <v>505</v>
      </c>
      <c r="B202" s="21" t="s">
        <v>506</v>
      </c>
      <c r="C202" s="36"/>
    </row>
    <row r="203" spans="1:3" x14ac:dyDescent="0.25">
      <c r="A203" s="21" t="s">
        <v>507</v>
      </c>
      <c r="B203" s="21" t="s">
        <v>508</v>
      </c>
      <c r="C203" s="36"/>
    </row>
    <row r="204" spans="1:3" x14ac:dyDescent="0.25">
      <c r="A204" s="21" t="s">
        <v>509</v>
      </c>
      <c r="B204" s="21" t="s">
        <v>510</v>
      </c>
      <c r="C204" s="36"/>
    </row>
    <row r="205" spans="1:3" x14ac:dyDescent="0.25">
      <c r="A205" s="21" t="s">
        <v>511</v>
      </c>
      <c r="B205" s="21" t="s">
        <v>511</v>
      </c>
      <c r="C205" s="36" t="s">
        <v>512</v>
      </c>
    </row>
    <row r="206" spans="1:3" x14ac:dyDescent="0.25">
      <c r="A206" s="21" t="s">
        <v>513</v>
      </c>
      <c r="B206" s="21" t="s">
        <v>513</v>
      </c>
      <c r="C206" s="36"/>
    </row>
    <row r="207" spans="1:3" x14ac:dyDescent="0.25">
      <c r="A207" s="21" t="s">
        <v>514</v>
      </c>
      <c r="B207" s="21" t="s">
        <v>514</v>
      </c>
      <c r="C207" s="36"/>
    </row>
    <row r="208" spans="1:3" x14ac:dyDescent="0.25">
      <c r="A208" s="21" t="s">
        <v>515</v>
      </c>
      <c r="B208" s="21" t="s">
        <v>516</v>
      </c>
      <c r="C208" s="36"/>
    </row>
    <row r="209" spans="1:3" x14ac:dyDescent="0.25">
      <c r="A209" s="21" t="s">
        <v>517</v>
      </c>
      <c r="B209" s="21" t="s">
        <v>518</v>
      </c>
      <c r="C209" s="36"/>
    </row>
    <row r="210" spans="1:3" x14ac:dyDescent="0.25">
      <c r="A210" s="21" t="s">
        <v>519</v>
      </c>
      <c r="B210" s="21" t="s">
        <v>520</v>
      </c>
      <c r="C210" s="36"/>
    </row>
    <row r="211" spans="1:3" x14ac:dyDescent="0.25">
      <c r="A211" s="21" t="s">
        <v>521</v>
      </c>
      <c r="B211" s="21" t="s">
        <v>522</v>
      </c>
      <c r="C211" s="36"/>
    </row>
    <row r="212" spans="1:3" x14ac:dyDescent="0.25">
      <c r="A212" s="21" t="s">
        <v>523</v>
      </c>
      <c r="B212" s="21" t="s">
        <v>524</v>
      </c>
      <c r="C212" s="36" t="s">
        <v>525</v>
      </c>
    </row>
    <row r="213" spans="1:3" x14ac:dyDescent="0.25">
      <c r="A213" s="21" t="s">
        <v>526</v>
      </c>
      <c r="B213" s="21" t="s">
        <v>527</v>
      </c>
      <c r="C213" s="36"/>
    </row>
    <row r="214" spans="1:3" x14ac:dyDescent="0.25">
      <c r="A214" s="21" t="s">
        <v>528</v>
      </c>
      <c r="B214" s="21" t="s">
        <v>529</v>
      </c>
      <c r="C214" s="36"/>
    </row>
    <row r="215" spans="1:3" x14ac:dyDescent="0.25">
      <c r="A215" s="21" t="s">
        <v>530</v>
      </c>
      <c r="B215" s="21" t="s">
        <v>531</v>
      </c>
      <c r="C215" s="36" t="s">
        <v>532</v>
      </c>
    </row>
    <row r="216" spans="1:3" x14ac:dyDescent="0.25">
      <c r="A216" s="21" t="s">
        <v>533</v>
      </c>
      <c r="B216" s="21" t="s">
        <v>534</v>
      </c>
      <c r="C216" s="36"/>
    </row>
    <row r="217" spans="1:3" x14ac:dyDescent="0.25">
      <c r="A217" s="21" t="s">
        <v>535</v>
      </c>
      <c r="B217" s="21" t="s">
        <v>536</v>
      </c>
      <c r="C217" s="36"/>
    </row>
    <row r="218" spans="1:3" x14ac:dyDescent="0.25">
      <c r="A218" s="21" t="s">
        <v>537</v>
      </c>
      <c r="B218" s="21" t="s">
        <v>538</v>
      </c>
      <c r="C218" s="36"/>
    </row>
    <row r="219" spans="1:3" x14ac:dyDescent="0.25">
      <c r="A219" s="21" t="s">
        <v>539</v>
      </c>
      <c r="B219" s="21" t="s">
        <v>540</v>
      </c>
      <c r="C219" s="36"/>
    </row>
    <row r="220" spans="1:3" x14ac:dyDescent="0.25">
      <c r="A220" s="21" t="s">
        <v>541</v>
      </c>
      <c r="B220" s="21" t="s">
        <v>542</v>
      </c>
      <c r="C220" s="36"/>
    </row>
    <row r="221" spans="1:3" x14ac:dyDescent="0.25">
      <c r="A221" s="21" t="s">
        <v>543</v>
      </c>
      <c r="B221" s="21" t="s">
        <v>544</v>
      </c>
      <c r="C221" s="36"/>
    </row>
    <row r="222" spans="1:3" x14ac:dyDescent="0.25">
      <c r="A222" s="21" t="s">
        <v>545</v>
      </c>
      <c r="B222" s="21" t="s">
        <v>546</v>
      </c>
      <c r="C222" s="36"/>
    </row>
    <row r="223" spans="1:3" x14ac:dyDescent="0.25">
      <c r="A223" s="21" t="s">
        <v>547</v>
      </c>
      <c r="B223" s="21" t="s">
        <v>548</v>
      </c>
      <c r="C223" s="36"/>
    </row>
    <row r="224" spans="1:3" x14ac:dyDescent="0.25">
      <c r="A224" s="21" t="s">
        <v>549</v>
      </c>
      <c r="B224" s="21" t="s">
        <v>550</v>
      </c>
      <c r="C224" s="36"/>
    </row>
    <row r="225" spans="1:3" x14ac:dyDescent="0.25">
      <c r="A225" s="28" t="s">
        <v>3300</v>
      </c>
      <c r="B225" s="28" t="s">
        <v>3300</v>
      </c>
    </row>
    <row r="226" spans="1:3" x14ac:dyDescent="0.25">
      <c r="A226" s="21" t="s">
        <v>551</v>
      </c>
      <c r="B226" s="21" t="s">
        <v>552</v>
      </c>
      <c r="C226" s="36"/>
    </row>
    <row r="227" spans="1:3" x14ac:dyDescent="0.25">
      <c r="A227" s="21" t="s">
        <v>553</v>
      </c>
      <c r="B227" s="21" t="s">
        <v>554</v>
      </c>
      <c r="C227" s="36" t="s">
        <v>555</v>
      </c>
    </row>
    <row r="228" spans="1:3" x14ac:dyDescent="0.25">
      <c r="A228" s="21" t="s">
        <v>556</v>
      </c>
      <c r="B228" s="21" t="s">
        <v>557</v>
      </c>
      <c r="C228" s="36"/>
    </row>
    <row r="229" spans="1:3" x14ac:dyDescent="0.25">
      <c r="A229" s="21" t="s">
        <v>558</v>
      </c>
      <c r="B229" s="21" t="s">
        <v>559</v>
      </c>
      <c r="C229" s="36"/>
    </row>
    <row r="230" spans="1:3" x14ac:dyDescent="0.25">
      <c r="A230" s="21" t="s">
        <v>560</v>
      </c>
      <c r="B230" s="21" t="s">
        <v>561</v>
      </c>
      <c r="C230" s="36"/>
    </row>
    <row r="231" spans="1:3" x14ac:dyDescent="0.25">
      <c r="A231" s="21" t="s">
        <v>562</v>
      </c>
      <c r="B231" s="21" t="s">
        <v>563</v>
      </c>
      <c r="C231" s="36"/>
    </row>
    <row r="232" spans="1:3" x14ac:dyDescent="0.25">
      <c r="A232" s="21" t="s">
        <v>564</v>
      </c>
      <c r="B232" s="21" t="s">
        <v>565</v>
      </c>
      <c r="C232" s="36"/>
    </row>
    <row r="233" spans="1:3" x14ac:dyDescent="0.25">
      <c r="A233" s="21" t="s">
        <v>566</v>
      </c>
      <c r="B233" s="21" t="s">
        <v>567</v>
      </c>
      <c r="C233" s="36"/>
    </row>
    <row r="234" spans="1:3" x14ac:dyDescent="0.25">
      <c r="A234" s="21" t="s">
        <v>568</v>
      </c>
      <c r="B234" s="21" t="s">
        <v>569</v>
      </c>
      <c r="C234" s="36"/>
    </row>
    <row r="235" spans="1:3" x14ac:dyDescent="0.25">
      <c r="A235" s="21" t="s">
        <v>570</v>
      </c>
      <c r="B235" s="21" t="s">
        <v>571</v>
      </c>
      <c r="C235" s="36"/>
    </row>
    <row r="236" spans="1:3" x14ac:dyDescent="0.25">
      <c r="A236" s="21" t="s">
        <v>572</v>
      </c>
      <c r="B236" s="21" t="s">
        <v>573</v>
      </c>
      <c r="C236" s="36"/>
    </row>
    <row r="237" spans="1:3" x14ac:dyDescent="0.25">
      <c r="A237" s="21" t="s">
        <v>574</v>
      </c>
      <c r="B237" s="21" t="s">
        <v>575</v>
      </c>
      <c r="C237" s="36"/>
    </row>
    <row r="238" spans="1:3" x14ac:dyDescent="0.25">
      <c r="A238" s="21" t="s">
        <v>576</v>
      </c>
      <c r="B238" s="21" t="s">
        <v>577</v>
      </c>
      <c r="C238" s="36"/>
    </row>
    <row r="239" spans="1:3" x14ac:dyDescent="0.25">
      <c r="A239" s="21" t="s">
        <v>578</v>
      </c>
      <c r="B239" s="21" t="s">
        <v>579</v>
      </c>
      <c r="C239" s="36"/>
    </row>
    <row r="240" spans="1:3" x14ac:dyDescent="0.25">
      <c r="A240" s="21" t="s">
        <v>580</v>
      </c>
      <c r="B240" s="21" t="s">
        <v>581</v>
      </c>
      <c r="C240" s="36"/>
    </row>
    <row r="241" spans="1:3" x14ac:dyDescent="0.25">
      <c r="A241" s="22" t="s">
        <v>582</v>
      </c>
      <c r="B241" s="22" t="s">
        <v>583</v>
      </c>
      <c r="C241" s="37"/>
    </row>
    <row r="242" spans="1:3" x14ac:dyDescent="0.25">
      <c r="A242" s="21" t="s">
        <v>584</v>
      </c>
      <c r="B242" s="21" t="s">
        <v>585</v>
      </c>
      <c r="C242" s="36"/>
    </row>
    <row r="243" spans="1:3" x14ac:dyDescent="0.25">
      <c r="A243" s="21" t="s">
        <v>586</v>
      </c>
      <c r="B243" s="21" t="s">
        <v>587</v>
      </c>
      <c r="C243" s="36"/>
    </row>
    <row r="244" spans="1:3" x14ac:dyDescent="0.25">
      <c r="A244" s="21" t="s">
        <v>588</v>
      </c>
      <c r="B244" s="21" t="s">
        <v>589</v>
      </c>
      <c r="C244" s="36"/>
    </row>
    <row r="245" spans="1:3" x14ac:dyDescent="0.25">
      <c r="A245" s="21" t="s">
        <v>590</v>
      </c>
      <c r="B245" s="21" t="s">
        <v>591</v>
      </c>
      <c r="C245" s="36"/>
    </row>
    <row r="246" spans="1:3" x14ac:dyDescent="0.25">
      <c r="A246" s="21" t="s">
        <v>592</v>
      </c>
      <c r="B246" s="21" t="s">
        <v>593</v>
      </c>
      <c r="C246" s="36"/>
    </row>
    <row r="247" spans="1:3" x14ac:dyDescent="0.25">
      <c r="A247" s="21" t="s">
        <v>594</v>
      </c>
      <c r="B247" s="21" t="s">
        <v>594</v>
      </c>
      <c r="C247" s="36"/>
    </row>
    <row r="248" spans="1:3" x14ac:dyDescent="0.25">
      <c r="A248" s="21" t="s">
        <v>595</v>
      </c>
      <c r="B248" s="21" t="s">
        <v>596</v>
      </c>
      <c r="C248" s="36"/>
    </row>
    <row r="249" spans="1:3" x14ac:dyDescent="0.25">
      <c r="A249" s="28" t="s">
        <v>3126</v>
      </c>
      <c r="B249" s="28" t="s">
        <v>489</v>
      </c>
    </row>
    <row r="250" spans="1:3" x14ac:dyDescent="0.25">
      <c r="A250" s="21" t="s">
        <v>597</v>
      </c>
      <c r="B250" s="21" t="s">
        <v>598</v>
      </c>
      <c r="C250" s="36" t="s">
        <v>599</v>
      </c>
    </row>
    <row r="251" spans="1:3" x14ac:dyDescent="0.25">
      <c r="A251" s="21" t="s">
        <v>600</v>
      </c>
      <c r="B251" s="21" t="s">
        <v>601</v>
      </c>
      <c r="C251" s="36"/>
    </row>
    <row r="252" spans="1:3" x14ac:dyDescent="0.25">
      <c r="A252" s="21" t="s">
        <v>602</v>
      </c>
      <c r="B252" s="21" t="s">
        <v>603</v>
      </c>
      <c r="C252" s="36"/>
    </row>
    <row r="253" spans="1:3" x14ac:dyDescent="0.25">
      <c r="A253" s="21" t="s">
        <v>604</v>
      </c>
      <c r="B253" s="21" t="s">
        <v>605</v>
      </c>
      <c r="C253" s="36"/>
    </row>
    <row r="254" spans="1:3" x14ac:dyDescent="0.25">
      <c r="A254" s="21" t="s">
        <v>606</v>
      </c>
      <c r="B254" s="21" t="s">
        <v>606</v>
      </c>
      <c r="C254" s="36"/>
    </row>
    <row r="255" spans="1:3" x14ac:dyDescent="0.25">
      <c r="A255" s="21" t="s">
        <v>607</v>
      </c>
      <c r="B255" s="21" t="s">
        <v>608</v>
      </c>
      <c r="C255" s="36"/>
    </row>
    <row r="256" spans="1:3" x14ac:dyDescent="0.25">
      <c r="A256" s="21" t="s">
        <v>609</v>
      </c>
      <c r="B256" s="21" t="s">
        <v>610</v>
      </c>
      <c r="C256" s="36"/>
    </row>
    <row r="257" spans="1:3" x14ac:dyDescent="0.25">
      <c r="A257" s="21" t="s">
        <v>611</v>
      </c>
      <c r="B257" s="21" t="s">
        <v>612</v>
      </c>
      <c r="C257" s="36"/>
    </row>
    <row r="258" spans="1:3" x14ac:dyDescent="0.25">
      <c r="A258" s="21" t="s">
        <v>613</v>
      </c>
      <c r="B258" s="21" t="s">
        <v>614</v>
      </c>
      <c r="C258" s="36"/>
    </row>
    <row r="259" spans="1:3" x14ac:dyDescent="0.25">
      <c r="A259" s="21" t="s">
        <v>615</v>
      </c>
      <c r="B259" s="21" t="s">
        <v>616</v>
      </c>
      <c r="C259" s="36"/>
    </row>
    <row r="260" spans="1:3" x14ac:dyDescent="0.25">
      <c r="A260" s="21" t="s">
        <v>617</v>
      </c>
      <c r="B260" s="21" t="s">
        <v>617</v>
      </c>
      <c r="C260" s="36" t="s">
        <v>618</v>
      </c>
    </row>
    <row r="261" spans="1:3" x14ac:dyDescent="0.25">
      <c r="A261" s="21" t="s">
        <v>619</v>
      </c>
      <c r="B261" s="21" t="s">
        <v>620</v>
      </c>
      <c r="C261" s="36"/>
    </row>
    <row r="262" spans="1:3" x14ac:dyDescent="0.25">
      <c r="A262" s="22" t="s">
        <v>112</v>
      </c>
      <c r="B262" s="21" t="s">
        <v>621</v>
      </c>
      <c r="C262" s="36" t="s">
        <v>622</v>
      </c>
    </row>
    <row r="263" spans="1:3" x14ac:dyDescent="0.25">
      <c r="A263" s="21" t="s">
        <v>623</v>
      </c>
      <c r="B263" s="21" t="s">
        <v>624</v>
      </c>
      <c r="C263" s="36"/>
    </row>
    <row r="264" spans="1:3" x14ac:dyDescent="0.25">
      <c r="A264" s="21" t="s">
        <v>625</v>
      </c>
      <c r="B264" s="21" t="s">
        <v>626</v>
      </c>
      <c r="C264" s="36"/>
    </row>
    <row r="265" spans="1:3" x14ac:dyDescent="0.25">
      <c r="A265" s="21" t="s">
        <v>627</v>
      </c>
      <c r="B265" s="21" t="s">
        <v>628</v>
      </c>
      <c r="C265" s="36"/>
    </row>
    <row r="266" spans="1:3" x14ac:dyDescent="0.25">
      <c r="A266" s="21" t="s">
        <v>629</v>
      </c>
      <c r="B266" s="21" t="s">
        <v>630</v>
      </c>
      <c r="C266" s="36" t="s">
        <v>631</v>
      </c>
    </row>
    <row r="267" spans="1:3" x14ac:dyDescent="0.25">
      <c r="A267" s="21" t="s">
        <v>632</v>
      </c>
      <c r="B267" s="21" t="s">
        <v>632</v>
      </c>
      <c r="C267" s="36"/>
    </row>
    <row r="268" spans="1:3" x14ac:dyDescent="0.25">
      <c r="A268" s="21" t="s">
        <v>633</v>
      </c>
      <c r="B268" s="21" t="s">
        <v>634</v>
      </c>
      <c r="C268" s="36" t="s">
        <v>635</v>
      </c>
    </row>
    <row r="269" spans="1:3" x14ac:dyDescent="0.25">
      <c r="A269" s="21" t="s">
        <v>636</v>
      </c>
      <c r="B269" s="21" t="s">
        <v>637</v>
      </c>
      <c r="C269" s="36"/>
    </row>
    <row r="270" spans="1:3" x14ac:dyDescent="0.25">
      <c r="A270" s="21" t="s">
        <v>638</v>
      </c>
      <c r="B270" s="21" t="s">
        <v>639</v>
      </c>
      <c r="C270" s="36"/>
    </row>
    <row r="271" spans="1:3" x14ac:dyDescent="0.25">
      <c r="A271" s="21" t="s">
        <v>640</v>
      </c>
      <c r="B271" s="21" t="s">
        <v>641</v>
      </c>
      <c r="C271" s="36"/>
    </row>
    <row r="272" spans="1:3" x14ac:dyDescent="0.25">
      <c r="A272" s="22" t="s">
        <v>642</v>
      </c>
      <c r="B272" s="22" t="s">
        <v>642</v>
      </c>
      <c r="C272" s="37"/>
    </row>
    <row r="273" spans="1:3" x14ac:dyDescent="0.25">
      <c r="A273" s="21" t="s">
        <v>643</v>
      </c>
      <c r="B273" s="21" t="s">
        <v>643</v>
      </c>
      <c r="C273" s="36"/>
    </row>
    <row r="274" spans="1:3" x14ac:dyDescent="0.25">
      <c r="A274" s="21" t="s">
        <v>644</v>
      </c>
      <c r="B274" s="21" t="s">
        <v>645</v>
      </c>
      <c r="C274" s="36" t="s">
        <v>646</v>
      </c>
    </row>
    <row r="275" spans="1:3" x14ac:dyDescent="0.25">
      <c r="A275" s="22" t="s">
        <v>647</v>
      </c>
      <c r="B275" s="22" t="s">
        <v>648</v>
      </c>
      <c r="C275" s="37"/>
    </row>
    <row r="276" spans="1:3" x14ac:dyDescent="0.25">
      <c r="A276" s="22" t="s">
        <v>649</v>
      </c>
      <c r="B276" s="21" t="s">
        <v>650</v>
      </c>
      <c r="C276" s="36"/>
    </row>
    <row r="277" spans="1:3" x14ac:dyDescent="0.25">
      <c r="A277" s="21" t="s">
        <v>651</v>
      </c>
      <c r="B277" s="21" t="s">
        <v>652</v>
      </c>
      <c r="C277" s="36"/>
    </row>
    <row r="278" spans="1:3" x14ac:dyDescent="0.25">
      <c r="A278" s="21" t="s">
        <v>653</v>
      </c>
      <c r="B278" s="21" t="s">
        <v>654</v>
      </c>
      <c r="C278" s="36"/>
    </row>
    <row r="279" spans="1:3" x14ac:dyDescent="0.25">
      <c r="A279" s="21" t="s">
        <v>655</v>
      </c>
      <c r="B279" s="21" t="s">
        <v>656</v>
      </c>
      <c r="C279" s="36"/>
    </row>
    <row r="280" spans="1:3" x14ac:dyDescent="0.25">
      <c r="A280" s="21" t="s">
        <v>657</v>
      </c>
      <c r="B280" s="21" t="s">
        <v>658</v>
      </c>
      <c r="C280" s="36"/>
    </row>
    <row r="281" spans="1:3" x14ac:dyDescent="0.25">
      <c r="A281" s="21" t="s">
        <v>659</v>
      </c>
      <c r="B281" s="21" t="s">
        <v>659</v>
      </c>
      <c r="C281" s="36" t="s">
        <v>660</v>
      </c>
    </row>
    <row r="282" spans="1:3" x14ac:dyDescent="0.25">
      <c r="A282" s="28" t="s">
        <v>58</v>
      </c>
      <c r="B282" s="28" t="s">
        <v>3018</v>
      </c>
    </row>
    <row r="283" spans="1:3" x14ac:dyDescent="0.25">
      <c r="A283" s="21" t="s">
        <v>661</v>
      </c>
      <c r="B283" s="21" t="s">
        <v>662</v>
      </c>
      <c r="C283" s="36"/>
    </row>
    <row r="284" spans="1:3" x14ac:dyDescent="0.25">
      <c r="A284" s="22" t="s">
        <v>663</v>
      </c>
      <c r="B284" s="22" t="s">
        <v>664</v>
      </c>
      <c r="C284" s="37"/>
    </row>
    <row r="285" spans="1:3" x14ac:dyDescent="0.25">
      <c r="A285" s="21" t="s">
        <v>665</v>
      </c>
      <c r="B285" s="21" t="s">
        <v>666</v>
      </c>
      <c r="C285" s="36"/>
    </row>
    <row r="286" spans="1:3" x14ac:dyDescent="0.25">
      <c r="A286" s="21" t="s">
        <v>667</v>
      </c>
      <c r="B286" s="21" t="s">
        <v>668</v>
      </c>
      <c r="C286" s="36"/>
    </row>
    <row r="287" spans="1:3" x14ac:dyDescent="0.25">
      <c r="A287" s="21" t="s">
        <v>669</v>
      </c>
      <c r="B287" s="21" t="s">
        <v>669</v>
      </c>
      <c r="C287" s="36"/>
    </row>
    <row r="288" spans="1:3" x14ac:dyDescent="0.25">
      <c r="A288" s="21" t="s">
        <v>670</v>
      </c>
      <c r="B288" s="21" t="s">
        <v>670</v>
      </c>
      <c r="C288" s="36" t="s">
        <v>671</v>
      </c>
    </row>
    <row r="289" spans="1:3" x14ac:dyDescent="0.25">
      <c r="A289" s="21" t="s">
        <v>672</v>
      </c>
      <c r="B289" s="21" t="s">
        <v>673</v>
      </c>
      <c r="C289" s="36"/>
    </row>
    <row r="290" spans="1:3" x14ac:dyDescent="0.25">
      <c r="A290" s="21" t="s">
        <v>674</v>
      </c>
      <c r="B290" s="21" t="s">
        <v>675</v>
      </c>
      <c r="C290" s="36"/>
    </row>
    <row r="291" spans="1:3" x14ac:dyDescent="0.25">
      <c r="A291" s="21" t="s">
        <v>676</v>
      </c>
      <c r="B291" s="21" t="s">
        <v>676</v>
      </c>
      <c r="C291" s="36" t="s">
        <v>677</v>
      </c>
    </row>
    <row r="292" spans="1:3" x14ac:dyDescent="0.25">
      <c r="A292" s="21" t="s">
        <v>678</v>
      </c>
      <c r="B292" s="21" t="s">
        <v>679</v>
      </c>
      <c r="C292" s="36"/>
    </row>
    <row r="293" spans="1:3" x14ac:dyDescent="0.25">
      <c r="A293" s="21" t="s">
        <v>680</v>
      </c>
      <c r="B293" s="21" t="s">
        <v>681</v>
      </c>
      <c r="C293" s="36"/>
    </row>
    <row r="294" spans="1:3" x14ac:dyDescent="0.25">
      <c r="A294" s="21" t="s">
        <v>682</v>
      </c>
      <c r="B294" s="21" t="s">
        <v>682</v>
      </c>
      <c r="C294" s="36" t="s">
        <v>683</v>
      </c>
    </row>
    <row r="295" spans="1:3" x14ac:dyDescent="0.25">
      <c r="A295" s="21" t="s">
        <v>684</v>
      </c>
      <c r="B295" s="21" t="s">
        <v>685</v>
      </c>
      <c r="C295" s="36"/>
    </row>
    <row r="296" spans="1:3" x14ac:dyDescent="0.25">
      <c r="A296" s="21" t="s">
        <v>686</v>
      </c>
      <c r="B296" s="21" t="s">
        <v>687</v>
      </c>
      <c r="C296" s="36"/>
    </row>
    <row r="297" spans="1:3" x14ac:dyDescent="0.25">
      <c r="A297" s="21" t="s">
        <v>688</v>
      </c>
      <c r="B297" s="21" t="s">
        <v>688</v>
      </c>
      <c r="C297" s="36"/>
    </row>
    <row r="298" spans="1:3" x14ac:dyDescent="0.25">
      <c r="A298" s="21" t="s">
        <v>689</v>
      </c>
      <c r="B298" s="21" t="s">
        <v>689</v>
      </c>
      <c r="C298" s="36" t="s">
        <v>690</v>
      </c>
    </row>
    <row r="299" spans="1:3" x14ac:dyDescent="0.25">
      <c r="A299" s="21" t="s">
        <v>691</v>
      </c>
      <c r="B299" s="21" t="s">
        <v>691</v>
      </c>
      <c r="C299" s="36"/>
    </row>
    <row r="300" spans="1:3" x14ac:dyDescent="0.25">
      <c r="A300" s="21" t="s">
        <v>692</v>
      </c>
      <c r="B300" s="21" t="s">
        <v>693</v>
      </c>
      <c r="C300" s="36"/>
    </row>
    <row r="301" spans="1:3" x14ac:dyDescent="0.25">
      <c r="A301" s="21" t="s">
        <v>694</v>
      </c>
      <c r="B301" s="21" t="s">
        <v>694</v>
      </c>
      <c r="C301" s="36" t="s">
        <v>695</v>
      </c>
    </row>
    <row r="302" spans="1:3" x14ac:dyDescent="0.25">
      <c r="A302" s="21" t="s">
        <v>696</v>
      </c>
      <c r="B302" s="21" t="s">
        <v>696</v>
      </c>
      <c r="C302" s="36" t="s">
        <v>697</v>
      </c>
    </row>
    <row r="303" spans="1:3" x14ac:dyDescent="0.25">
      <c r="A303" s="21" t="s">
        <v>698</v>
      </c>
      <c r="B303" s="21" t="s">
        <v>698</v>
      </c>
      <c r="C303" s="36" t="s">
        <v>699</v>
      </c>
    </row>
    <row r="304" spans="1:3" x14ac:dyDescent="0.25">
      <c r="A304" s="21" t="s">
        <v>700</v>
      </c>
      <c r="B304" s="21" t="s">
        <v>701</v>
      </c>
      <c r="C304" s="36"/>
    </row>
    <row r="305" spans="1:3" x14ac:dyDescent="0.25">
      <c r="A305" s="21" t="s">
        <v>702</v>
      </c>
      <c r="B305" s="21" t="s">
        <v>703</v>
      </c>
      <c r="C305" s="36"/>
    </row>
    <row r="306" spans="1:3" x14ac:dyDescent="0.25">
      <c r="A306" s="21" t="s">
        <v>704</v>
      </c>
      <c r="B306" s="21" t="s">
        <v>705</v>
      </c>
      <c r="C306" s="36"/>
    </row>
    <row r="307" spans="1:3" x14ac:dyDescent="0.25">
      <c r="A307" s="21" t="s">
        <v>706</v>
      </c>
      <c r="B307" s="21" t="s">
        <v>707</v>
      </c>
      <c r="C307" s="36"/>
    </row>
    <row r="308" spans="1:3" x14ac:dyDescent="0.25">
      <c r="A308" s="21" t="s">
        <v>708</v>
      </c>
      <c r="B308" s="21" t="s">
        <v>709</v>
      </c>
      <c r="C308" s="36"/>
    </row>
    <row r="309" spans="1:3" x14ac:dyDescent="0.25">
      <c r="A309" s="21" t="s">
        <v>710</v>
      </c>
      <c r="B309" s="21" t="s">
        <v>711</v>
      </c>
      <c r="C309" s="36"/>
    </row>
    <row r="310" spans="1:3" x14ac:dyDescent="0.25">
      <c r="A310" s="21" t="s">
        <v>712</v>
      </c>
      <c r="B310" s="21" t="s">
        <v>713</v>
      </c>
      <c r="C310" s="36" t="s">
        <v>714</v>
      </c>
    </row>
    <row r="311" spans="1:3" x14ac:dyDescent="0.25">
      <c r="A311" s="21" t="s">
        <v>715</v>
      </c>
      <c r="B311" s="21" t="s">
        <v>716</v>
      </c>
      <c r="C311" s="36" t="s">
        <v>717</v>
      </c>
    </row>
    <row r="312" spans="1:3" x14ac:dyDescent="0.25">
      <c r="A312" s="21" t="s">
        <v>718</v>
      </c>
      <c r="B312" s="21" t="s">
        <v>719</v>
      </c>
      <c r="C312" s="36"/>
    </row>
    <row r="313" spans="1:3" x14ac:dyDescent="0.25">
      <c r="A313" s="21" t="s">
        <v>720</v>
      </c>
      <c r="B313" s="21" t="s">
        <v>721</v>
      </c>
      <c r="C313" s="36"/>
    </row>
    <row r="314" spans="1:3" x14ac:dyDescent="0.25">
      <c r="A314" s="21" t="s">
        <v>722</v>
      </c>
      <c r="B314" s="21" t="s">
        <v>723</v>
      </c>
      <c r="C314" s="36"/>
    </row>
    <row r="315" spans="1:3" x14ac:dyDescent="0.25">
      <c r="A315" s="21" t="s">
        <v>724</v>
      </c>
      <c r="B315" s="21" t="s">
        <v>725</v>
      </c>
      <c r="C315" s="36" t="s">
        <v>726</v>
      </c>
    </row>
    <row r="316" spans="1:3" x14ac:dyDescent="0.25">
      <c r="A316" s="21" t="s">
        <v>727</v>
      </c>
      <c r="B316" s="21" t="s">
        <v>727</v>
      </c>
      <c r="C316" s="36"/>
    </row>
    <row r="317" spans="1:3" x14ac:dyDescent="0.25">
      <c r="A317" s="21" t="s">
        <v>728</v>
      </c>
      <c r="B317" s="21" t="s">
        <v>729</v>
      </c>
      <c r="C317" s="36"/>
    </row>
    <row r="318" spans="1:3" x14ac:dyDescent="0.25">
      <c r="A318" s="21" t="s">
        <v>730</v>
      </c>
      <c r="B318" s="21" t="s">
        <v>731</v>
      </c>
      <c r="C318" s="36"/>
    </row>
    <row r="319" spans="1:3" x14ac:dyDescent="0.25">
      <c r="A319" s="21" t="s">
        <v>732</v>
      </c>
      <c r="B319" s="21" t="s">
        <v>732</v>
      </c>
      <c r="C319" s="36"/>
    </row>
    <row r="320" spans="1:3" x14ac:dyDescent="0.25">
      <c r="A320" s="21" t="s">
        <v>733</v>
      </c>
      <c r="B320" s="21" t="s">
        <v>733</v>
      </c>
      <c r="C320" s="36" t="s">
        <v>734</v>
      </c>
    </row>
    <row r="321" spans="1:3" x14ac:dyDescent="0.25">
      <c r="A321" s="21" t="s">
        <v>735</v>
      </c>
      <c r="B321" s="21" t="s">
        <v>736</v>
      </c>
      <c r="C321" s="36"/>
    </row>
    <row r="322" spans="1:3" x14ac:dyDescent="0.25">
      <c r="A322" s="21" t="s">
        <v>90</v>
      </c>
      <c r="B322" s="21" t="s">
        <v>737</v>
      </c>
      <c r="C322" s="36"/>
    </row>
    <row r="323" spans="1:3" x14ac:dyDescent="0.25">
      <c r="A323" s="21" t="s">
        <v>738</v>
      </c>
      <c r="B323" s="21" t="s">
        <v>739</v>
      </c>
      <c r="C323" s="36"/>
    </row>
    <row r="324" spans="1:3" x14ac:dyDescent="0.25">
      <c r="A324" s="21" t="s">
        <v>740</v>
      </c>
      <c r="B324" s="21" t="s">
        <v>741</v>
      </c>
      <c r="C324" s="36"/>
    </row>
    <row r="325" spans="1:3" x14ac:dyDescent="0.25">
      <c r="A325" s="21" t="s">
        <v>742</v>
      </c>
      <c r="B325" s="21" t="s">
        <v>743</v>
      </c>
      <c r="C325" s="36"/>
    </row>
    <row r="326" spans="1:3" x14ac:dyDescent="0.25">
      <c r="A326" s="21" t="s">
        <v>744</v>
      </c>
      <c r="B326" s="21" t="s">
        <v>745</v>
      </c>
      <c r="C326" s="36"/>
    </row>
    <row r="327" spans="1:3" x14ac:dyDescent="0.25">
      <c r="A327" s="21" t="s">
        <v>746</v>
      </c>
      <c r="B327" s="21" t="s">
        <v>747</v>
      </c>
      <c r="C327" s="36"/>
    </row>
    <row r="328" spans="1:3" x14ac:dyDescent="0.25">
      <c r="A328" s="21" t="s">
        <v>748</v>
      </c>
      <c r="B328" s="21" t="s">
        <v>749</v>
      </c>
      <c r="C328" s="36"/>
    </row>
    <row r="329" spans="1:3" x14ac:dyDescent="0.25">
      <c r="A329" s="21" t="s">
        <v>750</v>
      </c>
      <c r="B329" s="21" t="s">
        <v>750</v>
      </c>
      <c r="C329" s="36" t="s">
        <v>751</v>
      </c>
    </row>
    <row r="330" spans="1:3" x14ac:dyDescent="0.25">
      <c r="A330" s="21" t="s">
        <v>752</v>
      </c>
      <c r="B330" s="21" t="s">
        <v>753</v>
      </c>
      <c r="C330" s="36"/>
    </row>
    <row r="331" spans="1:3" x14ac:dyDescent="0.25">
      <c r="A331" s="21" t="s">
        <v>754</v>
      </c>
      <c r="B331" s="21" t="s">
        <v>755</v>
      </c>
      <c r="C331" s="36"/>
    </row>
    <row r="332" spans="1:3" x14ac:dyDescent="0.25">
      <c r="A332" s="21" t="s">
        <v>756</v>
      </c>
      <c r="B332" s="21" t="s">
        <v>757</v>
      </c>
      <c r="C332" s="36" t="s">
        <v>758</v>
      </c>
    </row>
    <row r="333" spans="1:3" x14ac:dyDescent="0.25">
      <c r="A333" s="21" t="s">
        <v>759</v>
      </c>
      <c r="B333" s="21" t="s">
        <v>760</v>
      </c>
      <c r="C333" s="36"/>
    </row>
    <row r="334" spans="1:3" x14ac:dyDescent="0.25">
      <c r="A334" s="21" t="s">
        <v>2868</v>
      </c>
      <c r="B334" s="21" t="s">
        <v>2869</v>
      </c>
      <c r="C334" s="36"/>
    </row>
    <row r="335" spans="1:3" x14ac:dyDescent="0.25">
      <c r="A335" s="21" t="s">
        <v>761</v>
      </c>
      <c r="B335" s="21" t="s">
        <v>762</v>
      </c>
      <c r="C335" s="36"/>
    </row>
    <row r="336" spans="1:3" x14ac:dyDescent="0.25">
      <c r="A336" s="21" t="s">
        <v>763</v>
      </c>
      <c r="B336" s="21" t="s">
        <v>764</v>
      </c>
      <c r="C336" s="36" t="s">
        <v>765</v>
      </c>
    </row>
    <row r="337" spans="1:3" x14ac:dyDescent="0.25">
      <c r="A337" s="21" t="s">
        <v>766</v>
      </c>
      <c r="B337" s="21" t="s">
        <v>767</v>
      </c>
      <c r="C337" s="36"/>
    </row>
    <row r="338" spans="1:3" x14ac:dyDescent="0.25">
      <c r="A338" s="21" t="s">
        <v>768</v>
      </c>
      <c r="B338" s="21" t="s">
        <v>769</v>
      </c>
      <c r="C338" s="36"/>
    </row>
    <row r="339" spans="1:3" x14ac:dyDescent="0.25">
      <c r="A339" s="21" t="s">
        <v>770</v>
      </c>
      <c r="B339" s="21" t="s">
        <v>770</v>
      </c>
      <c r="C339" s="36" t="s">
        <v>771</v>
      </c>
    </row>
    <row r="340" spans="1:3" x14ac:dyDescent="0.25">
      <c r="A340" s="21" t="s">
        <v>772</v>
      </c>
      <c r="B340" s="21" t="s">
        <v>772</v>
      </c>
      <c r="C340" s="36"/>
    </row>
    <row r="341" spans="1:3" x14ac:dyDescent="0.25">
      <c r="A341" s="21" t="s">
        <v>773</v>
      </c>
      <c r="B341" s="21" t="s">
        <v>774</v>
      </c>
      <c r="C341" s="36"/>
    </row>
    <row r="342" spans="1:3" x14ac:dyDescent="0.25">
      <c r="A342" s="21" t="s">
        <v>775</v>
      </c>
      <c r="B342" s="21" t="s">
        <v>776</v>
      </c>
      <c r="C342" s="36"/>
    </row>
    <row r="343" spans="1:3" x14ac:dyDescent="0.25">
      <c r="A343" s="21" t="s">
        <v>777</v>
      </c>
      <c r="B343" s="21" t="s">
        <v>778</v>
      </c>
      <c r="C343" s="36"/>
    </row>
    <row r="344" spans="1:3" x14ac:dyDescent="0.25">
      <c r="A344" s="21" t="s">
        <v>779</v>
      </c>
      <c r="B344" s="21" t="s">
        <v>780</v>
      </c>
      <c r="C344" s="36" t="s">
        <v>781</v>
      </c>
    </row>
    <row r="345" spans="1:3" x14ac:dyDescent="0.25">
      <c r="A345" s="21" t="s">
        <v>782</v>
      </c>
      <c r="B345" s="21" t="s">
        <v>782</v>
      </c>
      <c r="C345" s="36"/>
    </row>
    <row r="346" spans="1:3" x14ac:dyDescent="0.25">
      <c r="A346" s="21" t="s">
        <v>783</v>
      </c>
      <c r="B346" s="21" t="s">
        <v>783</v>
      </c>
      <c r="C346" s="36"/>
    </row>
    <row r="347" spans="1:3" x14ac:dyDescent="0.25">
      <c r="A347" s="21" t="s">
        <v>784</v>
      </c>
      <c r="B347" s="21" t="s">
        <v>785</v>
      </c>
      <c r="C347" s="36"/>
    </row>
    <row r="348" spans="1:3" x14ac:dyDescent="0.25">
      <c r="A348" s="21" t="s">
        <v>786</v>
      </c>
      <c r="B348" s="21" t="s">
        <v>787</v>
      </c>
      <c r="C348" s="36"/>
    </row>
    <row r="349" spans="1:3" x14ac:dyDescent="0.25">
      <c r="A349" s="21" t="s">
        <v>788</v>
      </c>
      <c r="B349" s="21" t="s">
        <v>789</v>
      </c>
      <c r="C349" s="36"/>
    </row>
    <row r="350" spans="1:3" x14ac:dyDescent="0.25">
      <c r="A350" s="21" t="s">
        <v>790</v>
      </c>
      <c r="B350" s="21" t="s">
        <v>791</v>
      </c>
      <c r="C350" s="36"/>
    </row>
    <row r="351" spans="1:3" x14ac:dyDescent="0.25">
      <c r="A351" s="21" t="s">
        <v>792</v>
      </c>
      <c r="B351" s="21" t="s">
        <v>793</v>
      </c>
      <c r="C351" s="36" t="s">
        <v>794</v>
      </c>
    </row>
    <row r="352" spans="1:3" x14ac:dyDescent="0.25">
      <c r="A352" s="21" t="s">
        <v>795</v>
      </c>
      <c r="B352" s="21" t="s">
        <v>796</v>
      </c>
      <c r="C352" s="36"/>
    </row>
    <row r="353" spans="1:3" x14ac:dyDescent="0.25">
      <c r="A353" s="21" t="s">
        <v>797</v>
      </c>
      <c r="B353" s="21" t="s">
        <v>798</v>
      </c>
      <c r="C353" s="36"/>
    </row>
    <row r="354" spans="1:3" x14ac:dyDescent="0.25">
      <c r="A354" s="28" t="s">
        <v>799</v>
      </c>
      <c r="B354" s="28" t="s">
        <v>800</v>
      </c>
    </row>
    <row r="355" spans="1:3" x14ac:dyDescent="0.25">
      <c r="A355" s="21" t="s">
        <v>801</v>
      </c>
      <c r="B355" s="21" t="s">
        <v>802</v>
      </c>
      <c r="C355" s="36"/>
    </row>
    <row r="356" spans="1:3" x14ac:dyDescent="0.25">
      <c r="A356" s="21" t="s">
        <v>2974</v>
      </c>
      <c r="B356" s="21" t="s">
        <v>2974</v>
      </c>
      <c r="C356" s="36"/>
    </row>
    <row r="357" spans="1:3" x14ac:dyDescent="0.25">
      <c r="A357" s="21" t="s">
        <v>803</v>
      </c>
      <c r="B357" s="21" t="s">
        <v>803</v>
      </c>
      <c r="C357" s="36"/>
    </row>
    <row r="358" spans="1:3" x14ac:dyDescent="0.25">
      <c r="A358" s="21" t="s">
        <v>804</v>
      </c>
      <c r="B358" s="21" t="s">
        <v>805</v>
      </c>
      <c r="C358" s="36"/>
    </row>
    <row r="359" spans="1:3" x14ac:dyDescent="0.25">
      <c r="A359" s="21" t="s">
        <v>2975</v>
      </c>
      <c r="B359" s="21" t="s">
        <v>2976</v>
      </c>
      <c r="C359" s="36"/>
    </row>
    <row r="360" spans="1:3" x14ac:dyDescent="0.25">
      <c r="A360" s="21" t="s">
        <v>806</v>
      </c>
      <c r="B360" s="21" t="s">
        <v>807</v>
      </c>
      <c r="C360" s="36" t="s">
        <v>808</v>
      </c>
    </row>
    <row r="361" spans="1:3" x14ac:dyDescent="0.25">
      <c r="A361" s="21" t="s">
        <v>809</v>
      </c>
      <c r="B361" s="21" t="s">
        <v>809</v>
      </c>
      <c r="C361" s="36"/>
    </row>
    <row r="362" spans="1:3" x14ac:dyDescent="0.25">
      <c r="A362" s="21" t="s">
        <v>810</v>
      </c>
      <c r="B362" s="21" t="s">
        <v>811</v>
      </c>
      <c r="C362" s="36" t="s">
        <v>812</v>
      </c>
    </row>
    <row r="363" spans="1:3" x14ac:dyDescent="0.25">
      <c r="A363" s="21" t="s">
        <v>2619</v>
      </c>
      <c r="B363" s="21" t="s">
        <v>2620</v>
      </c>
      <c r="C363" s="36"/>
    </row>
    <row r="364" spans="1:3" x14ac:dyDescent="0.25">
      <c r="A364" s="21" t="s">
        <v>813</v>
      </c>
      <c r="B364" s="21" t="s">
        <v>814</v>
      </c>
      <c r="C364" s="36" t="s">
        <v>815</v>
      </c>
    </row>
    <row r="365" spans="1:3" x14ac:dyDescent="0.25">
      <c r="A365" s="21" t="s">
        <v>816</v>
      </c>
      <c r="B365" s="21" t="s">
        <v>817</v>
      </c>
      <c r="C365" s="36"/>
    </row>
    <row r="366" spans="1:3" x14ac:dyDescent="0.25">
      <c r="A366" s="21" t="s">
        <v>818</v>
      </c>
      <c r="B366" s="21" t="s">
        <v>819</v>
      </c>
      <c r="C366" s="36" t="s">
        <v>820</v>
      </c>
    </row>
    <row r="367" spans="1:3" x14ac:dyDescent="0.25">
      <c r="A367" s="21" t="s">
        <v>821</v>
      </c>
      <c r="B367" s="21" t="s">
        <v>822</v>
      </c>
      <c r="C367" s="36"/>
    </row>
    <row r="368" spans="1:3" x14ac:dyDescent="0.25">
      <c r="A368" s="21" t="s">
        <v>823</v>
      </c>
      <c r="B368" s="21" t="s">
        <v>823</v>
      </c>
      <c r="C368" s="36" t="s">
        <v>824</v>
      </c>
    </row>
    <row r="369" spans="1:3" x14ac:dyDescent="0.25">
      <c r="A369" s="21" t="s">
        <v>825</v>
      </c>
      <c r="B369" s="21" t="s">
        <v>825</v>
      </c>
      <c r="C369" s="36" t="s">
        <v>826</v>
      </c>
    </row>
    <row r="370" spans="1:3" x14ac:dyDescent="0.25">
      <c r="A370" s="21" t="s">
        <v>827</v>
      </c>
      <c r="B370" s="21" t="s">
        <v>827</v>
      </c>
      <c r="C370" s="36"/>
    </row>
    <row r="371" spans="1:3" x14ac:dyDescent="0.25">
      <c r="A371" s="21" t="s">
        <v>828</v>
      </c>
      <c r="B371" s="21" t="s">
        <v>829</v>
      </c>
      <c r="C371" s="36"/>
    </row>
    <row r="372" spans="1:3" x14ac:dyDescent="0.25">
      <c r="A372" s="21" t="s">
        <v>830</v>
      </c>
      <c r="B372" s="21" t="s">
        <v>831</v>
      </c>
      <c r="C372" s="36"/>
    </row>
    <row r="373" spans="1:3" x14ac:dyDescent="0.25">
      <c r="A373" s="21" t="s">
        <v>832</v>
      </c>
      <c r="B373" s="21" t="s">
        <v>832</v>
      </c>
      <c r="C373" s="36"/>
    </row>
    <row r="374" spans="1:3" x14ac:dyDescent="0.25">
      <c r="A374" s="21" t="s">
        <v>833</v>
      </c>
      <c r="B374" s="21" t="s">
        <v>834</v>
      </c>
      <c r="C374" s="36"/>
    </row>
    <row r="375" spans="1:3" x14ac:dyDescent="0.25">
      <c r="A375" s="21" t="s">
        <v>835</v>
      </c>
      <c r="B375" s="21" t="s">
        <v>836</v>
      </c>
      <c r="C375" s="36"/>
    </row>
    <row r="376" spans="1:3" x14ac:dyDescent="0.25">
      <c r="A376" s="21" t="s">
        <v>837</v>
      </c>
      <c r="B376" s="21" t="s">
        <v>837</v>
      </c>
      <c r="C376" s="36"/>
    </row>
    <row r="377" spans="1:3" x14ac:dyDescent="0.25">
      <c r="A377" s="21" t="s">
        <v>838</v>
      </c>
      <c r="B377" s="21" t="s">
        <v>838</v>
      </c>
      <c r="C377" s="36" t="s">
        <v>839</v>
      </c>
    </row>
    <row r="378" spans="1:3" x14ac:dyDescent="0.25">
      <c r="A378" s="21" t="s">
        <v>840</v>
      </c>
      <c r="B378" s="21" t="s">
        <v>841</v>
      </c>
      <c r="C378" s="36" t="s">
        <v>842</v>
      </c>
    </row>
    <row r="379" spans="1:3" x14ac:dyDescent="0.25">
      <c r="A379" s="21" t="s">
        <v>2735</v>
      </c>
      <c r="B379" s="21" t="s">
        <v>2735</v>
      </c>
      <c r="C379" s="36"/>
    </row>
    <row r="380" spans="1:3" x14ac:dyDescent="0.25">
      <c r="A380" s="21" t="s">
        <v>843</v>
      </c>
      <c r="B380" s="21" t="s">
        <v>843</v>
      </c>
      <c r="C380" s="36" t="s">
        <v>844</v>
      </c>
    </row>
    <row r="381" spans="1:3" x14ac:dyDescent="0.25">
      <c r="A381" s="24" t="s">
        <v>2789</v>
      </c>
      <c r="B381" s="21" t="s">
        <v>2789</v>
      </c>
      <c r="C381" s="36" t="s">
        <v>844</v>
      </c>
    </row>
    <row r="382" spans="1:3" x14ac:dyDescent="0.25">
      <c r="A382" s="21" t="s">
        <v>845</v>
      </c>
      <c r="B382" s="21" t="s">
        <v>845</v>
      </c>
      <c r="C382" s="36"/>
    </row>
    <row r="383" spans="1:3" x14ac:dyDescent="0.25">
      <c r="A383" s="21" t="s">
        <v>846</v>
      </c>
      <c r="B383" s="21" t="s">
        <v>846</v>
      </c>
      <c r="C383" s="36"/>
    </row>
    <row r="384" spans="1:3" x14ac:dyDescent="0.25">
      <c r="A384" s="21" t="s">
        <v>847</v>
      </c>
      <c r="B384" s="21" t="s">
        <v>848</v>
      </c>
      <c r="C384" s="36"/>
    </row>
    <row r="385" spans="1:3" x14ac:dyDescent="0.25">
      <c r="A385" s="21" t="s">
        <v>115</v>
      </c>
      <c r="B385" s="21" t="s">
        <v>849</v>
      </c>
      <c r="C385" s="36"/>
    </row>
    <row r="386" spans="1:3" x14ac:dyDescent="0.25">
      <c r="A386" s="21" t="s">
        <v>850</v>
      </c>
      <c r="B386" s="21" t="s">
        <v>850</v>
      </c>
      <c r="C386" s="36" t="s">
        <v>851</v>
      </c>
    </row>
    <row r="387" spans="1:3" x14ac:dyDescent="0.25">
      <c r="A387" s="21" t="s">
        <v>852</v>
      </c>
      <c r="B387" s="21" t="s">
        <v>852</v>
      </c>
      <c r="C387" s="36"/>
    </row>
    <row r="388" spans="1:3" x14ac:dyDescent="0.25">
      <c r="A388" s="21" t="s">
        <v>853</v>
      </c>
      <c r="B388" s="21" t="s">
        <v>853</v>
      </c>
      <c r="C388" s="36" t="s">
        <v>854</v>
      </c>
    </row>
    <row r="389" spans="1:3" x14ac:dyDescent="0.25">
      <c r="A389" s="21" t="s">
        <v>855</v>
      </c>
      <c r="B389" s="21" t="s">
        <v>856</v>
      </c>
      <c r="C389" s="36"/>
    </row>
    <row r="390" spans="1:3" x14ac:dyDescent="0.25">
      <c r="A390" s="21" t="s">
        <v>857</v>
      </c>
      <c r="B390" s="21" t="s">
        <v>858</v>
      </c>
      <c r="C390" s="36"/>
    </row>
    <row r="391" spans="1:3" x14ac:dyDescent="0.25">
      <c r="A391" s="21" t="s">
        <v>859</v>
      </c>
      <c r="B391" s="21" t="s">
        <v>860</v>
      </c>
      <c r="C391" s="36"/>
    </row>
    <row r="392" spans="1:3" x14ac:dyDescent="0.25">
      <c r="A392" s="21" t="s">
        <v>861</v>
      </c>
      <c r="B392" s="21" t="s">
        <v>862</v>
      </c>
      <c r="C392" s="36"/>
    </row>
    <row r="393" spans="1:3" x14ac:dyDescent="0.25">
      <c r="A393" s="21" t="s">
        <v>863</v>
      </c>
      <c r="B393" s="21" t="s">
        <v>864</v>
      </c>
      <c r="C393" s="36"/>
    </row>
    <row r="394" spans="1:3" x14ac:dyDescent="0.25">
      <c r="A394" s="21" t="s">
        <v>865</v>
      </c>
      <c r="B394" s="21" t="s">
        <v>866</v>
      </c>
      <c r="C394" s="36"/>
    </row>
    <row r="395" spans="1:3" x14ac:dyDescent="0.25">
      <c r="A395" s="21" t="s">
        <v>867</v>
      </c>
      <c r="B395" s="21" t="s">
        <v>868</v>
      </c>
      <c r="C395" s="36"/>
    </row>
    <row r="396" spans="1:3" x14ac:dyDescent="0.25">
      <c r="A396" s="21" t="s">
        <v>869</v>
      </c>
      <c r="B396" s="21" t="s">
        <v>869</v>
      </c>
      <c r="C396" s="36"/>
    </row>
    <row r="397" spans="1:3" x14ac:dyDescent="0.25">
      <c r="A397" s="21" t="s">
        <v>870</v>
      </c>
      <c r="B397" s="21" t="s">
        <v>871</v>
      </c>
      <c r="C397" s="36"/>
    </row>
    <row r="398" spans="1:3" x14ac:dyDescent="0.25">
      <c r="A398" s="21" t="s">
        <v>872</v>
      </c>
      <c r="B398" s="21" t="s">
        <v>873</v>
      </c>
      <c r="C398" s="36"/>
    </row>
    <row r="399" spans="1:3" x14ac:dyDescent="0.25">
      <c r="A399" s="21" t="s">
        <v>874</v>
      </c>
      <c r="B399" s="21" t="s">
        <v>875</v>
      </c>
      <c r="C399" s="36"/>
    </row>
    <row r="400" spans="1:3" x14ac:dyDescent="0.25">
      <c r="A400" s="21" t="s">
        <v>876</v>
      </c>
      <c r="B400" s="21" t="s">
        <v>877</v>
      </c>
      <c r="C400" s="36"/>
    </row>
    <row r="401" spans="1:3" x14ac:dyDescent="0.25">
      <c r="A401" s="21" t="s">
        <v>878</v>
      </c>
      <c r="B401" s="21" t="s">
        <v>879</v>
      </c>
      <c r="C401" s="36"/>
    </row>
    <row r="402" spans="1:3" x14ac:dyDescent="0.25">
      <c r="A402" s="28" t="s">
        <v>880</v>
      </c>
      <c r="B402" s="28" t="s">
        <v>880</v>
      </c>
    </row>
    <row r="403" spans="1:3" x14ac:dyDescent="0.25">
      <c r="A403" s="21" t="s">
        <v>881</v>
      </c>
      <c r="B403" s="21" t="s">
        <v>882</v>
      </c>
      <c r="C403" s="36"/>
    </row>
    <row r="404" spans="1:3" x14ac:dyDescent="0.25">
      <c r="A404" s="21" t="s">
        <v>883</v>
      </c>
      <c r="B404" s="21" t="s">
        <v>884</v>
      </c>
      <c r="C404" s="36"/>
    </row>
    <row r="405" spans="1:3" x14ac:dyDescent="0.25">
      <c r="A405" s="21" t="s">
        <v>885</v>
      </c>
      <c r="B405" s="21" t="s">
        <v>886</v>
      </c>
      <c r="C405" s="36" t="s">
        <v>887</v>
      </c>
    </row>
    <row r="406" spans="1:3" x14ac:dyDescent="0.25">
      <c r="A406" s="21" t="s">
        <v>38</v>
      </c>
      <c r="B406" s="21" t="s">
        <v>888</v>
      </c>
      <c r="C406" s="36"/>
    </row>
    <row r="407" spans="1:3" x14ac:dyDescent="0.25">
      <c r="A407" s="21" t="s">
        <v>889</v>
      </c>
      <c r="B407" s="21" t="s">
        <v>889</v>
      </c>
      <c r="C407" s="36"/>
    </row>
    <row r="408" spans="1:3" x14ac:dyDescent="0.25">
      <c r="A408" s="21" t="s">
        <v>890</v>
      </c>
      <c r="B408" s="21" t="s">
        <v>891</v>
      </c>
      <c r="C408" s="36"/>
    </row>
    <row r="409" spans="1:3" x14ac:dyDescent="0.25">
      <c r="A409" s="22" t="s">
        <v>892</v>
      </c>
      <c r="B409" s="22" t="s">
        <v>893</v>
      </c>
      <c r="C409" s="37"/>
    </row>
    <row r="410" spans="1:3" x14ac:dyDescent="0.25">
      <c r="A410" s="21" t="s">
        <v>894</v>
      </c>
      <c r="B410" s="21" t="s">
        <v>895</v>
      </c>
      <c r="C410" s="36"/>
    </row>
    <row r="411" spans="1:3" x14ac:dyDescent="0.25">
      <c r="A411" s="21" t="s">
        <v>896</v>
      </c>
      <c r="B411" s="21" t="s">
        <v>897</v>
      </c>
      <c r="C411" s="36"/>
    </row>
    <row r="412" spans="1:3" x14ac:dyDescent="0.25">
      <c r="A412" s="21" t="s">
        <v>898</v>
      </c>
      <c r="B412" s="21" t="s">
        <v>898</v>
      </c>
      <c r="C412" s="36"/>
    </row>
    <row r="413" spans="1:3" x14ac:dyDescent="0.25">
      <c r="A413" s="21" t="s">
        <v>2617</v>
      </c>
      <c r="B413" s="21" t="s">
        <v>2618</v>
      </c>
      <c r="C413" s="36"/>
    </row>
    <row r="414" spans="1:3" x14ac:dyDescent="0.25">
      <c r="A414" s="21" t="s">
        <v>899</v>
      </c>
      <c r="B414" s="21" t="s">
        <v>900</v>
      </c>
      <c r="C414" s="36"/>
    </row>
    <row r="415" spans="1:3" x14ac:dyDescent="0.25">
      <c r="A415" s="21" t="s">
        <v>901</v>
      </c>
      <c r="B415" s="21" t="s">
        <v>901</v>
      </c>
      <c r="C415" s="36" t="s">
        <v>902</v>
      </c>
    </row>
    <row r="416" spans="1:3" x14ac:dyDescent="0.25">
      <c r="A416" s="21" t="s">
        <v>903</v>
      </c>
      <c r="B416" s="21" t="s">
        <v>904</v>
      </c>
      <c r="C416" s="36"/>
    </row>
    <row r="417" spans="1:3" x14ac:dyDescent="0.25">
      <c r="A417" s="21" t="s">
        <v>905</v>
      </c>
      <c r="B417" s="21" t="s">
        <v>906</v>
      </c>
      <c r="C417" s="36"/>
    </row>
    <row r="418" spans="1:3" x14ac:dyDescent="0.25">
      <c r="A418" s="21" t="s">
        <v>907</v>
      </c>
      <c r="B418" s="21" t="s">
        <v>908</v>
      </c>
      <c r="C418" s="36"/>
    </row>
    <row r="419" spans="1:3" x14ac:dyDescent="0.25">
      <c r="A419" s="21" t="s">
        <v>909</v>
      </c>
      <c r="B419" s="21" t="s">
        <v>910</v>
      </c>
      <c r="C419" s="36"/>
    </row>
    <row r="420" spans="1:3" x14ac:dyDescent="0.25">
      <c r="A420" s="21" t="s">
        <v>911</v>
      </c>
      <c r="B420" s="21" t="s">
        <v>911</v>
      </c>
      <c r="C420" s="36"/>
    </row>
    <row r="421" spans="1:3" x14ac:dyDescent="0.25">
      <c r="A421" s="21" t="s">
        <v>912</v>
      </c>
      <c r="B421" s="21" t="s">
        <v>913</v>
      </c>
      <c r="C421" s="36" t="s">
        <v>914</v>
      </c>
    </row>
    <row r="422" spans="1:3" x14ac:dyDescent="0.25">
      <c r="A422" s="21" t="s">
        <v>915</v>
      </c>
      <c r="B422" s="21" t="s">
        <v>915</v>
      </c>
      <c r="C422" s="36" t="s">
        <v>916</v>
      </c>
    </row>
    <row r="423" spans="1:3" x14ac:dyDescent="0.25">
      <c r="A423" s="21" t="s">
        <v>917</v>
      </c>
      <c r="B423" s="21" t="s">
        <v>918</v>
      </c>
      <c r="C423" s="36"/>
    </row>
    <row r="424" spans="1:3" x14ac:dyDescent="0.25">
      <c r="A424" s="21" t="s">
        <v>919</v>
      </c>
      <c r="B424" s="21" t="s">
        <v>920</v>
      </c>
      <c r="C424" s="36"/>
    </row>
    <row r="425" spans="1:3" x14ac:dyDescent="0.25">
      <c r="A425" s="21" t="s">
        <v>921</v>
      </c>
      <c r="B425" s="21" t="s">
        <v>922</v>
      </c>
      <c r="C425" s="36"/>
    </row>
    <row r="426" spans="1:3" x14ac:dyDescent="0.25">
      <c r="A426" s="21" t="s">
        <v>923</v>
      </c>
      <c r="B426" s="21" t="s">
        <v>924</v>
      </c>
      <c r="C426" s="36"/>
    </row>
    <row r="427" spans="1:3" x14ac:dyDescent="0.25">
      <c r="A427" s="21" t="s">
        <v>925</v>
      </c>
      <c r="B427" s="21" t="s">
        <v>926</v>
      </c>
      <c r="C427" s="36"/>
    </row>
    <row r="428" spans="1:3" x14ac:dyDescent="0.25">
      <c r="A428" s="21" t="s">
        <v>927</v>
      </c>
      <c r="B428" s="21" t="s">
        <v>928</v>
      </c>
      <c r="C428" s="36"/>
    </row>
    <row r="429" spans="1:3" x14ac:dyDescent="0.25">
      <c r="A429" s="21" t="s">
        <v>929</v>
      </c>
      <c r="B429" s="21" t="s">
        <v>930</v>
      </c>
      <c r="C429" s="36"/>
    </row>
    <row r="430" spans="1:3" x14ac:dyDescent="0.25">
      <c r="A430" s="21" t="s">
        <v>931</v>
      </c>
      <c r="B430" s="21" t="s">
        <v>932</v>
      </c>
      <c r="C430" s="36"/>
    </row>
    <row r="431" spans="1:3" x14ac:dyDescent="0.25">
      <c r="A431" s="21" t="s">
        <v>933</v>
      </c>
      <c r="B431" s="21" t="s">
        <v>934</v>
      </c>
      <c r="C431" s="36"/>
    </row>
    <row r="432" spans="1:3" x14ac:dyDescent="0.25">
      <c r="A432" s="21" t="s">
        <v>935</v>
      </c>
      <c r="B432" s="21" t="s">
        <v>936</v>
      </c>
      <c r="C432" s="36"/>
    </row>
    <row r="433" spans="1:3" x14ac:dyDescent="0.25">
      <c r="A433" s="21" t="s">
        <v>937</v>
      </c>
      <c r="B433" s="21" t="s">
        <v>938</v>
      </c>
      <c r="C433" s="36"/>
    </row>
    <row r="434" spans="1:3" x14ac:dyDescent="0.25">
      <c r="A434" s="22" t="s">
        <v>939</v>
      </c>
      <c r="B434" s="21" t="s">
        <v>940</v>
      </c>
      <c r="C434" s="36" t="s">
        <v>941</v>
      </c>
    </row>
    <row r="435" spans="1:3" x14ac:dyDescent="0.25">
      <c r="A435" s="21" t="s">
        <v>942</v>
      </c>
      <c r="B435" s="21" t="s">
        <v>943</v>
      </c>
      <c r="C435" s="36"/>
    </row>
    <row r="436" spans="1:3" x14ac:dyDescent="0.25">
      <c r="A436" s="21" t="s">
        <v>2870</v>
      </c>
      <c r="B436" s="21" t="s">
        <v>2871</v>
      </c>
      <c r="C436" s="36"/>
    </row>
    <row r="437" spans="1:3" x14ac:dyDescent="0.25">
      <c r="A437" s="23" t="s">
        <v>2872</v>
      </c>
      <c r="B437" s="21" t="s">
        <v>2873</v>
      </c>
      <c r="C437" s="36"/>
    </row>
    <row r="438" spans="1:3" x14ac:dyDescent="0.25">
      <c r="A438" s="23" t="s">
        <v>944</v>
      </c>
      <c r="B438" s="21" t="s">
        <v>944</v>
      </c>
      <c r="C438" s="36"/>
    </row>
    <row r="439" spans="1:3" x14ac:dyDescent="0.25">
      <c r="A439" s="21" t="s">
        <v>945</v>
      </c>
      <c r="B439" s="21" t="s">
        <v>946</v>
      </c>
      <c r="C439" s="36" t="s">
        <v>947</v>
      </c>
    </row>
    <row r="440" spans="1:3" x14ac:dyDescent="0.25">
      <c r="A440" s="21" t="s">
        <v>948</v>
      </c>
      <c r="B440" s="21" t="s">
        <v>949</v>
      </c>
      <c r="C440" s="36" t="s">
        <v>950</v>
      </c>
    </row>
    <row r="441" spans="1:3" x14ac:dyDescent="0.25">
      <c r="A441" s="21" t="s">
        <v>951</v>
      </c>
      <c r="B441" s="21" t="s">
        <v>952</v>
      </c>
      <c r="C441" s="36"/>
    </row>
    <row r="442" spans="1:3" x14ac:dyDescent="0.25">
      <c r="A442" s="21" t="s">
        <v>953</v>
      </c>
      <c r="B442" s="21" t="s">
        <v>954</v>
      </c>
      <c r="C442" s="36"/>
    </row>
    <row r="443" spans="1:3" x14ac:dyDescent="0.25">
      <c r="A443" s="21" t="s">
        <v>955</v>
      </c>
      <c r="B443" s="21" t="s">
        <v>956</v>
      </c>
      <c r="C443" s="36"/>
    </row>
    <row r="444" spans="1:3" x14ac:dyDescent="0.25">
      <c r="A444" s="21" t="s">
        <v>957</v>
      </c>
      <c r="B444" s="21" t="s">
        <v>958</v>
      </c>
      <c r="C444" s="36"/>
    </row>
    <row r="445" spans="1:3" x14ac:dyDescent="0.25">
      <c r="A445" s="21" t="s">
        <v>959</v>
      </c>
      <c r="B445" s="21" t="s">
        <v>960</v>
      </c>
      <c r="C445" s="36"/>
    </row>
    <row r="446" spans="1:3" x14ac:dyDescent="0.25">
      <c r="A446" s="22" t="s">
        <v>961</v>
      </c>
      <c r="B446" s="21" t="s">
        <v>962</v>
      </c>
      <c r="C446" s="36"/>
    </row>
    <row r="447" spans="1:3" x14ac:dyDescent="0.25">
      <c r="A447" s="21" t="s">
        <v>963</v>
      </c>
      <c r="B447" s="21" t="s">
        <v>964</v>
      </c>
      <c r="C447" s="36"/>
    </row>
    <row r="448" spans="1:3" x14ac:dyDescent="0.25">
      <c r="A448" s="21" t="s">
        <v>117</v>
      </c>
      <c r="B448" s="21" t="s">
        <v>965</v>
      </c>
      <c r="C448" s="36" t="s">
        <v>966</v>
      </c>
    </row>
    <row r="449" spans="1:3" x14ac:dyDescent="0.25">
      <c r="A449" s="21" t="s">
        <v>967</v>
      </c>
      <c r="B449" s="21" t="s">
        <v>967</v>
      </c>
      <c r="C449" s="36"/>
    </row>
    <row r="450" spans="1:3" x14ac:dyDescent="0.25">
      <c r="A450" s="21" t="s">
        <v>968</v>
      </c>
      <c r="B450" s="21" t="s">
        <v>969</v>
      </c>
      <c r="C450" s="36"/>
    </row>
    <row r="451" spans="1:3" x14ac:dyDescent="0.25">
      <c r="A451" s="21" t="s">
        <v>970</v>
      </c>
      <c r="B451" s="21" t="s">
        <v>971</v>
      </c>
      <c r="C451" s="36"/>
    </row>
    <row r="452" spans="1:3" x14ac:dyDescent="0.25">
      <c r="A452" s="21" t="s">
        <v>972</v>
      </c>
      <c r="B452" s="21" t="s">
        <v>973</v>
      </c>
      <c r="C452" s="36"/>
    </row>
    <row r="453" spans="1:3" x14ac:dyDescent="0.25">
      <c r="A453" s="21" t="s">
        <v>974</v>
      </c>
      <c r="B453" s="21" t="s">
        <v>974</v>
      </c>
      <c r="C453" s="36"/>
    </row>
    <row r="454" spans="1:3" x14ac:dyDescent="0.25">
      <c r="A454" s="21" t="s">
        <v>975</v>
      </c>
      <c r="B454" s="21" t="s">
        <v>976</v>
      </c>
      <c r="C454" s="36" t="s">
        <v>977</v>
      </c>
    </row>
    <row r="455" spans="1:3" x14ac:dyDescent="0.25">
      <c r="A455" s="21" t="s">
        <v>978</v>
      </c>
      <c r="B455" s="21" t="s">
        <v>978</v>
      </c>
      <c r="C455" s="36"/>
    </row>
    <row r="456" spans="1:3" x14ac:dyDescent="0.25">
      <c r="A456" s="21" t="s">
        <v>979</v>
      </c>
      <c r="B456" s="21" t="s">
        <v>980</v>
      </c>
      <c r="C456" s="36"/>
    </row>
    <row r="457" spans="1:3" x14ac:dyDescent="0.25">
      <c r="A457" s="21" t="s">
        <v>981</v>
      </c>
      <c r="B457" s="21" t="s">
        <v>982</v>
      </c>
      <c r="C457" s="36"/>
    </row>
    <row r="458" spans="1:3" x14ac:dyDescent="0.25">
      <c r="A458" s="21" t="s">
        <v>983</v>
      </c>
      <c r="B458" s="21" t="s">
        <v>984</v>
      </c>
      <c r="C458" s="36"/>
    </row>
    <row r="459" spans="1:3" x14ac:dyDescent="0.25">
      <c r="A459" s="21" t="s">
        <v>985</v>
      </c>
      <c r="B459" s="21" t="s">
        <v>986</v>
      </c>
      <c r="C459" s="36"/>
    </row>
    <row r="460" spans="1:3" x14ac:dyDescent="0.25">
      <c r="A460" s="21" t="s">
        <v>987</v>
      </c>
      <c r="B460" s="21" t="s">
        <v>988</v>
      </c>
      <c r="C460" s="36"/>
    </row>
    <row r="461" spans="1:3" x14ac:dyDescent="0.25">
      <c r="A461" s="21" t="s">
        <v>989</v>
      </c>
      <c r="B461" s="21" t="s">
        <v>989</v>
      </c>
      <c r="C461" s="36"/>
    </row>
    <row r="462" spans="1:3" x14ac:dyDescent="0.25">
      <c r="A462" s="21" t="s">
        <v>990</v>
      </c>
      <c r="B462" s="21" t="s">
        <v>991</v>
      </c>
      <c r="C462" s="36"/>
    </row>
    <row r="463" spans="1:3" x14ac:dyDescent="0.25">
      <c r="A463" s="21" t="s">
        <v>992</v>
      </c>
      <c r="B463" s="21" t="s">
        <v>993</v>
      </c>
      <c r="C463" s="36"/>
    </row>
    <row r="464" spans="1:3" x14ac:dyDescent="0.25">
      <c r="A464" s="21" t="s">
        <v>994</v>
      </c>
      <c r="B464" s="21" t="s">
        <v>995</v>
      </c>
      <c r="C464" s="36"/>
    </row>
    <row r="465" spans="1:3" x14ac:dyDescent="0.25">
      <c r="A465" s="21" t="s">
        <v>996</v>
      </c>
      <c r="B465" s="21" t="s">
        <v>996</v>
      </c>
      <c r="C465" s="36"/>
    </row>
    <row r="466" spans="1:3" x14ac:dyDescent="0.25">
      <c r="A466" s="21" t="s">
        <v>997</v>
      </c>
      <c r="B466" s="21" t="s">
        <v>998</v>
      </c>
      <c r="C466" s="36"/>
    </row>
    <row r="467" spans="1:3" x14ac:dyDescent="0.25">
      <c r="A467" s="21" t="s">
        <v>999</v>
      </c>
      <c r="B467" s="21" t="s">
        <v>999</v>
      </c>
      <c r="C467" s="36"/>
    </row>
    <row r="468" spans="1:3" x14ac:dyDescent="0.25">
      <c r="A468" s="23" t="s">
        <v>1000</v>
      </c>
      <c r="B468" s="21" t="s">
        <v>1001</v>
      </c>
      <c r="C468" s="36"/>
    </row>
    <row r="469" spans="1:3" x14ac:dyDescent="0.25">
      <c r="A469" s="21" t="s">
        <v>1002</v>
      </c>
      <c r="B469" s="21" t="s">
        <v>1002</v>
      </c>
      <c r="C469" s="36"/>
    </row>
    <row r="470" spans="1:3" x14ac:dyDescent="0.25">
      <c r="A470" s="21" t="s">
        <v>1003</v>
      </c>
      <c r="B470" s="21" t="s">
        <v>1004</v>
      </c>
      <c r="C470" s="36"/>
    </row>
    <row r="471" spans="1:3" x14ac:dyDescent="0.25">
      <c r="A471" s="22" t="s">
        <v>1005</v>
      </c>
      <c r="B471" s="22" t="s">
        <v>1006</v>
      </c>
      <c r="C471" s="37"/>
    </row>
    <row r="472" spans="1:3" x14ac:dyDescent="0.25">
      <c r="A472" s="21" t="s">
        <v>1007</v>
      </c>
      <c r="B472" s="21" t="s">
        <v>1008</v>
      </c>
      <c r="C472" s="36" t="s">
        <v>1009</v>
      </c>
    </row>
    <row r="473" spans="1:3" x14ac:dyDescent="0.25">
      <c r="A473" s="21" t="s">
        <v>1010</v>
      </c>
      <c r="B473" s="21" t="s">
        <v>1010</v>
      </c>
      <c r="C473" s="36"/>
    </row>
    <row r="474" spans="1:3" x14ac:dyDescent="0.25">
      <c r="A474" s="21" t="s">
        <v>1011</v>
      </c>
      <c r="B474" s="21" t="s">
        <v>1011</v>
      </c>
      <c r="C474" s="36"/>
    </row>
    <row r="475" spans="1:3" x14ac:dyDescent="0.25">
      <c r="A475" s="21" t="s">
        <v>1012</v>
      </c>
      <c r="B475" s="21" t="s">
        <v>1012</v>
      </c>
      <c r="C475" s="36"/>
    </row>
    <row r="476" spans="1:3" x14ac:dyDescent="0.25">
      <c r="A476" s="22" t="s">
        <v>1013</v>
      </c>
      <c r="B476" s="22" t="s">
        <v>1014</v>
      </c>
      <c r="C476" s="37"/>
    </row>
    <row r="477" spans="1:3" x14ac:dyDescent="0.25">
      <c r="A477" s="21" t="s">
        <v>1015</v>
      </c>
      <c r="B477" s="21" t="s">
        <v>1016</v>
      </c>
      <c r="C477" s="36"/>
    </row>
    <row r="478" spans="1:3" x14ac:dyDescent="0.25">
      <c r="A478" s="21" t="s">
        <v>1017</v>
      </c>
      <c r="B478" s="21" t="s">
        <v>1017</v>
      </c>
      <c r="C478" s="36"/>
    </row>
    <row r="479" spans="1:3" x14ac:dyDescent="0.25">
      <c r="A479" s="21" t="s">
        <v>1018</v>
      </c>
      <c r="B479" s="21" t="s">
        <v>1018</v>
      </c>
      <c r="C479" s="36"/>
    </row>
    <row r="480" spans="1:3" x14ac:dyDescent="0.25">
      <c r="A480" s="21" t="s">
        <v>1019</v>
      </c>
      <c r="B480" s="21" t="s">
        <v>1020</v>
      </c>
      <c r="C480" s="36"/>
    </row>
    <row r="481" spans="1:3" x14ac:dyDescent="0.25">
      <c r="A481" s="21" t="s">
        <v>1021</v>
      </c>
      <c r="B481" s="21" t="s">
        <v>1022</v>
      </c>
      <c r="C481" s="36"/>
    </row>
    <row r="482" spans="1:3" x14ac:dyDescent="0.25">
      <c r="A482" s="21" t="s">
        <v>1023</v>
      </c>
      <c r="B482" s="21" t="s">
        <v>1024</v>
      </c>
      <c r="C482" s="36"/>
    </row>
    <row r="483" spans="1:3" x14ac:dyDescent="0.25">
      <c r="A483" s="21" t="s">
        <v>1025</v>
      </c>
      <c r="B483" s="21" t="s">
        <v>1025</v>
      </c>
      <c r="C483" s="36" t="s">
        <v>1026</v>
      </c>
    </row>
    <row r="484" spans="1:3" x14ac:dyDescent="0.25">
      <c r="A484" s="21" t="s">
        <v>1027</v>
      </c>
      <c r="B484" s="21" t="s">
        <v>1027</v>
      </c>
      <c r="C484" s="36" t="s">
        <v>1028</v>
      </c>
    </row>
    <row r="485" spans="1:3" x14ac:dyDescent="0.25">
      <c r="A485" s="21" t="s">
        <v>1029</v>
      </c>
      <c r="B485" s="21" t="s">
        <v>1029</v>
      </c>
      <c r="C485" s="36"/>
    </row>
    <row r="486" spans="1:3" x14ac:dyDescent="0.25">
      <c r="A486" s="21" t="s">
        <v>1030</v>
      </c>
      <c r="B486" s="21" t="s">
        <v>1030</v>
      </c>
      <c r="C486" s="36"/>
    </row>
    <row r="487" spans="1:3" x14ac:dyDescent="0.25">
      <c r="A487" s="21" t="s">
        <v>1031</v>
      </c>
      <c r="B487" s="21" t="s">
        <v>1032</v>
      </c>
      <c r="C487" s="36"/>
    </row>
    <row r="488" spans="1:3" x14ac:dyDescent="0.25">
      <c r="A488" s="21" t="s">
        <v>1033</v>
      </c>
      <c r="B488" s="21" t="s">
        <v>1034</v>
      </c>
      <c r="C488" s="36"/>
    </row>
    <row r="489" spans="1:3" x14ac:dyDescent="0.25">
      <c r="A489" s="21" t="s">
        <v>1035</v>
      </c>
      <c r="B489" s="21" t="s">
        <v>1035</v>
      </c>
      <c r="C489" s="36" t="s">
        <v>1036</v>
      </c>
    </row>
    <row r="490" spans="1:3" x14ac:dyDescent="0.25">
      <c r="A490" s="21" t="s">
        <v>1037</v>
      </c>
      <c r="B490" s="21" t="s">
        <v>1037</v>
      </c>
      <c r="C490" s="36" t="s">
        <v>247</v>
      </c>
    </row>
    <row r="491" spans="1:3" x14ac:dyDescent="0.25">
      <c r="A491" s="21" t="s">
        <v>50</v>
      </c>
      <c r="B491" s="21" t="s">
        <v>1038</v>
      </c>
      <c r="C491" s="36" t="s">
        <v>1039</v>
      </c>
    </row>
    <row r="492" spans="1:3" x14ac:dyDescent="0.25">
      <c r="A492" s="21" t="s">
        <v>1040</v>
      </c>
      <c r="B492" s="21" t="s">
        <v>1041</v>
      </c>
      <c r="C492" s="36"/>
    </row>
    <row r="493" spans="1:3" x14ac:dyDescent="0.25">
      <c r="A493" s="21" t="s">
        <v>1042</v>
      </c>
      <c r="B493" s="21" t="s">
        <v>1043</v>
      </c>
      <c r="C493" s="36"/>
    </row>
    <row r="494" spans="1:3" x14ac:dyDescent="0.25">
      <c r="A494" s="28" t="s">
        <v>3079</v>
      </c>
      <c r="B494" s="28" t="s">
        <v>3080</v>
      </c>
    </row>
    <row r="495" spans="1:3" x14ac:dyDescent="0.25">
      <c r="A495" s="21" t="s">
        <v>1044</v>
      </c>
      <c r="B495" s="21" t="s">
        <v>1044</v>
      </c>
      <c r="C495" s="36"/>
    </row>
    <row r="496" spans="1:3" x14ac:dyDescent="0.25">
      <c r="A496" s="21" t="s">
        <v>1045</v>
      </c>
      <c r="B496" s="21" t="s">
        <v>1046</v>
      </c>
      <c r="C496" s="36"/>
    </row>
    <row r="497" spans="1:3" x14ac:dyDescent="0.25">
      <c r="A497" s="21" t="s">
        <v>47</v>
      </c>
      <c r="B497" s="21" t="s">
        <v>1047</v>
      </c>
      <c r="C497" s="36"/>
    </row>
    <row r="498" spans="1:3" x14ac:dyDescent="0.25">
      <c r="A498" s="21" t="s">
        <v>1048</v>
      </c>
      <c r="B498" s="21" t="s">
        <v>1049</v>
      </c>
      <c r="C498" s="36" t="s">
        <v>1050</v>
      </c>
    </row>
    <row r="499" spans="1:3" x14ac:dyDescent="0.25">
      <c r="A499" s="21" t="s">
        <v>1051</v>
      </c>
      <c r="B499" s="21" t="s">
        <v>1051</v>
      </c>
      <c r="C499" s="36" t="s">
        <v>247</v>
      </c>
    </row>
    <row r="500" spans="1:3" x14ac:dyDescent="0.25">
      <c r="A500" s="21" t="s">
        <v>1052</v>
      </c>
      <c r="B500" s="21" t="s">
        <v>1053</v>
      </c>
      <c r="C500" s="36"/>
    </row>
    <row r="501" spans="1:3" x14ac:dyDescent="0.25">
      <c r="A501" s="21" t="s">
        <v>1054</v>
      </c>
      <c r="B501" s="21" t="s">
        <v>1055</v>
      </c>
      <c r="C501" s="36"/>
    </row>
    <row r="502" spans="1:3" x14ac:dyDescent="0.25">
      <c r="A502" s="21" t="s">
        <v>1056</v>
      </c>
      <c r="B502" s="21" t="s">
        <v>1057</v>
      </c>
      <c r="C502" s="36"/>
    </row>
    <row r="503" spans="1:3" x14ac:dyDescent="0.25">
      <c r="A503" s="21" t="s">
        <v>1058</v>
      </c>
      <c r="B503" s="21" t="s">
        <v>1058</v>
      </c>
      <c r="C503" s="36"/>
    </row>
    <row r="504" spans="1:3" x14ac:dyDescent="0.25">
      <c r="A504" s="22" t="s">
        <v>1059</v>
      </c>
      <c r="B504" s="22" t="s">
        <v>1060</v>
      </c>
      <c r="C504" s="37" t="s">
        <v>1061</v>
      </c>
    </row>
    <row r="505" spans="1:3" x14ac:dyDescent="0.25">
      <c r="A505" s="21" t="s">
        <v>1062</v>
      </c>
      <c r="B505" s="21" t="s">
        <v>1063</v>
      </c>
      <c r="C505" s="36"/>
    </row>
    <row r="506" spans="1:3" x14ac:dyDescent="0.25">
      <c r="A506" s="21" t="s">
        <v>1064</v>
      </c>
      <c r="B506" s="21" t="s">
        <v>1064</v>
      </c>
      <c r="C506" s="36"/>
    </row>
    <row r="507" spans="1:3" x14ac:dyDescent="0.25">
      <c r="A507" s="21" t="s">
        <v>1065</v>
      </c>
      <c r="B507" s="21" t="s">
        <v>1065</v>
      </c>
      <c r="C507" s="36"/>
    </row>
    <row r="508" spans="1:3" x14ac:dyDescent="0.25">
      <c r="A508" s="21" t="s">
        <v>1066</v>
      </c>
      <c r="B508" s="21" t="s">
        <v>1066</v>
      </c>
      <c r="C508" s="36"/>
    </row>
    <row r="509" spans="1:3" x14ac:dyDescent="0.25">
      <c r="A509" s="21" t="s">
        <v>1067</v>
      </c>
      <c r="B509" s="21" t="s">
        <v>1068</v>
      </c>
      <c r="C509" s="36" t="s">
        <v>1069</v>
      </c>
    </row>
    <row r="510" spans="1:3" x14ac:dyDescent="0.25">
      <c r="A510" s="21" t="s">
        <v>1070</v>
      </c>
      <c r="B510" s="21" t="s">
        <v>1070</v>
      </c>
      <c r="C510" s="36"/>
    </row>
    <row r="511" spans="1:3" x14ac:dyDescent="0.25">
      <c r="A511" s="21" t="s">
        <v>1071</v>
      </c>
      <c r="B511" s="21" t="s">
        <v>1072</v>
      </c>
      <c r="C511" s="36"/>
    </row>
    <row r="512" spans="1:3" x14ac:dyDescent="0.25">
      <c r="A512" s="21" t="s">
        <v>1073</v>
      </c>
      <c r="B512" s="21" t="s">
        <v>1074</v>
      </c>
      <c r="C512" s="36"/>
    </row>
    <row r="513" spans="1:3" x14ac:dyDescent="0.25">
      <c r="A513" s="21" t="s">
        <v>1075</v>
      </c>
      <c r="B513" s="21" t="s">
        <v>1076</v>
      </c>
      <c r="C513" s="36"/>
    </row>
    <row r="514" spans="1:3" x14ac:dyDescent="0.25">
      <c r="A514" s="22" t="s">
        <v>1077</v>
      </c>
      <c r="B514" s="22" t="s">
        <v>1078</v>
      </c>
      <c r="C514" s="37"/>
    </row>
    <row r="515" spans="1:3" x14ac:dyDescent="0.25">
      <c r="A515" s="21" t="s">
        <v>1079</v>
      </c>
      <c r="B515" s="21" t="s">
        <v>1079</v>
      </c>
      <c r="C515" s="36"/>
    </row>
    <row r="516" spans="1:3" x14ac:dyDescent="0.25">
      <c r="A516" s="22" t="s">
        <v>1080</v>
      </c>
      <c r="B516" s="22" t="s">
        <v>1080</v>
      </c>
      <c r="C516" s="37"/>
    </row>
    <row r="517" spans="1:3" x14ac:dyDescent="0.25">
      <c r="A517" s="21" t="s">
        <v>1081</v>
      </c>
      <c r="B517" s="21" t="s">
        <v>1081</v>
      </c>
      <c r="C517" s="36"/>
    </row>
    <row r="518" spans="1:3" x14ac:dyDescent="0.25">
      <c r="A518" s="21" t="s">
        <v>1082</v>
      </c>
      <c r="B518" s="21" t="s">
        <v>1082</v>
      </c>
      <c r="C518" s="36"/>
    </row>
    <row r="519" spans="1:3" x14ac:dyDescent="0.25">
      <c r="A519" s="21" t="s">
        <v>1083</v>
      </c>
      <c r="B519" s="21" t="s">
        <v>1084</v>
      </c>
      <c r="C519" s="36"/>
    </row>
    <row r="520" spans="1:3" x14ac:dyDescent="0.25">
      <c r="A520" s="21" t="s">
        <v>1085</v>
      </c>
      <c r="B520" s="21" t="s">
        <v>1086</v>
      </c>
      <c r="C520" s="36"/>
    </row>
    <row r="521" spans="1:3" x14ac:dyDescent="0.25">
      <c r="A521" s="21" t="s">
        <v>1087</v>
      </c>
      <c r="B521" s="21" t="s">
        <v>1088</v>
      </c>
      <c r="C521" s="36"/>
    </row>
    <row r="522" spans="1:3" x14ac:dyDescent="0.25">
      <c r="A522" s="21" t="s">
        <v>1089</v>
      </c>
      <c r="B522" s="21" t="s">
        <v>1090</v>
      </c>
      <c r="C522" s="36"/>
    </row>
    <row r="523" spans="1:3" x14ac:dyDescent="0.25">
      <c r="A523" s="21" t="s">
        <v>1091</v>
      </c>
      <c r="B523" s="21" t="s">
        <v>1092</v>
      </c>
      <c r="C523" s="36"/>
    </row>
    <row r="524" spans="1:3" x14ac:dyDescent="0.25">
      <c r="A524" s="21" t="s">
        <v>1093</v>
      </c>
      <c r="B524" s="21" t="s">
        <v>1094</v>
      </c>
      <c r="C524" s="36" t="s">
        <v>1095</v>
      </c>
    </row>
    <row r="525" spans="1:3" x14ac:dyDescent="0.25">
      <c r="A525" s="21" t="s">
        <v>1096</v>
      </c>
      <c r="B525" s="21" t="s">
        <v>1097</v>
      </c>
      <c r="C525" s="36" t="s">
        <v>1098</v>
      </c>
    </row>
    <row r="526" spans="1:3" x14ac:dyDescent="0.25">
      <c r="A526" s="21" t="s">
        <v>1099</v>
      </c>
      <c r="B526" s="21" t="s">
        <v>1100</v>
      </c>
      <c r="C526" s="36" t="s">
        <v>1101</v>
      </c>
    </row>
    <row r="527" spans="1:3" x14ac:dyDescent="0.25">
      <c r="A527" s="21" t="s">
        <v>1102</v>
      </c>
      <c r="B527" s="21" t="s">
        <v>1102</v>
      </c>
      <c r="C527" s="36" t="s">
        <v>1103</v>
      </c>
    </row>
    <row r="528" spans="1:3" x14ac:dyDescent="0.25">
      <c r="A528" s="22" t="s">
        <v>1104</v>
      </c>
      <c r="B528" s="21" t="s">
        <v>1105</v>
      </c>
      <c r="C528" s="36"/>
    </row>
    <row r="529" spans="1:3" x14ac:dyDescent="0.25">
      <c r="A529" s="21" t="s">
        <v>1106</v>
      </c>
      <c r="B529" s="21" t="s">
        <v>1106</v>
      </c>
      <c r="C529" s="36"/>
    </row>
    <row r="530" spans="1:3" x14ac:dyDescent="0.25">
      <c r="A530" s="21" t="s">
        <v>1107</v>
      </c>
      <c r="B530" s="21" t="s">
        <v>1107</v>
      </c>
      <c r="C530" s="36"/>
    </row>
    <row r="531" spans="1:3" x14ac:dyDescent="0.25">
      <c r="A531" s="21" t="s">
        <v>1108</v>
      </c>
      <c r="B531" s="21" t="s">
        <v>1108</v>
      </c>
      <c r="C531" s="36" t="s">
        <v>1109</v>
      </c>
    </row>
    <row r="532" spans="1:3" x14ac:dyDescent="0.25">
      <c r="A532" s="21" t="s">
        <v>1110</v>
      </c>
      <c r="B532" s="21" t="s">
        <v>1111</v>
      </c>
      <c r="C532" s="36"/>
    </row>
    <row r="533" spans="1:3" x14ac:dyDescent="0.25">
      <c r="A533" s="21" t="s">
        <v>1112</v>
      </c>
      <c r="B533" s="21" t="s">
        <v>1113</v>
      </c>
      <c r="C533" s="36" t="s">
        <v>1114</v>
      </c>
    </row>
    <row r="534" spans="1:3" x14ac:dyDescent="0.25">
      <c r="A534" s="22" t="s">
        <v>1115</v>
      </c>
      <c r="B534" s="21" t="s">
        <v>1116</v>
      </c>
      <c r="C534" s="36"/>
    </row>
    <row r="535" spans="1:3" x14ac:dyDescent="0.25">
      <c r="A535" s="21" t="s">
        <v>1117</v>
      </c>
      <c r="B535" s="21" t="s">
        <v>1117</v>
      </c>
      <c r="C535" s="36"/>
    </row>
    <row r="536" spans="1:3" x14ac:dyDescent="0.25">
      <c r="A536" s="21" t="s">
        <v>1118</v>
      </c>
      <c r="B536" s="21" t="s">
        <v>1119</v>
      </c>
      <c r="C536" s="36" t="s">
        <v>1120</v>
      </c>
    </row>
    <row r="537" spans="1:3" x14ac:dyDescent="0.25">
      <c r="A537" s="21" t="s">
        <v>1121</v>
      </c>
      <c r="B537" s="21" t="s">
        <v>1122</v>
      </c>
      <c r="C537" s="36"/>
    </row>
    <row r="538" spans="1:3" x14ac:dyDescent="0.25">
      <c r="A538" s="21" t="s">
        <v>1123</v>
      </c>
      <c r="B538" s="21" t="s">
        <v>1124</v>
      </c>
      <c r="C538" s="36"/>
    </row>
    <row r="539" spans="1:3" x14ac:dyDescent="0.25">
      <c r="A539" s="21" t="s">
        <v>1125</v>
      </c>
      <c r="B539" s="21" t="s">
        <v>1126</v>
      </c>
      <c r="C539" s="36"/>
    </row>
    <row r="540" spans="1:3" x14ac:dyDescent="0.25">
      <c r="A540" s="21" t="s">
        <v>1127</v>
      </c>
      <c r="B540" s="21" t="s">
        <v>1128</v>
      </c>
      <c r="C540" s="36"/>
    </row>
    <row r="541" spans="1:3" x14ac:dyDescent="0.25">
      <c r="A541" s="21" t="s">
        <v>1129</v>
      </c>
      <c r="B541" s="21" t="s">
        <v>1130</v>
      </c>
      <c r="C541" s="36" t="s">
        <v>1131</v>
      </c>
    </row>
    <row r="542" spans="1:3" x14ac:dyDescent="0.25">
      <c r="A542" s="21" t="s">
        <v>1132</v>
      </c>
      <c r="B542" s="21" t="s">
        <v>1132</v>
      </c>
      <c r="C542" s="36" t="s">
        <v>1133</v>
      </c>
    </row>
    <row r="543" spans="1:3" x14ac:dyDescent="0.25">
      <c r="A543" s="21" t="s">
        <v>1134</v>
      </c>
      <c r="B543" s="21" t="s">
        <v>1134</v>
      </c>
      <c r="C543" s="36"/>
    </row>
    <row r="544" spans="1:3" x14ac:dyDescent="0.25">
      <c r="A544" s="21" t="s">
        <v>1135</v>
      </c>
      <c r="B544" s="21" t="s">
        <v>1136</v>
      </c>
      <c r="C544" s="36"/>
    </row>
    <row r="545" spans="1:3" x14ac:dyDescent="0.25">
      <c r="A545" s="21" t="s">
        <v>1137</v>
      </c>
      <c r="B545" s="21" t="s">
        <v>1138</v>
      </c>
      <c r="C545" s="36"/>
    </row>
    <row r="546" spans="1:3" x14ac:dyDescent="0.25">
      <c r="A546" s="21" t="s">
        <v>1139</v>
      </c>
      <c r="B546" s="21" t="s">
        <v>1140</v>
      </c>
      <c r="C546" s="36"/>
    </row>
    <row r="547" spans="1:3" x14ac:dyDescent="0.25">
      <c r="A547" s="21" t="s">
        <v>1141</v>
      </c>
      <c r="B547" s="21" t="s">
        <v>1142</v>
      </c>
      <c r="C547" s="36"/>
    </row>
    <row r="548" spans="1:3" x14ac:dyDescent="0.25">
      <c r="A548" s="21" t="s">
        <v>1143</v>
      </c>
      <c r="B548" s="21" t="s">
        <v>1143</v>
      </c>
      <c r="C548" s="36" t="s">
        <v>1144</v>
      </c>
    </row>
    <row r="549" spans="1:3" x14ac:dyDescent="0.25">
      <c r="A549" s="21" t="s">
        <v>1145</v>
      </c>
      <c r="B549" s="21" t="s">
        <v>1146</v>
      </c>
      <c r="C549" s="36"/>
    </row>
    <row r="550" spans="1:3" x14ac:dyDescent="0.25">
      <c r="A550" s="21" t="s">
        <v>1147</v>
      </c>
      <c r="B550" s="21" t="s">
        <v>48</v>
      </c>
      <c r="C550" s="36" t="s">
        <v>1148</v>
      </c>
    </row>
    <row r="551" spans="1:3" x14ac:dyDescent="0.25">
      <c r="A551" s="21" t="s">
        <v>1149</v>
      </c>
      <c r="B551" s="21" t="s">
        <v>1150</v>
      </c>
      <c r="C551" s="36"/>
    </row>
    <row r="552" spans="1:3" x14ac:dyDescent="0.25">
      <c r="A552" s="21" t="s">
        <v>1151</v>
      </c>
      <c r="B552" s="21" t="s">
        <v>1152</v>
      </c>
      <c r="C552" s="36"/>
    </row>
    <row r="553" spans="1:3" x14ac:dyDescent="0.25">
      <c r="A553" s="21" t="s">
        <v>1153</v>
      </c>
      <c r="B553" s="21" t="s">
        <v>1153</v>
      </c>
      <c r="C553" s="36"/>
    </row>
    <row r="554" spans="1:3" x14ac:dyDescent="0.25">
      <c r="A554" s="21" t="s">
        <v>1154</v>
      </c>
      <c r="B554" s="21" t="s">
        <v>1155</v>
      </c>
      <c r="C554" s="36" t="s">
        <v>1156</v>
      </c>
    </row>
    <row r="555" spans="1:3" x14ac:dyDescent="0.25">
      <c r="A555" s="21" t="s">
        <v>1157</v>
      </c>
      <c r="B555" s="21" t="s">
        <v>1157</v>
      </c>
      <c r="C555" s="36"/>
    </row>
    <row r="556" spans="1:3" x14ac:dyDescent="0.25">
      <c r="A556" s="21" t="s">
        <v>1158</v>
      </c>
      <c r="B556" s="21" t="s">
        <v>1158</v>
      </c>
      <c r="C556" s="36" t="s">
        <v>1159</v>
      </c>
    </row>
    <row r="557" spans="1:3" x14ac:dyDescent="0.25">
      <c r="A557" s="21" t="s">
        <v>1160</v>
      </c>
      <c r="B557" s="21" t="s">
        <v>1161</v>
      </c>
      <c r="C557" s="36"/>
    </row>
    <row r="558" spans="1:3" x14ac:dyDescent="0.25">
      <c r="A558" s="21" t="s">
        <v>1162</v>
      </c>
      <c r="B558" s="21" t="s">
        <v>1162</v>
      </c>
      <c r="C558" s="36"/>
    </row>
    <row r="559" spans="1:3" x14ac:dyDescent="0.25">
      <c r="A559" s="21" t="s">
        <v>1163</v>
      </c>
      <c r="B559" s="21" t="s">
        <v>1164</v>
      </c>
      <c r="C559" s="36" t="s">
        <v>2790</v>
      </c>
    </row>
    <row r="560" spans="1:3" x14ac:dyDescent="0.25">
      <c r="A560" s="21" t="s">
        <v>1165</v>
      </c>
      <c r="B560" s="21" t="s">
        <v>1165</v>
      </c>
      <c r="C560" s="36" t="s">
        <v>1166</v>
      </c>
    </row>
    <row r="561" spans="1:3" x14ac:dyDescent="0.25">
      <c r="A561" s="21" t="s">
        <v>1167</v>
      </c>
      <c r="B561" s="21" t="s">
        <v>1167</v>
      </c>
      <c r="C561" s="36"/>
    </row>
    <row r="562" spans="1:3" x14ac:dyDescent="0.25">
      <c r="A562" s="21" t="s">
        <v>1168</v>
      </c>
      <c r="B562" s="21" t="s">
        <v>1169</v>
      </c>
      <c r="C562" s="36"/>
    </row>
    <row r="563" spans="1:3" x14ac:dyDescent="0.25">
      <c r="A563" s="21" t="s">
        <v>1170</v>
      </c>
      <c r="B563" s="21" t="s">
        <v>1170</v>
      </c>
      <c r="C563" s="36"/>
    </row>
    <row r="564" spans="1:3" x14ac:dyDescent="0.25">
      <c r="A564" s="21" t="s">
        <v>1171</v>
      </c>
      <c r="B564" s="21" t="s">
        <v>1171</v>
      </c>
      <c r="C564" s="36"/>
    </row>
    <row r="565" spans="1:3" x14ac:dyDescent="0.25">
      <c r="A565" s="21" t="s">
        <v>1172</v>
      </c>
      <c r="B565" s="21" t="s">
        <v>1173</v>
      </c>
      <c r="C565" s="36"/>
    </row>
    <row r="566" spans="1:3" x14ac:dyDescent="0.25">
      <c r="A566" s="21" t="s">
        <v>1174</v>
      </c>
      <c r="B566" s="21" t="s">
        <v>1175</v>
      </c>
      <c r="C566" s="36" t="s">
        <v>1176</v>
      </c>
    </row>
    <row r="567" spans="1:3" x14ac:dyDescent="0.25">
      <c r="A567" s="21" t="s">
        <v>1177</v>
      </c>
      <c r="B567" s="21" t="s">
        <v>1177</v>
      </c>
      <c r="C567" s="36" t="s">
        <v>1178</v>
      </c>
    </row>
    <row r="568" spans="1:3" x14ac:dyDescent="0.25">
      <c r="A568" s="22" t="s">
        <v>1179</v>
      </c>
      <c r="B568" s="22" t="s">
        <v>1180</v>
      </c>
      <c r="C568" s="37" t="s">
        <v>1181</v>
      </c>
    </row>
    <row r="569" spans="1:3" x14ac:dyDescent="0.25">
      <c r="A569" s="21" t="s">
        <v>1182</v>
      </c>
      <c r="B569" s="21" t="s">
        <v>1182</v>
      </c>
      <c r="C569" s="36" t="s">
        <v>1183</v>
      </c>
    </row>
    <row r="570" spans="1:3" x14ac:dyDescent="0.25">
      <c r="A570" s="22" t="s">
        <v>1184</v>
      </c>
      <c r="B570" s="21" t="s">
        <v>1185</v>
      </c>
      <c r="C570" s="36" t="s">
        <v>1186</v>
      </c>
    </row>
    <row r="571" spans="1:3" x14ac:dyDescent="0.25">
      <c r="A571" s="21" t="s">
        <v>1187</v>
      </c>
      <c r="B571" s="21" t="s">
        <v>1188</v>
      </c>
      <c r="C571" s="36" t="s">
        <v>1189</v>
      </c>
    </row>
    <row r="572" spans="1:3" x14ac:dyDescent="0.25">
      <c r="A572" s="21" t="s">
        <v>2828</v>
      </c>
      <c r="B572" s="21" t="s">
        <v>2829</v>
      </c>
      <c r="C572" s="36"/>
    </row>
    <row r="573" spans="1:3" x14ac:dyDescent="0.25">
      <c r="A573" s="21" t="s">
        <v>1190</v>
      </c>
      <c r="B573" s="21" t="s">
        <v>1191</v>
      </c>
      <c r="C573" s="36"/>
    </row>
    <row r="574" spans="1:3" x14ac:dyDescent="0.25">
      <c r="A574" s="21" t="s">
        <v>1192</v>
      </c>
      <c r="B574" s="21" t="s">
        <v>1192</v>
      </c>
      <c r="C574" s="36" t="s">
        <v>1193</v>
      </c>
    </row>
    <row r="575" spans="1:3" x14ac:dyDescent="0.25">
      <c r="A575" s="21" t="s">
        <v>1194</v>
      </c>
      <c r="B575" s="21" t="s">
        <v>1194</v>
      </c>
      <c r="C575" s="36" t="s">
        <v>1195</v>
      </c>
    </row>
    <row r="576" spans="1:3" x14ac:dyDescent="0.25">
      <c r="A576" s="21" t="s">
        <v>1196</v>
      </c>
      <c r="B576" s="21" t="s">
        <v>1197</v>
      </c>
      <c r="C576" s="36"/>
    </row>
    <row r="577" spans="1:3" x14ac:dyDescent="0.25">
      <c r="A577" s="21" t="s">
        <v>1198</v>
      </c>
      <c r="B577" s="21" t="s">
        <v>1199</v>
      </c>
      <c r="C577" s="36"/>
    </row>
    <row r="578" spans="1:3" x14ac:dyDescent="0.25">
      <c r="A578" s="21" t="s">
        <v>1200</v>
      </c>
      <c r="B578" s="21" t="s">
        <v>1200</v>
      </c>
      <c r="C578" s="36"/>
    </row>
    <row r="579" spans="1:3" x14ac:dyDescent="0.25">
      <c r="A579" s="21" t="s">
        <v>1201</v>
      </c>
      <c r="B579" s="21" t="s">
        <v>1202</v>
      </c>
      <c r="C579" s="36"/>
    </row>
    <row r="580" spans="1:3" x14ac:dyDescent="0.25">
      <c r="A580" s="21" t="s">
        <v>1203</v>
      </c>
      <c r="B580" s="21" t="s">
        <v>1204</v>
      </c>
      <c r="C580" s="36"/>
    </row>
    <row r="581" spans="1:3" x14ac:dyDescent="0.25">
      <c r="A581" s="21" t="s">
        <v>1205</v>
      </c>
      <c r="B581" s="21" t="s">
        <v>1206</v>
      </c>
      <c r="C581" s="36" t="s">
        <v>1207</v>
      </c>
    </row>
    <row r="582" spans="1:3" x14ac:dyDescent="0.25">
      <c r="A582" s="21" t="s">
        <v>1208</v>
      </c>
      <c r="B582" s="21" t="s">
        <v>1209</v>
      </c>
      <c r="C582" s="36" t="s">
        <v>1208</v>
      </c>
    </row>
    <row r="583" spans="1:3" x14ac:dyDescent="0.25">
      <c r="A583" s="21" t="s">
        <v>1210</v>
      </c>
      <c r="B583" s="21" t="s">
        <v>1211</v>
      </c>
      <c r="C583" s="36"/>
    </row>
    <row r="584" spans="1:3" x14ac:dyDescent="0.25">
      <c r="A584" s="21" t="s">
        <v>1212</v>
      </c>
      <c r="B584" s="21" t="s">
        <v>1213</v>
      </c>
      <c r="C584" s="36"/>
    </row>
    <row r="585" spans="1:3" x14ac:dyDescent="0.25">
      <c r="A585" s="21" t="s">
        <v>1214</v>
      </c>
      <c r="B585" s="21" t="s">
        <v>1215</v>
      </c>
      <c r="C585" s="36"/>
    </row>
    <row r="586" spans="1:3" x14ac:dyDescent="0.25">
      <c r="A586" s="21" t="s">
        <v>1216</v>
      </c>
      <c r="B586" s="21" t="s">
        <v>1217</v>
      </c>
      <c r="C586" s="36"/>
    </row>
    <row r="587" spans="1:3" x14ac:dyDescent="0.25">
      <c r="A587" s="21" t="s">
        <v>1218</v>
      </c>
      <c r="B587" s="21" t="s">
        <v>1219</v>
      </c>
      <c r="C587" s="36"/>
    </row>
    <row r="588" spans="1:3" x14ac:dyDescent="0.25">
      <c r="A588" s="21" t="s">
        <v>1220</v>
      </c>
      <c r="B588" s="21" t="s">
        <v>1221</v>
      </c>
      <c r="C588" s="36"/>
    </row>
    <row r="589" spans="1:3" x14ac:dyDescent="0.25">
      <c r="A589" s="21" t="s">
        <v>1222</v>
      </c>
      <c r="B589" s="21" t="s">
        <v>1223</v>
      </c>
      <c r="C589" s="36"/>
    </row>
    <row r="590" spans="1:3" x14ac:dyDescent="0.25">
      <c r="A590" s="21" t="s">
        <v>1224</v>
      </c>
      <c r="B590" s="21" t="s">
        <v>1224</v>
      </c>
      <c r="C590" s="36" t="s">
        <v>1225</v>
      </c>
    </row>
    <row r="591" spans="1:3" x14ac:dyDescent="0.25">
      <c r="A591" s="21" t="s">
        <v>1226</v>
      </c>
      <c r="B591" s="21" t="s">
        <v>1227</v>
      </c>
      <c r="C591" s="36"/>
    </row>
    <row r="592" spans="1:3" x14ac:dyDescent="0.25">
      <c r="A592" s="22" t="s">
        <v>1228</v>
      </c>
      <c r="B592" s="22" t="s">
        <v>1229</v>
      </c>
      <c r="C592" s="37"/>
    </row>
    <row r="593" spans="1:3" x14ac:dyDescent="0.25">
      <c r="A593" s="21" t="s">
        <v>1230</v>
      </c>
      <c r="B593" s="21" t="s">
        <v>1231</v>
      </c>
      <c r="C593" s="36" t="s">
        <v>1232</v>
      </c>
    </row>
    <row r="594" spans="1:3" x14ac:dyDescent="0.25">
      <c r="A594" s="21" t="s">
        <v>1233</v>
      </c>
      <c r="B594" s="21" t="s">
        <v>1234</v>
      </c>
      <c r="C594" s="36" t="s">
        <v>1232</v>
      </c>
    </row>
    <row r="595" spans="1:3" x14ac:dyDescent="0.25">
      <c r="A595" s="21" t="s">
        <v>119</v>
      </c>
      <c r="B595" s="21" t="s">
        <v>1235</v>
      </c>
      <c r="C595" s="36"/>
    </row>
    <row r="596" spans="1:3" x14ac:dyDescent="0.25">
      <c r="A596" s="21" t="s">
        <v>1236</v>
      </c>
      <c r="B596" s="21" t="s">
        <v>1236</v>
      </c>
      <c r="C596" s="36"/>
    </row>
    <row r="597" spans="1:3" x14ac:dyDescent="0.25">
      <c r="A597" s="21" t="s">
        <v>1237</v>
      </c>
      <c r="B597" s="21" t="s">
        <v>1238</v>
      </c>
      <c r="C597" s="36"/>
    </row>
    <row r="598" spans="1:3" x14ac:dyDescent="0.25">
      <c r="A598" s="21" t="s">
        <v>1239</v>
      </c>
      <c r="B598" s="21" t="s">
        <v>1240</v>
      </c>
      <c r="C598" s="36"/>
    </row>
    <row r="599" spans="1:3" x14ac:dyDescent="0.25">
      <c r="A599" s="22" t="s">
        <v>1241</v>
      </c>
      <c r="B599" s="22" t="s">
        <v>1242</v>
      </c>
      <c r="C599" s="37"/>
    </row>
    <row r="600" spans="1:3" x14ac:dyDescent="0.25">
      <c r="A600" s="21" t="s">
        <v>1243</v>
      </c>
      <c r="B600" s="21" t="s">
        <v>1244</v>
      </c>
      <c r="C600" s="36"/>
    </row>
    <row r="601" spans="1:3" x14ac:dyDescent="0.25">
      <c r="A601" s="21" t="s">
        <v>1245</v>
      </c>
      <c r="B601" s="21" t="s">
        <v>1245</v>
      </c>
      <c r="C601" s="36"/>
    </row>
    <row r="602" spans="1:3" x14ac:dyDescent="0.25">
      <c r="A602" s="21" t="s">
        <v>2591</v>
      </c>
      <c r="B602" s="21" t="s">
        <v>2592</v>
      </c>
      <c r="C602" s="36"/>
    </row>
    <row r="603" spans="1:3" x14ac:dyDescent="0.25">
      <c r="A603" s="21" t="s">
        <v>1246</v>
      </c>
      <c r="B603" s="21" t="s">
        <v>1247</v>
      </c>
      <c r="C603" s="36"/>
    </row>
    <row r="604" spans="1:3" x14ac:dyDescent="0.25">
      <c r="A604" s="21" t="s">
        <v>1248</v>
      </c>
      <c r="B604" s="21" t="s">
        <v>53</v>
      </c>
      <c r="C604" s="36" t="s">
        <v>1249</v>
      </c>
    </row>
    <row r="605" spans="1:3" x14ac:dyDescent="0.25">
      <c r="A605" s="21" t="s">
        <v>1250</v>
      </c>
      <c r="B605" s="21" t="s">
        <v>1251</v>
      </c>
      <c r="C605" s="36"/>
    </row>
    <row r="606" spans="1:3" x14ac:dyDescent="0.25">
      <c r="A606" s="21" t="s">
        <v>1252</v>
      </c>
      <c r="B606" s="21" t="s">
        <v>1253</v>
      </c>
      <c r="C606" s="36"/>
    </row>
    <row r="607" spans="1:3" x14ac:dyDescent="0.25">
      <c r="A607" s="21" t="s">
        <v>1254</v>
      </c>
      <c r="B607" s="21" t="s">
        <v>1255</v>
      </c>
      <c r="C607" s="36"/>
    </row>
    <row r="608" spans="1:3" x14ac:dyDescent="0.25">
      <c r="A608" s="21" t="s">
        <v>1256</v>
      </c>
      <c r="B608" s="21" t="s">
        <v>1257</v>
      </c>
      <c r="C608" s="36"/>
    </row>
    <row r="609" spans="1:3" x14ac:dyDescent="0.25">
      <c r="A609" s="21" t="s">
        <v>1258</v>
      </c>
      <c r="B609" s="21" t="s">
        <v>1259</v>
      </c>
      <c r="C609" s="36"/>
    </row>
    <row r="610" spans="1:3" x14ac:dyDescent="0.25">
      <c r="A610" s="21" t="s">
        <v>1260</v>
      </c>
      <c r="B610" s="21" t="s">
        <v>1261</v>
      </c>
      <c r="C610" s="36"/>
    </row>
    <row r="611" spans="1:3" x14ac:dyDescent="0.25">
      <c r="A611" s="23" t="s">
        <v>1262</v>
      </c>
      <c r="B611" s="21" t="s">
        <v>1263</v>
      </c>
      <c r="C611" s="36"/>
    </row>
    <row r="612" spans="1:3" x14ac:dyDescent="0.25">
      <c r="A612" s="23" t="s">
        <v>2791</v>
      </c>
      <c r="B612" s="21" t="s">
        <v>2792</v>
      </c>
      <c r="C612" s="36"/>
    </row>
    <row r="613" spans="1:3" x14ac:dyDescent="0.25">
      <c r="A613" s="21" t="s">
        <v>1264</v>
      </c>
      <c r="B613" s="21" t="s">
        <v>1265</v>
      </c>
      <c r="C613" s="36"/>
    </row>
    <row r="614" spans="1:3" x14ac:dyDescent="0.25">
      <c r="A614" s="21" t="s">
        <v>1266</v>
      </c>
      <c r="B614" s="21" t="s">
        <v>1266</v>
      </c>
      <c r="C614" s="36"/>
    </row>
    <row r="615" spans="1:3" x14ac:dyDescent="0.25">
      <c r="A615" s="21" t="s">
        <v>1267</v>
      </c>
      <c r="B615" s="21" t="s">
        <v>1268</v>
      </c>
      <c r="C615" s="36"/>
    </row>
    <row r="616" spans="1:3" x14ac:dyDescent="0.25">
      <c r="A616" s="21" t="s">
        <v>1269</v>
      </c>
      <c r="B616" s="21" t="s">
        <v>1270</v>
      </c>
      <c r="C616" s="36" t="s">
        <v>1271</v>
      </c>
    </row>
    <row r="617" spans="1:3" x14ac:dyDescent="0.25">
      <c r="A617" s="21" t="s">
        <v>1272</v>
      </c>
      <c r="B617" s="21" t="s">
        <v>1273</v>
      </c>
      <c r="C617" s="36"/>
    </row>
    <row r="618" spans="1:3" x14ac:dyDescent="0.25">
      <c r="A618" s="28" t="s">
        <v>3031</v>
      </c>
      <c r="B618" s="28" t="s">
        <v>3032</v>
      </c>
    </row>
    <row r="619" spans="1:3" x14ac:dyDescent="0.25">
      <c r="A619" s="21" t="s">
        <v>1274</v>
      </c>
      <c r="B619" s="21" t="s">
        <v>1275</v>
      </c>
      <c r="C619" s="36"/>
    </row>
    <row r="620" spans="1:3" x14ac:dyDescent="0.25">
      <c r="A620" s="21" t="s">
        <v>1276</v>
      </c>
      <c r="B620" s="21" t="s">
        <v>1277</v>
      </c>
      <c r="C620" s="36"/>
    </row>
    <row r="621" spans="1:3" x14ac:dyDescent="0.25">
      <c r="A621" s="21" t="s">
        <v>1278</v>
      </c>
      <c r="B621" s="21" t="s">
        <v>1279</v>
      </c>
      <c r="C621" s="36"/>
    </row>
    <row r="622" spans="1:3" x14ac:dyDescent="0.25">
      <c r="A622" s="21" t="s">
        <v>1280</v>
      </c>
      <c r="B622" s="21" t="s">
        <v>1281</v>
      </c>
      <c r="C622" s="36"/>
    </row>
    <row r="623" spans="1:3" x14ac:dyDescent="0.25">
      <c r="A623" s="21" t="s">
        <v>1282</v>
      </c>
      <c r="B623" s="21" t="s">
        <v>1283</v>
      </c>
      <c r="C623" s="36"/>
    </row>
    <row r="624" spans="1:3" x14ac:dyDescent="0.25">
      <c r="A624" s="21" t="s">
        <v>1284</v>
      </c>
      <c r="B624" s="21" t="s">
        <v>1285</v>
      </c>
      <c r="C624" s="36"/>
    </row>
    <row r="625" spans="1:3" x14ac:dyDescent="0.25">
      <c r="A625" s="21" t="s">
        <v>1286</v>
      </c>
      <c r="B625" s="21" t="s">
        <v>1287</v>
      </c>
      <c r="C625" s="36"/>
    </row>
    <row r="626" spans="1:3" x14ac:dyDescent="0.25">
      <c r="A626" s="21" t="s">
        <v>1288</v>
      </c>
      <c r="B626" s="21" t="s">
        <v>1289</v>
      </c>
      <c r="C626" s="36"/>
    </row>
    <row r="627" spans="1:3" x14ac:dyDescent="0.25">
      <c r="A627" s="21" t="s">
        <v>1290</v>
      </c>
      <c r="B627" s="21" t="s">
        <v>1291</v>
      </c>
      <c r="C627" s="36"/>
    </row>
    <row r="628" spans="1:3" x14ac:dyDescent="0.25">
      <c r="A628" s="21" t="s">
        <v>1292</v>
      </c>
      <c r="B628" s="21" t="s">
        <v>1293</v>
      </c>
      <c r="C628" s="36"/>
    </row>
    <row r="629" spans="1:3" x14ac:dyDescent="0.25">
      <c r="A629" s="21" t="s">
        <v>1294</v>
      </c>
      <c r="B629" s="21" t="s">
        <v>1295</v>
      </c>
      <c r="C629" s="36"/>
    </row>
    <row r="630" spans="1:3" x14ac:dyDescent="0.25">
      <c r="A630" s="21" t="s">
        <v>1296</v>
      </c>
      <c r="B630" s="21" t="s">
        <v>1297</v>
      </c>
      <c r="C630" s="36"/>
    </row>
    <row r="631" spans="1:3" x14ac:dyDescent="0.25">
      <c r="A631" s="21" t="s">
        <v>1298</v>
      </c>
      <c r="B631" s="21" t="s">
        <v>1299</v>
      </c>
      <c r="C631" s="36"/>
    </row>
    <row r="632" spans="1:3" x14ac:dyDescent="0.25">
      <c r="A632" s="21" t="s">
        <v>1300</v>
      </c>
      <c r="B632" s="21" t="s">
        <v>1301</v>
      </c>
      <c r="C632" s="36" t="s">
        <v>1302</v>
      </c>
    </row>
    <row r="633" spans="1:3" x14ac:dyDescent="0.25">
      <c r="A633" s="21" t="s">
        <v>1303</v>
      </c>
      <c r="B633" s="21" t="s">
        <v>1304</v>
      </c>
      <c r="C633" s="36"/>
    </row>
    <row r="634" spans="1:3" x14ac:dyDescent="0.25">
      <c r="A634" s="21" t="s">
        <v>1305</v>
      </c>
      <c r="B634" s="21" t="s">
        <v>1306</v>
      </c>
      <c r="C634" s="36"/>
    </row>
    <row r="635" spans="1:3" x14ac:dyDescent="0.25">
      <c r="A635" s="21" t="s">
        <v>1309</v>
      </c>
      <c r="B635" s="21" t="s">
        <v>1310</v>
      </c>
      <c r="C635" s="36"/>
    </row>
    <row r="636" spans="1:3" x14ac:dyDescent="0.25">
      <c r="A636" s="21" t="s">
        <v>1307</v>
      </c>
      <c r="B636" s="21" t="s">
        <v>1308</v>
      </c>
      <c r="C636" s="36"/>
    </row>
    <row r="637" spans="1:3" x14ac:dyDescent="0.25">
      <c r="A637" s="22" t="s">
        <v>1311</v>
      </c>
      <c r="B637" s="22" t="s">
        <v>1312</v>
      </c>
      <c r="C637" s="37"/>
    </row>
    <row r="638" spans="1:3" x14ac:dyDescent="0.25">
      <c r="A638" s="22" t="s">
        <v>1313</v>
      </c>
      <c r="B638" s="21" t="s">
        <v>1314</v>
      </c>
      <c r="C638" s="36"/>
    </row>
    <row r="639" spans="1:3" x14ac:dyDescent="0.25">
      <c r="A639" s="21" t="s">
        <v>1315</v>
      </c>
      <c r="B639" s="21" t="s">
        <v>1316</v>
      </c>
      <c r="C639" s="36"/>
    </row>
    <row r="640" spans="1:3" x14ac:dyDescent="0.25">
      <c r="A640" s="21" t="s">
        <v>1317</v>
      </c>
      <c r="B640" s="21" t="s">
        <v>1318</v>
      </c>
      <c r="C640" s="36" t="s">
        <v>1319</v>
      </c>
    </row>
    <row r="641" spans="1:3" x14ac:dyDescent="0.25">
      <c r="A641" s="21" t="s">
        <v>1320</v>
      </c>
      <c r="B641" s="21" t="s">
        <v>1320</v>
      </c>
      <c r="C641" s="36"/>
    </row>
    <row r="642" spans="1:3" x14ac:dyDescent="0.25">
      <c r="A642" s="21" t="s">
        <v>1321</v>
      </c>
      <c r="B642" s="21" t="s">
        <v>1321</v>
      </c>
      <c r="C642" s="36"/>
    </row>
    <row r="643" spans="1:3" x14ac:dyDescent="0.25">
      <c r="A643" s="21" t="s">
        <v>1322</v>
      </c>
      <c r="B643" s="21" t="s">
        <v>1322</v>
      </c>
      <c r="C643" s="36"/>
    </row>
    <row r="644" spans="1:3" x14ac:dyDescent="0.25">
      <c r="A644" s="21" t="s">
        <v>1323</v>
      </c>
      <c r="B644" s="21" t="s">
        <v>1323</v>
      </c>
      <c r="C644" s="36"/>
    </row>
    <row r="645" spans="1:3" x14ac:dyDescent="0.25">
      <c r="A645" s="21" t="s">
        <v>1324</v>
      </c>
      <c r="B645" s="21" t="s">
        <v>1325</v>
      </c>
      <c r="C645" s="36" t="s">
        <v>1326</v>
      </c>
    </row>
    <row r="646" spans="1:3" x14ac:dyDescent="0.25">
      <c r="A646" s="21" t="s">
        <v>1327</v>
      </c>
      <c r="B646" s="21" t="s">
        <v>1328</v>
      </c>
      <c r="C646" s="36"/>
    </row>
    <row r="647" spans="1:3" x14ac:dyDescent="0.25">
      <c r="A647" s="21" t="s">
        <v>1329</v>
      </c>
      <c r="B647" s="21" t="s">
        <v>1329</v>
      </c>
      <c r="C647" s="36" t="s">
        <v>1330</v>
      </c>
    </row>
    <row r="648" spans="1:3" x14ac:dyDescent="0.25">
      <c r="A648" s="21" t="s">
        <v>1331</v>
      </c>
      <c r="B648" s="21" t="s">
        <v>1331</v>
      </c>
      <c r="C648" s="36"/>
    </row>
    <row r="649" spans="1:3" x14ac:dyDescent="0.25">
      <c r="A649" s="21" t="s">
        <v>1332</v>
      </c>
      <c r="B649" s="21" t="s">
        <v>1333</v>
      </c>
      <c r="C649" s="36"/>
    </row>
    <row r="650" spans="1:3" x14ac:dyDescent="0.25">
      <c r="A650" s="21" t="s">
        <v>134</v>
      </c>
      <c r="B650" s="21" t="s">
        <v>134</v>
      </c>
      <c r="C650" s="36"/>
    </row>
    <row r="651" spans="1:3" x14ac:dyDescent="0.25">
      <c r="A651" s="22" t="s">
        <v>1334</v>
      </c>
      <c r="B651" s="22" t="s">
        <v>1335</v>
      </c>
      <c r="C651" s="37"/>
    </row>
    <row r="652" spans="1:3" x14ac:dyDescent="0.25">
      <c r="A652" s="21" t="s">
        <v>1336</v>
      </c>
      <c r="B652" s="21" t="s">
        <v>1336</v>
      </c>
      <c r="C652" s="36"/>
    </row>
    <row r="653" spans="1:3" x14ac:dyDescent="0.25">
      <c r="A653" s="21" t="s">
        <v>1337</v>
      </c>
      <c r="B653" s="21" t="s">
        <v>1337</v>
      </c>
      <c r="C653" s="36" t="s">
        <v>1338</v>
      </c>
    </row>
    <row r="654" spans="1:3" x14ac:dyDescent="0.25">
      <c r="A654" s="21" t="s">
        <v>1339</v>
      </c>
      <c r="B654" s="21" t="s">
        <v>1339</v>
      </c>
      <c r="C654" s="36"/>
    </row>
    <row r="655" spans="1:3" x14ac:dyDescent="0.25">
      <c r="A655" s="21" t="s">
        <v>1340</v>
      </c>
      <c r="B655" s="21" t="s">
        <v>1341</v>
      </c>
      <c r="C655" s="36"/>
    </row>
    <row r="656" spans="1:3" x14ac:dyDescent="0.25">
      <c r="A656" s="21" t="s">
        <v>1342</v>
      </c>
      <c r="B656" s="21" t="s">
        <v>1342</v>
      </c>
      <c r="C656" s="36"/>
    </row>
    <row r="657" spans="1:3" x14ac:dyDescent="0.25">
      <c r="A657" s="21" t="s">
        <v>1343</v>
      </c>
      <c r="B657" s="21" t="s">
        <v>1344</v>
      </c>
      <c r="C657" s="36" t="s">
        <v>1345</v>
      </c>
    </row>
    <row r="658" spans="1:3" x14ac:dyDescent="0.25">
      <c r="A658" s="21" t="s">
        <v>1346</v>
      </c>
      <c r="B658" s="21" t="s">
        <v>1346</v>
      </c>
      <c r="C658" s="36" t="s">
        <v>1347</v>
      </c>
    </row>
    <row r="659" spans="1:3" x14ac:dyDescent="0.25">
      <c r="A659" s="21" t="s">
        <v>1348</v>
      </c>
      <c r="B659" s="21" t="s">
        <v>1348</v>
      </c>
      <c r="C659" s="36"/>
    </row>
    <row r="660" spans="1:3" x14ac:dyDescent="0.25">
      <c r="A660" s="21" t="s">
        <v>1349</v>
      </c>
      <c r="B660" s="21" t="s">
        <v>1350</v>
      </c>
      <c r="C660" s="36"/>
    </row>
    <row r="661" spans="1:3" x14ac:dyDescent="0.25">
      <c r="A661" s="23" t="s">
        <v>1351</v>
      </c>
      <c r="B661" s="21" t="s">
        <v>1352</v>
      </c>
      <c r="C661" s="36"/>
    </row>
    <row r="662" spans="1:3" x14ac:dyDescent="0.25">
      <c r="A662" s="25" t="s">
        <v>1353</v>
      </c>
      <c r="B662" s="22" t="s">
        <v>1354</v>
      </c>
      <c r="C662" s="37"/>
    </row>
    <row r="663" spans="1:3" x14ac:dyDescent="0.25">
      <c r="A663" s="21" t="s">
        <v>1355</v>
      </c>
      <c r="B663" s="21" t="s">
        <v>1356</v>
      </c>
      <c r="C663" s="36"/>
    </row>
    <row r="664" spans="1:3" x14ac:dyDescent="0.25">
      <c r="A664" s="28" t="s">
        <v>2979</v>
      </c>
      <c r="B664" s="28" t="s">
        <v>2979</v>
      </c>
    </row>
    <row r="665" spans="1:3" x14ac:dyDescent="0.25">
      <c r="A665" s="21" t="s">
        <v>1357</v>
      </c>
      <c r="B665" s="21" t="s">
        <v>1357</v>
      </c>
      <c r="C665" s="36" t="s">
        <v>1358</v>
      </c>
    </row>
    <row r="666" spans="1:3" x14ac:dyDescent="0.25">
      <c r="A666" s="21" t="s">
        <v>1359</v>
      </c>
      <c r="B666" s="21" t="s">
        <v>1359</v>
      </c>
      <c r="C666" s="36"/>
    </row>
    <row r="667" spans="1:3" x14ac:dyDescent="0.25">
      <c r="A667" s="21" t="s">
        <v>1360</v>
      </c>
      <c r="B667" s="21" t="s">
        <v>1361</v>
      </c>
      <c r="C667" s="36"/>
    </row>
    <row r="668" spans="1:3" x14ac:dyDescent="0.25">
      <c r="A668" s="21" t="s">
        <v>1362</v>
      </c>
      <c r="B668" s="21" t="s">
        <v>1363</v>
      </c>
      <c r="C668" s="36"/>
    </row>
    <row r="669" spans="1:3" x14ac:dyDescent="0.25">
      <c r="A669" s="22" t="s">
        <v>1364</v>
      </c>
      <c r="B669" s="22" t="s">
        <v>1365</v>
      </c>
      <c r="C669" s="37"/>
    </row>
    <row r="670" spans="1:3" x14ac:dyDescent="0.25">
      <c r="A670" s="21" t="s">
        <v>1366</v>
      </c>
      <c r="B670" s="21" t="s">
        <v>1366</v>
      </c>
      <c r="C670" s="36" t="s">
        <v>1367</v>
      </c>
    </row>
    <row r="671" spans="1:3" x14ac:dyDescent="0.25">
      <c r="A671" s="21" t="s">
        <v>1368</v>
      </c>
      <c r="B671" s="21" t="s">
        <v>1369</v>
      </c>
      <c r="C671" s="36"/>
    </row>
    <row r="672" spans="1:3" x14ac:dyDescent="0.25">
      <c r="A672" s="21" t="s">
        <v>1370</v>
      </c>
      <c r="B672" s="21" t="s">
        <v>1371</v>
      </c>
      <c r="C672" s="36"/>
    </row>
    <row r="673" spans="1:3" x14ac:dyDescent="0.25">
      <c r="A673" s="21" t="s">
        <v>1372</v>
      </c>
      <c r="B673" s="21" t="s">
        <v>1373</v>
      </c>
      <c r="C673" s="36"/>
    </row>
    <row r="674" spans="1:3" x14ac:dyDescent="0.25">
      <c r="A674" s="21" t="s">
        <v>1374</v>
      </c>
      <c r="B674" s="21" t="s">
        <v>1375</v>
      </c>
      <c r="C674" s="36"/>
    </row>
    <row r="675" spans="1:3" x14ac:dyDescent="0.25">
      <c r="A675" s="21" t="s">
        <v>1376</v>
      </c>
      <c r="B675" s="21" t="s">
        <v>1377</v>
      </c>
      <c r="C675" s="36"/>
    </row>
    <row r="676" spans="1:3" x14ac:dyDescent="0.25">
      <c r="A676" s="21" t="s">
        <v>1378</v>
      </c>
      <c r="B676" s="21" t="s">
        <v>1378</v>
      </c>
      <c r="C676" s="36"/>
    </row>
    <row r="677" spans="1:3" x14ac:dyDescent="0.25">
      <c r="A677" s="21" t="s">
        <v>1379</v>
      </c>
      <c r="B677" s="21" t="s">
        <v>1380</v>
      </c>
      <c r="C677" s="36"/>
    </row>
    <row r="678" spans="1:3" x14ac:dyDescent="0.25">
      <c r="A678" s="21" t="s">
        <v>1381</v>
      </c>
      <c r="B678" s="21" t="s">
        <v>1381</v>
      </c>
      <c r="C678" s="36"/>
    </row>
    <row r="679" spans="1:3" x14ac:dyDescent="0.25">
      <c r="A679" s="21" t="s">
        <v>1382</v>
      </c>
      <c r="B679" s="21" t="s">
        <v>1383</v>
      </c>
      <c r="C679" s="36"/>
    </row>
    <row r="680" spans="1:3" x14ac:dyDescent="0.25">
      <c r="A680" s="21" t="s">
        <v>1384</v>
      </c>
      <c r="B680" s="21" t="s">
        <v>1385</v>
      </c>
      <c r="C680" s="36"/>
    </row>
    <row r="681" spans="1:3" x14ac:dyDescent="0.25">
      <c r="A681" s="21" t="s">
        <v>1386</v>
      </c>
      <c r="B681" s="21" t="s">
        <v>1387</v>
      </c>
      <c r="C681" s="36"/>
    </row>
    <row r="682" spans="1:3" x14ac:dyDescent="0.25">
      <c r="A682" s="21" t="s">
        <v>1388</v>
      </c>
      <c r="B682" s="21" t="s">
        <v>1389</v>
      </c>
      <c r="C682" s="36"/>
    </row>
    <row r="683" spans="1:3" x14ac:dyDescent="0.25">
      <c r="A683" s="21" t="s">
        <v>1390</v>
      </c>
      <c r="B683" s="21" t="s">
        <v>1391</v>
      </c>
      <c r="C683" s="36"/>
    </row>
    <row r="684" spans="1:3" x14ac:dyDescent="0.25">
      <c r="A684" s="21" t="s">
        <v>1392</v>
      </c>
      <c r="B684" s="21" t="s">
        <v>1392</v>
      </c>
      <c r="C684" s="36" t="s">
        <v>1393</v>
      </c>
    </row>
    <row r="685" spans="1:3" x14ac:dyDescent="0.25">
      <c r="A685" s="21" t="s">
        <v>1394</v>
      </c>
      <c r="B685" s="21" t="s">
        <v>1394</v>
      </c>
      <c r="C685" s="36"/>
    </row>
    <row r="686" spans="1:3" x14ac:dyDescent="0.25">
      <c r="A686" s="21" t="s">
        <v>1395</v>
      </c>
      <c r="B686" s="21" t="s">
        <v>1396</v>
      </c>
      <c r="C686" s="36" t="s">
        <v>1397</v>
      </c>
    </row>
    <row r="687" spans="1:3" x14ac:dyDescent="0.25">
      <c r="A687" s="21" t="s">
        <v>2874</v>
      </c>
      <c r="B687" s="21" t="s">
        <v>2875</v>
      </c>
      <c r="C687" s="36"/>
    </row>
    <row r="688" spans="1:3" x14ac:dyDescent="0.25">
      <c r="A688" s="21" t="s">
        <v>1398</v>
      </c>
      <c r="B688" s="21" t="s">
        <v>1398</v>
      </c>
      <c r="C688" s="36"/>
    </row>
    <row r="689" spans="1:3" x14ac:dyDescent="0.25">
      <c r="A689" s="21" t="s">
        <v>1399</v>
      </c>
      <c r="B689" s="21" t="s">
        <v>108</v>
      </c>
      <c r="C689" s="36" t="s">
        <v>1400</v>
      </c>
    </row>
    <row r="690" spans="1:3" x14ac:dyDescent="0.25">
      <c r="A690" s="28" t="s">
        <v>3298</v>
      </c>
      <c r="B690" s="28" t="s">
        <v>3298</v>
      </c>
    </row>
    <row r="691" spans="1:3" x14ac:dyDescent="0.25">
      <c r="A691" s="21" t="s">
        <v>1401</v>
      </c>
      <c r="B691" s="21" t="s">
        <v>1401</v>
      </c>
      <c r="C691" s="36" t="s">
        <v>1402</v>
      </c>
    </row>
    <row r="692" spans="1:3" x14ac:dyDescent="0.25">
      <c r="A692" s="21" t="s">
        <v>1403</v>
      </c>
      <c r="B692" s="21" t="s">
        <v>1404</v>
      </c>
      <c r="C692" s="36" t="s">
        <v>1405</v>
      </c>
    </row>
    <row r="693" spans="1:3" x14ac:dyDescent="0.25">
      <c r="A693" s="21" t="s">
        <v>1406</v>
      </c>
      <c r="B693" s="21" t="s">
        <v>1406</v>
      </c>
      <c r="C693" s="36"/>
    </row>
    <row r="694" spans="1:3" x14ac:dyDescent="0.25">
      <c r="A694" s="21" t="s">
        <v>1407</v>
      </c>
      <c r="B694" s="21" t="s">
        <v>1408</v>
      </c>
      <c r="C694" s="36"/>
    </row>
    <row r="695" spans="1:3" x14ac:dyDescent="0.25">
      <c r="A695" s="21" t="s">
        <v>1409</v>
      </c>
      <c r="B695" s="21" t="s">
        <v>1410</v>
      </c>
      <c r="C695" s="36"/>
    </row>
    <row r="696" spans="1:3" x14ac:dyDescent="0.25">
      <c r="A696" s="22" t="s">
        <v>1411</v>
      </c>
      <c r="B696" s="21" t="s">
        <v>1412</v>
      </c>
      <c r="C696" s="36"/>
    </row>
    <row r="697" spans="1:3" x14ac:dyDescent="0.25">
      <c r="A697" s="21" t="s">
        <v>1413</v>
      </c>
      <c r="B697" s="21" t="s">
        <v>1413</v>
      </c>
      <c r="C697" s="36"/>
    </row>
    <row r="698" spans="1:3" x14ac:dyDescent="0.25">
      <c r="A698" s="21" t="s">
        <v>1414</v>
      </c>
      <c r="B698" s="21" t="s">
        <v>1415</v>
      </c>
      <c r="C698" s="36" t="s">
        <v>1416</v>
      </c>
    </row>
    <row r="699" spans="1:3" x14ac:dyDescent="0.25">
      <c r="A699" s="21" t="s">
        <v>1417</v>
      </c>
      <c r="B699" s="21" t="s">
        <v>1417</v>
      </c>
      <c r="C699" s="36"/>
    </row>
    <row r="700" spans="1:3" x14ac:dyDescent="0.25">
      <c r="A700" s="21" t="s">
        <v>1418</v>
      </c>
      <c r="B700" s="21" t="s">
        <v>1418</v>
      </c>
      <c r="C700" s="36"/>
    </row>
    <row r="701" spans="1:3" x14ac:dyDescent="0.25">
      <c r="A701" s="21" t="s">
        <v>1419</v>
      </c>
      <c r="B701" s="21" t="s">
        <v>1419</v>
      </c>
      <c r="C701" s="36"/>
    </row>
    <row r="702" spans="1:3" x14ac:dyDescent="0.25">
      <c r="A702" s="21" t="s">
        <v>1420</v>
      </c>
      <c r="B702" s="21" t="s">
        <v>1421</v>
      </c>
      <c r="C702" s="36"/>
    </row>
    <row r="703" spans="1:3" x14ac:dyDescent="0.25">
      <c r="A703" s="21" t="s">
        <v>1422</v>
      </c>
      <c r="B703" s="21" t="s">
        <v>1423</v>
      </c>
      <c r="C703" s="36"/>
    </row>
    <row r="704" spans="1:3" x14ac:dyDescent="0.25">
      <c r="A704" s="21" t="s">
        <v>1424</v>
      </c>
      <c r="B704" s="21" t="s">
        <v>1425</v>
      </c>
      <c r="C704" s="36"/>
    </row>
    <row r="705" spans="1:3" x14ac:dyDescent="0.25">
      <c r="A705" s="21" t="s">
        <v>1426</v>
      </c>
      <c r="B705" s="21" t="s">
        <v>1427</v>
      </c>
      <c r="C705" s="36"/>
    </row>
    <row r="706" spans="1:3" x14ac:dyDescent="0.25">
      <c r="A706" s="21" t="s">
        <v>1428</v>
      </c>
      <c r="B706" s="21" t="s">
        <v>1429</v>
      </c>
      <c r="C706" s="36"/>
    </row>
    <row r="707" spans="1:3" x14ac:dyDescent="0.25">
      <c r="A707" s="21" t="s">
        <v>1430</v>
      </c>
      <c r="B707" s="21" t="s">
        <v>1431</v>
      </c>
      <c r="C707" s="36"/>
    </row>
    <row r="708" spans="1:3" x14ac:dyDescent="0.25">
      <c r="A708" s="21" t="s">
        <v>1432</v>
      </c>
      <c r="B708" s="21" t="s">
        <v>1433</v>
      </c>
      <c r="C708" s="36"/>
    </row>
    <row r="709" spans="1:3" x14ac:dyDescent="0.25">
      <c r="A709" s="21" t="s">
        <v>1434</v>
      </c>
      <c r="B709" s="21" t="s">
        <v>1435</v>
      </c>
      <c r="C709" s="36"/>
    </row>
    <row r="710" spans="1:3" x14ac:dyDescent="0.25">
      <c r="A710" s="21" t="s">
        <v>1436</v>
      </c>
      <c r="B710" s="21" t="s">
        <v>1437</v>
      </c>
      <c r="C710" s="36"/>
    </row>
    <row r="711" spans="1:3" x14ac:dyDescent="0.25">
      <c r="A711" s="21" t="s">
        <v>1438</v>
      </c>
      <c r="B711" s="21" t="s">
        <v>1438</v>
      </c>
      <c r="C711" s="36"/>
    </row>
    <row r="712" spans="1:3" x14ac:dyDescent="0.25">
      <c r="A712" s="21" t="s">
        <v>1439</v>
      </c>
      <c r="B712" s="21" t="s">
        <v>1439</v>
      </c>
      <c r="C712" s="36"/>
    </row>
    <row r="713" spans="1:3" x14ac:dyDescent="0.25">
      <c r="A713" s="21" t="s">
        <v>1440</v>
      </c>
      <c r="B713" s="21" t="s">
        <v>1441</v>
      </c>
      <c r="C713" s="36"/>
    </row>
    <row r="714" spans="1:3" x14ac:dyDescent="0.25">
      <c r="A714" s="21" t="s">
        <v>1442</v>
      </c>
      <c r="B714" s="21" t="s">
        <v>1443</v>
      </c>
      <c r="C714" s="36"/>
    </row>
    <row r="715" spans="1:3" x14ac:dyDescent="0.25">
      <c r="A715" s="21" t="s">
        <v>1444</v>
      </c>
      <c r="B715" s="21" t="s">
        <v>1445</v>
      </c>
      <c r="C715" s="36"/>
    </row>
    <row r="716" spans="1:3" x14ac:dyDescent="0.25">
      <c r="A716" s="21" t="s">
        <v>1446</v>
      </c>
      <c r="B716" s="21" t="s">
        <v>1447</v>
      </c>
      <c r="C716" s="36"/>
    </row>
    <row r="717" spans="1:3" x14ac:dyDescent="0.25">
      <c r="A717" s="22" t="s">
        <v>1448</v>
      </c>
      <c r="B717" s="22" t="s">
        <v>1449</v>
      </c>
      <c r="C717" s="37"/>
    </row>
    <row r="718" spans="1:3" x14ac:dyDescent="0.25">
      <c r="A718" s="21" t="s">
        <v>1450</v>
      </c>
      <c r="B718" s="21" t="s">
        <v>1450</v>
      </c>
      <c r="C718" s="36"/>
    </row>
    <row r="719" spans="1:3" x14ac:dyDescent="0.25">
      <c r="A719" s="21" t="s">
        <v>1451</v>
      </c>
      <c r="B719" s="21" t="s">
        <v>1452</v>
      </c>
      <c r="C719" s="36"/>
    </row>
    <row r="720" spans="1:3" x14ac:dyDescent="0.25">
      <c r="A720" s="21" t="s">
        <v>1453</v>
      </c>
      <c r="B720" s="21" t="s">
        <v>1454</v>
      </c>
      <c r="C720" s="36"/>
    </row>
    <row r="721" spans="1:3" x14ac:dyDescent="0.25">
      <c r="A721" s="21" t="s">
        <v>1455</v>
      </c>
      <c r="B721" s="21" t="s">
        <v>1456</v>
      </c>
      <c r="C721" s="36" t="s">
        <v>1457</v>
      </c>
    </row>
    <row r="722" spans="1:3" x14ac:dyDescent="0.25">
      <c r="A722" s="21" t="s">
        <v>1458</v>
      </c>
      <c r="B722" s="21" t="s">
        <v>1458</v>
      </c>
      <c r="C722" s="36" t="s">
        <v>1459</v>
      </c>
    </row>
    <row r="723" spans="1:3" x14ac:dyDescent="0.25">
      <c r="A723" s="22" t="s">
        <v>65</v>
      </c>
      <c r="B723" s="22" t="s">
        <v>1460</v>
      </c>
      <c r="C723" s="37"/>
    </row>
    <row r="724" spans="1:3" x14ac:dyDescent="0.25">
      <c r="A724" s="21" t="s">
        <v>1461</v>
      </c>
      <c r="B724" s="21" t="s">
        <v>1462</v>
      </c>
      <c r="C724" s="36"/>
    </row>
    <row r="725" spans="1:3" x14ac:dyDescent="0.25">
      <c r="A725" s="21" t="s">
        <v>1463</v>
      </c>
      <c r="B725" s="21" t="s">
        <v>1464</v>
      </c>
      <c r="C725" s="36"/>
    </row>
    <row r="726" spans="1:3" x14ac:dyDescent="0.25">
      <c r="A726" s="22" t="s">
        <v>1465</v>
      </c>
      <c r="B726" s="22" t="s">
        <v>1466</v>
      </c>
      <c r="C726" s="37"/>
    </row>
    <row r="727" spans="1:3" x14ac:dyDescent="0.25">
      <c r="A727" s="21" t="s">
        <v>1467</v>
      </c>
      <c r="B727" s="21" t="s">
        <v>9</v>
      </c>
      <c r="C727" s="36"/>
    </row>
    <row r="728" spans="1:3" x14ac:dyDescent="0.25">
      <c r="A728" s="28" t="s">
        <v>3299</v>
      </c>
      <c r="B728" s="28" t="s">
        <v>3299</v>
      </c>
    </row>
    <row r="729" spans="1:3" x14ac:dyDescent="0.25">
      <c r="A729" s="21" t="s">
        <v>1468</v>
      </c>
      <c r="B729" s="21" t="s">
        <v>1469</v>
      </c>
      <c r="C729" s="36"/>
    </row>
    <row r="730" spans="1:3" x14ac:dyDescent="0.25">
      <c r="A730" s="21" t="s">
        <v>1470</v>
      </c>
      <c r="B730" s="21" t="s">
        <v>1471</v>
      </c>
      <c r="C730" s="36"/>
    </row>
    <row r="731" spans="1:3" x14ac:dyDescent="0.25">
      <c r="A731" s="21" t="s">
        <v>1472</v>
      </c>
      <c r="B731" s="21" t="s">
        <v>1473</v>
      </c>
      <c r="C731" s="36"/>
    </row>
    <row r="732" spans="1:3" x14ac:dyDescent="0.25">
      <c r="A732" s="21" t="s">
        <v>1474</v>
      </c>
      <c r="B732" s="21" t="s">
        <v>1475</v>
      </c>
      <c r="C732" s="36"/>
    </row>
    <row r="733" spans="1:3" x14ac:dyDescent="0.25">
      <c r="A733" s="21" t="s">
        <v>1476</v>
      </c>
      <c r="B733" s="21" t="s">
        <v>1477</v>
      </c>
      <c r="C733" s="36"/>
    </row>
    <row r="734" spans="1:3" x14ac:dyDescent="0.25">
      <c r="A734" s="21" t="s">
        <v>1478</v>
      </c>
      <c r="B734" s="21" t="s">
        <v>1478</v>
      </c>
      <c r="C734" s="36"/>
    </row>
    <row r="735" spans="1:3" x14ac:dyDescent="0.25">
      <c r="A735" s="21" t="s">
        <v>1479</v>
      </c>
      <c r="B735" s="21" t="s">
        <v>1480</v>
      </c>
      <c r="C735" s="36"/>
    </row>
    <row r="736" spans="1:3" x14ac:dyDescent="0.25">
      <c r="A736" s="21" t="s">
        <v>1481</v>
      </c>
      <c r="B736" s="21" t="s">
        <v>1482</v>
      </c>
      <c r="C736" s="36"/>
    </row>
    <row r="737" spans="1:3" x14ac:dyDescent="0.25">
      <c r="A737" s="21" t="s">
        <v>1483</v>
      </c>
      <c r="B737" s="21" t="s">
        <v>1484</v>
      </c>
      <c r="C737" s="36"/>
    </row>
    <row r="738" spans="1:3" x14ac:dyDescent="0.25">
      <c r="A738" s="21" t="s">
        <v>1485</v>
      </c>
      <c r="B738" s="21" t="s">
        <v>1486</v>
      </c>
      <c r="C738" s="36"/>
    </row>
    <row r="739" spans="1:3" x14ac:dyDescent="0.25">
      <c r="A739" s="21" t="s">
        <v>1487</v>
      </c>
      <c r="B739" s="21" t="s">
        <v>1487</v>
      </c>
      <c r="C739" s="36"/>
    </row>
    <row r="740" spans="1:3" x14ac:dyDescent="0.25">
      <c r="A740" s="21" t="s">
        <v>1488</v>
      </c>
      <c r="B740" s="21" t="s">
        <v>1488</v>
      </c>
      <c r="C740" s="36"/>
    </row>
    <row r="741" spans="1:3" x14ac:dyDescent="0.25">
      <c r="A741" s="21" t="s">
        <v>1489</v>
      </c>
      <c r="B741" s="21" t="s">
        <v>1490</v>
      </c>
      <c r="C741" s="36"/>
    </row>
    <row r="742" spans="1:3" x14ac:dyDescent="0.25">
      <c r="A742" s="21" t="s">
        <v>1491</v>
      </c>
      <c r="B742" s="21" t="s">
        <v>1492</v>
      </c>
      <c r="C742" s="36"/>
    </row>
    <row r="743" spans="1:3" x14ac:dyDescent="0.25">
      <c r="A743" s="21" t="s">
        <v>1493</v>
      </c>
      <c r="B743" s="21" t="s">
        <v>1493</v>
      </c>
      <c r="C743" s="36"/>
    </row>
    <row r="744" spans="1:3" x14ac:dyDescent="0.25">
      <c r="A744" s="21" t="s">
        <v>1494</v>
      </c>
      <c r="B744" s="21" t="s">
        <v>8</v>
      </c>
      <c r="C744" s="36"/>
    </row>
    <row r="745" spans="1:3" x14ac:dyDescent="0.25">
      <c r="A745" s="21" t="s">
        <v>1495</v>
      </c>
      <c r="B745" s="21" t="s">
        <v>1496</v>
      </c>
      <c r="C745" s="36" t="s">
        <v>1176</v>
      </c>
    </row>
    <row r="746" spans="1:3" x14ac:dyDescent="0.25">
      <c r="A746" s="21" t="s">
        <v>1497</v>
      </c>
      <c r="B746" s="21" t="s">
        <v>1498</v>
      </c>
      <c r="C746" s="36"/>
    </row>
    <row r="747" spans="1:3" x14ac:dyDescent="0.25">
      <c r="A747" s="21" t="s">
        <v>1499</v>
      </c>
      <c r="B747" s="21" t="s">
        <v>1500</v>
      </c>
      <c r="C747" s="36"/>
    </row>
    <row r="748" spans="1:3" x14ac:dyDescent="0.25">
      <c r="A748" s="21" t="s">
        <v>1501</v>
      </c>
      <c r="B748" s="21" t="s">
        <v>1502</v>
      </c>
      <c r="C748" s="36"/>
    </row>
    <row r="749" spans="1:3" x14ac:dyDescent="0.25">
      <c r="A749" s="21" t="s">
        <v>1503</v>
      </c>
      <c r="B749" s="21" t="s">
        <v>1504</v>
      </c>
      <c r="C749" s="36"/>
    </row>
    <row r="750" spans="1:3" x14ac:dyDescent="0.25">
      <c r="A750" s="21" t="s">
        <v>1505</v>
      </c>
      <c r="B750" s="21" t="s">
        <v>1506</v>
      </c>
      <c r="C750" s="36"/>
    </row>
    <row r="751" spans="1:3" x14ac:dyDescent="0.25">
      <c r="A751" s="21" t="s">
        <v>1507</v>
      </c>
      <c r="B751" s="21" t="s">
        <v>1508</v>
      </c>
      <c r="C751" s="36"/>
    </row>
    <row r="752" spans="1:3" x14ac:dyDescent="0.25">
      <c r="A752" s="21" t="s">
        <v>1509</v>
      </c>
      <c r="B752" s="21" t="s">
        <v>1510</v>
      </c>
      <c r="C752" s="36"/>
    </row>
    <row r="753" spans="1:3" x14ac:dyDescent="0.25">
      <c r="A753" s="21" t="s">
        <v>1511</v>
      </c>
      <c r="B753" s="21" t="s">
        <v>1512</v>
      </c>
      <c r="C753" s="36"/>
    </row>
    <row r="754" spans="1:3" x14ac:dyDescent="0.25">
      <c r="A754" s="21" t="s">
        <v>1513</v>
      </c>
      <c r="B754" s="21" t="s">
        <v>1514</v>
      </c>
      <c r="C754" s="36"/>
    </row>
    <row r="755" spans="1:3" x14ac:dyDescent="0.25">
      <c r="A755" s="21" t="s">
        <v>2581</v>
      </c>
      <c r="B755" s="21" t="s">
        <v>2582</v>
      </c>
      <c r="C755" s="36"/>
    </row>
    <row r="756" spans="1:3" x14ac:dyDescent="0.25">
      <c r="A756" s="21" t="s">
        <v>1515</v>
      </c>
      <c r="B756" s="21" t="s">
        <v>1516</v>
      </c>
      <c r="C756" s="36"/>
    </row>
    <row r="757" spans="1:3" x14ac:dyDescent="0.25">
      <c r="A757" s="21" t="s">
        <v>1517</v>
      </c>
      <c r="B757" s="21" t="s">
        <v>1518</v>
      </c>
      <c r="C757" s="36"/>
    </row>
    <row r="758" spans="1:3" x14ac:dyDescent="0.25">
      <c r="A758" s="21" t="s">
        <v>1519</v>
      </c>
      <c r="B758" s="21" t="s">
        <v>1520</v>
      </c>
      <c r="C758" s="36"/>
    </row>
    <row r="759" spans="1:3" x14ac:dyDescent="0.25">
      <c r="A759" s="28" t="s">
        <v>1521</v>
      </c>
      <c r="B759" s="28" t="s">
        <v>1522</v>
      </c>
    </row>
    <row r="760" spans="1:3" x14ac:dyDescent="0.25">
      <c r="A760" s="21" t="s">
        <v>1523</v>
      </c>
      <c r="B760" s="21" t="s">
        <v>1524</v>
      </c>
      <c r="C760" s="36"/>
    </row>
    <row r="761" spans="1:3" x14ac:dyDescent="0.25">
      <c r="A761" s="22" t="s">
        <v>1525</v>
      </c>
      <c r="B761" s="22" t="s">
        <v>1526</v>
      </c>
      <c r="C761" s="37"/>
    </row>
    <row r="762" spans="1:3" x14ac:dyDescent="0.25">
      <c r="A762" s="21" t="s">
        <v>1527</v>
      </c>
      <c r="B762" s="21" t="s">
        <v>1528</v>
      </c>
      <c r="C762" s="36"/>
    </row>
    <row r="763" spans="1:3" x14ac:dyDescent="0.25">
      <c r="A763" s="21" t="s">
        <v>1529</v>
      </c>
      <c r="B763" s="21" t="s">
        <v>1530</v>
      </c>
      <c r="C763" s="36"/>
    </row>
    <row r="764" spans="1:3" x14ac:dyDescent="0.25">
      <c r="A764" s="21" t="s">
        <v>1531</v>
      </c>
      <c r="B764" s="21" t="s">
        <v>1531</v>
      </c>
      <c r="C764" s="36"/>
    </row>
    <row r="765" spans="1:3" x14ac:dyDescent="0.25">
      <c r="A765" s="21" t="s">
        <v>1532</v>
      </c>
      <c r="B765" s="21" t="s">
        <v>1533</v>
      </c>
      <c r="C765" s="36"/>
    </row>
    <row r="766" spans="1:3" x14ac:dyDescent="0.25">
      <c r="A766" s="21" t="s">
        <v>1534</v>
      </c>
      <c r="B766" s="21" t="s">
        <v>1535</v>
      </c>
      <c r="C766" s="36"/>
    </row>
    <row r="767" spans="1:3" x14ac:dyDescent="0.25">
      <c r="A767" s="21" t="s">
        <v>1536</v>
      </c>
      <c r="B767" s="21" t="s">
        <v>1536</v>
      </c>
      <c r="C767" s="36"/>
    </row>
    <row r="768" spans="1:3" x14ac:dyDescent="0.25">
      <c r="A768" s="21" t="s">
        <v>1537</v>
      </c>
      <c r="B768" s="21" t="s">
        <v>1538</v>
      </c>
      <c r="C768" s="36"/>
    </row>
    <row r="769" spans="1:3" x14ac:dyDescent="0.25">
      <c r="A769" s="21" t="s">
        <v>1539</v>
      </c>
      <c r="B769" s="21" t="s">
        <v>1540</v>
      </c>
      <c r="C769" s="36"/>
    </row>
    <row r="770" spans="1:3" x14ac:dyDescent="0.25">
      <c r="A770" s="21" t="s">
        <v>1541</v>
      </c>
      <c r="B770" s="21" t="s">
        <v>1541</v>
      </c>
      <c r="C770" s="36" t="s">
        <v>1542</v>
      </c>
    </row>
    <row r="771" spans="1:3" x14ac:dyDescent="0.25">
      <c r="A771" s="21" t="s">
        <v>1543</v>
      </c>
      <c r="B771" s="21" t="s">
        <v>1543</v>
      </c>
      <c r="C771" s="36" t="s">
        <v>1544</v>
      </c>
    </row>
    <row r="772" spans="1:3" x14ac:dyDescent="0.25">
      <c r="A772" s="21" t="s">
        <v>1545</v>
      </c>
      <c r="B772" s="21" t="s">
        <v>1546</v>
      </c>
      <c r="C772" s="36"/>
    </row>
    <row r="773" spans="1:3" x14ac:dyDescent="0.25">
      <c r="A773" s="21" t="s">
        <v>1547</v>
      </c>
      <c r="B773" s="21" t="s">
        <v>1548</v>
      </c>
      <c r="C773" s="36"/>
    </row>
    <row r="774" spans="1:3" x14ac:dyDescent="0.25">
      <c r="A774" s="21" t="s">
        <v>1549</v>
      </c>
      <c r="B774" s="21" t="s">
        <v>1550</v>
      </c>
      <c r="C774" s="36"/>
    </row>
    <row r="775" spans="1:3" x14ac:dyDescent="0.25">
      <c r="A775" s="21" t="s">
        <v>2615</v>
      </c>
      <c r="B775" s="21" t="s">
        <v>2616</v>
      </c>
      <c r="C775" s="36"/>
    </row>
    <row r="776" spans="1:3" x14ac:dyDescent="0.25">
      <c r="A776" s="21" t="s">
        <v>51</v>
      </c>
      <c r="B776" s="21" t="s">
        <v>51</v>
      </c>
      <c r="C776" s="36" t="s">
        <v>1551</v>
      </c>
    </row>
    <row r="777" spans="1:3" x14ac:dyDescent="0.25">
      <c r="A777" s="21" t="s">
        <v>1552</v>
      </c>
      <c r="B777" s="21" t="s">
        <v>1552</v>
      </c>
      <c r="C777" s="36"/>
    </row>
    <row r="778" spans="1:3" x14ac:dyDescent="0.25">
      <c r="A778" s="21" t="s">
        <v>1553</v>
      </c>
      <c r="B778" s="21" t="s">
        <v>1554</v>
      </c>
      <c r="C778" s="36"/>
    </row>
    <row r="779" spans="1:3" x14ac:dyDescent="0.25">
      <c r="A779" s="22" t="s">
        <v>1555</v>
      </c>
      <c r="B779" s="22" t="s">
        <v>1555</v>
      </c>
      <c r="C779" s="37"/>
    </row>
    <row r="780" spans="1:3" x14ac:dyDescent="0.25">
      <c r="A780" s="21" t="s">
        <v>1556</v>
      </c>
      <c r="B780" s="21" t="s">
        <v>1557</v>
      </c>
      <c r="C780" s="36"/>
    </row>
    <row r="781" spans="1:3" x14ac:dyDescent="0.25">
      <c r="A781" s="21" t="s">
        <v>1558</v>
      </c>
      <c r="B781" s="21" t="s">
        <v>1559</v>
      </c>
      <c r="C781" s="36"/>
    </row>
    <row r="782" spans="1:3" x14ac:dyDescent="0.25">
      <c r="A782" s="23" t="s">
        <v>1560</v>
      </c>
      <c r="B782" s="21" t="s">
        <v>1561</v>
      </c>
      <c r="C782" s="36" t="s">
        <v>1562</v>
      </c>
    </row>
    <row r="783" spans="1:3" x14ac:dyDescent="0.25">
      <c r="A783" s="21" t="s">
        <v>1563</v>
      </c>
      <c r="B783" s="21" t="s">
        <v>1564</v>
      </c>
      <c r="C783" s="36"/>
    </row>
    <row r="784" spans="1:3" x14ac:dyDescent="0.25">
      <c r="A784" s="21" t="s">
        <v>1565</v>
      </c>
      <c r="B784" s="21" t="s">
        <v>1565</v>
      </c>
      <c r="C784" s="36"/>
    </row>
    <row r="785" spans="1:3" x14ac:dyDescent="0.25">
      <c r="A785" s="21" t="s">
        <v>1566</v>
      </c>
      <c r="B785" s="21" t="s">
        <v>1567</v>
      </c>
      <c r="C785" s="36"/>
    </row>
    <row r="786" spans="1:3" x14ac:dyDescent="0.25">
      <c r="A786" s="21" t="s">
        <v>1568</v>
      </c>
      <c r="B786" s="21" t="s">
        <v>1568</v>
      </c>
      <c r="C786" s="36"/>
    </row>
    <row r="787" spans="1:3" x14ac:dyDescent="0.25">
      <c r="A787" s="21" t="s">
        <v>2876</v>
      </c>
      <c r="B787" s="21" t="s">
        <v>51</v>
      </c>
      <c r="C787" s="36"/>
    </row>
    <row r="788" spans="1:3" x14ac:dyDescent="0.25">
      <c r="A788" s="21" t="s">
        <v>2877</v>
      </c>
      <c r="B788" s="21" t="s">
        <v>2823</v>
      </c>
      <c r="C788" s="36"/>
    </row>
    <row r="789" spans="1:3" x14ac:dyDescent="0.25">
      <c r="A789" s="21" t="s">
        <v>2878</v>
      </c>
      <c r="B789" s="21" t="s">
        <v>2820</v>
      </c>
      <c r="C789" s="36"/>
    </row>
    <row r="790" spans="1:3" x14ac:dyDescent="0.25">
      <c r="A790" s="21" t="s">
        <v>2819</v>
      </c>
      <c r="B790" s="21" t="s">
        <v>2820</v>
      </c>
      <c r="C790" s="36"/>
    </row>
    <row r="791" spans="1:3" x14ac:dyDescent="0.25">
      <c r="A791" s="21" t="s">
        <v>2822</v>
      </c>
      <c r="B791" s="21" t="s">
        <v>2823</v>
      </c>
      <c r="C791" s="36"/>
    </row>
    <row r="792" spans="1:3" x14ac:dyDescent="0.25">
      <c r="A792" s="21" t="s">
        <v>1569</v>
      </c>
      <c r="B792" s="21" t="s">
        <v>1569</v>
      </c>
      <c r="C792" s="36" t="s">
        <v>1570</v>
      </c>
    </row>
    <row r="793" spans="1:3" x14ac:dyDescent="0.25">
      <c r="A793" s="21" t="s">
        <v>1571</v>
      </c>
      <c r="B793" s="21" t="s">
        <v>1572</v>
      </c>
      <c r="C793" s="36" t="s">
        <v>1573</v>
      </c>
    </row>
    <row r="794" spans="1:3" x14ac:dyDescent="0.25">
      <c r="A794" s="21" t="s">
        <v>1574</v>
      </c>
      <c r="B794" s="21" t="s">
        <v>1574</v>
      </c>
      <c r="C794" s="36"/>
    </row>
    <row r="795" spans="1:3" x14ac:dyDescent="0.25">
      <c r="A795" s="21" t="s">
        <v>1575</v>
      </c>
      <c r="B795" s="21" t="s">
        <v>1576</v>
      </c>
      <c r="C795" s="36"/>
    </row>
    <row r="796" spans="1:3" x14ac:dyDescent="0.25">
      <c r="A796" s="21" t="s">
        <v>1577</v>
      </c>
      <c r="B796" s="21" t="s">
        <v>1578</v>
      </c>
      <c r="C796" s="36" t="s">
        <v>1579</v>
      </c>
    </row>
    <row r="797" spans="1:3" x14ac:dyDescent="0.25">
      <c r="A797" s="21" t="s">
        <v>1580</v>
      </c>
      <c r="B797" s="21" t="s">
        <v>1581</v>
      </c>
      <c r="C797" s="36"/>
    </row>
    <row r="798" spans="1:3" x14ac:dyDescent="0.25">
      <c r="A798" s="21" t="s">
        <v>1582</v>
      </c>
      <c r="B798" s="21" t="s">
        <v>1583</v>
      </c>
      <c r="C798" s="36" t="s">
        <v>1584</v>
      </c>
    </row>
    <row r="799" spans="1:3" x14ac:dyDescent="0.25">
      <c r="A799" s="21" t="s">
        <v>1585</v>
      </c>
      <c r="B799" s="21" t="s">
        <v>1585</v>
      </c>
      <c r="C799" s="36" t="s">
        <v>1570</v>
      </c>
    </row>
    <row r="800" spans="1:3" x14ac:dyDescent="0.25">
      <c r="A800" s="21" t="s">
        <v>1586</v>
      </c>
      <c r="B800" s="21" t="s">
        <v>1587</v>
      </c>
      <c r="C800" s="36"/>
    </row>
    <row r="801" spans="1:3" x14ac:dyDescent="0.25">
      <c r="A801" s="21" t="s">
        <v>1588</v>
      </c>
      <c r="B801" s="21" t="s">
        <v>1588</v>
      </c>
      <c r="C801" s="36" t="s">
        <v>1589</v>
      </c>
    </row>
    <row r="802" spans="1:3" x14ac:dyDescent="0.25">
      <c r="A802" s="21" t="s">
        <v>1590</v>
      </c>
      <c r="B802" s="21" t="s">
        <v>1590</v>
      </c>
      <c r="C802" s="36" t="s">
        <v>1591</v>
      </c>
    </row>
    <row r="803" spans="1:3" x14ac:dyDescent="0.25">
      <c r="A803" s="22" t="s">
        <v>1592</v>
      </c>
      <c r="B803" s="22" t="s">
        <v>1593</v>
      </c>
      <c r="C803" s="37"/>
    </row>
    <row r="804" spans="1:3" x14ac:dyDescent="0.25">
      <c r="A804" s="22" t="s">
        <v>121</v>
      </c>
      <c r="B804" s="22" t="s">
        <v>1594</v>
      </c>
      <c r="C804" s="37" t="s">
        <v>1595</v>
      </c>
    </row>
    <row r="805" spans="1:3" x14ac:dyDescent="0.25">
      <c r="A805" s="21" t="s">
        <v>1596</v>
      </c>
      <c r="B805" s="21" t="s">
        <v>1597</v>
      </c>
      <c r="C805" s="36"/>
    </row>
    <row r="806" spans="1:3" x14ac:dyDescent="0.25">
      <c r="A806" s="21" t="s">
        <v>1598</v>
      </c>
      <c r="B806" s="21" t="s">
        <v>1599</v>
      </c>
      <c r="C806" s="36"/>
    </row>
    <row r="807" spans="1:3" x14ac:dyDescent="0.25">
      <c r="A807" s="21" t="s">
        <v>1600</v>
      </c>
      <c r="B807" s="21" t="s">
        <v>1601</v>
      </c>
      <c r="C807" s="36"/>
    </row>
    <row r="808" spans="1:3" x14ac:dyDescent="0.25">
      <c r="A808" s="21" t="s">
        <v>1602</v>
      </c>
      <c r="B808" s="21" t="s">
        <v>1603</v>
      </c>
      <c r="C808" s="36"/>
    </row>
    <row r="809" spans="1:3" x14ac:dyDescent="0.25">
      <c r="A809" s="21" t="s">
        <v>1604</v>
      </c>
      <c r="B809" s="21" t="s">
        <v>1605</v>
      </c>
      <c r="C809" s="36"/>
    </row>
    <row r="810" spans="1:3" x14ac:dyDescent="0.25">
      <c r="A810" s="21" t="s">
        <v>1606</v>
      </c>
      <c r="B810" s="21" t="s">
        <v>1607</v>
      </c>
      <c r="C810" s="36"/>
    </row>
    <row r="811" spans="1:3" x14ac:dyDescent="0.25">
      <c r="A811" s="21" t="s">
        <v>1608</v>
      </c>
      <c r="B811" s="21" t="s">
        <v>1608</v>
      </c>
      <c r="C811" s="36" t="s">
        <v>247</v>
      </c>
    </row>
    <row r="812" spans="1:3" x14ac:dyDescent="0.25">
      <c r="A812" s="21" t="s">
        <v>1609</v>
      </c>
      <c r="B812" s="21" t="s">
        <v>1609</v>
      </c>
      <c r="C812" s="36"/>
    </row>
    <row r="813" spans="1:3" x14ac:dyDescent="0.25">
      <c r="A813" s="21" t="s">
        <v>1610</v>
      </c>
      <c r="B813" s="21" t="s">
        <v>1610</v>
      </c>
      <c r="C813" s="36"/>
    </row>
    <row r="814" spans="1:3" x14ac:dyDescent="0.25">
      <c r="A814" s="21" t="s">
        <v>1611</v>
      </c>
      <c r="B814" s="21" t="s">
        <v>1612</v>
      </c>
      <c r="C814" s="36"/>
    </row>
    <row r="815" spans="1:3" x14ac:dyDescent="0.25">
      <c r="A815" s="22" t="s">
        <v>88</v>
      </c>
      <c r="B815" s="22" t="s">
        <v>88</v>
      </c>
      <c r="C815" s="37" t="s">
        <v>1613</v>
      </c>
    </row>
    <row r="816" spans="1:3" x14ac:dyDescent="0.25">
      <c r="A816" s="21" t="s">
        <v>1614</v>
      </c>
      <c r="B816" s="21" t="s">
        <v>1614</v>
      </c>
      <c r="C816" s="36"/>
    </row>
    <row r="817" spans="1:3" x14ac:dyDescent="0.25">
      <c r="A817" s="21" t="s">
        <v>1615</v>
      </c>
      <c r="B817" s="21" t="s">
        <v>1615</v>
      </c>
      <c r="C817" s="36"/>
    </row>
    <row r="818" spans="1:3" x14ac:dyDescent="0.25">
      <c r="A818" s="21" t="s">
        <v>1616</v>
      </c>
      <c r="B818" s="21" t="s">
        <v>1616</v>
      </c>
      <c r="C818" s="36" t="s">
        <v>1617</v>
      </c>
    </row>
    <row r="819" spans="1:3" x14ac:dyDescent="0.25">
      <c r="A819" s="21" t="s">
        <v>1618</v>
      </c>
      <c r="B819" s="21" t="s">
        <v>1618</v>
      </c>
      <c r="C819" s="36"/>
    </row>
    <row r="820" spans="1:3" x14ac:dyDescent="0.25">
      <c r="A820" s="21" t="s">
        <v>2593</v>
      </c>
      <c r="B820" s="21" t="s">
        <v>2594</v>
      </c>
      <c r="C820" s="36"/>
    </row>
    <row r="821" spans="1:3" x14ac:dyDescent="0.25">
      <c r="A821" s="21" t="s">
        <v>2793</v>
      </c>
      <c r="B821" s="21" t="s">
        <v>2717</v>
      </c>
      <c r="C821" s="36"/>
    </row>
    <row r="822" spans="1:3" x14ac:dyDescent="0.25">
      <c r="A822" s="21" t="s">
        <v>1619</v>
      </c>
      <c r="B822" s="21" t="s">
        <v>1619</v>
      </c>
      <c r="C822" s="36"/>
    </row>
    <row r="823" spans="1:3" x14ac:dyDescent="0.25">
      <c r="A823" s="21" t="s">
        <v>1620</v>
      </c>
      <c r="B823" s="21" t="s">
        <v>1620</v>
      </c>
      <c r="C823" s="36"/>
    </row>
    <row r="824" spans="1:3" x14ac:dyDescent="0.25">
      <c r="A824" s="21" t="s">
        <v>1621</v>
      </c>
      <c r="B824" s="21" t="s">
        <v>1622</v>
      </c>
      <c r="C824" s="36"/>
    </row>
    <row r="825" spans="1:3" x14ac:dyDescent="0.25">
      <c r="A825" s="21" t="s">
        <v>1623</v>
      </c>
      <c r="B825" s="21" t="s">
        <v>1623</v>
      </c>
      <c r="C825" s="36"/>
    </row>
    <row r="826" spans="1:3" x14ac:dyDescent="0.25">
      <c r="A826" s="21" t="s">
        <v>2585</v>
      </c>
      <c r="B826" s="21" t="s">
        <v>2586</v>
      </c>
      <c r="C826" s="36"/>
    </row>
    <row r="827" spans="1:3" x14ac:dyDescent="0.25">
      <c r="A827" s="21" t="s">
        <v>1624</v>
      </c>
      <c r="B827" s="21" t="s">
        <v>1625</v>
      </c>
      <c r="C827" s="36"/>
    </row>
    <row r="828" spans="1:3" x14ac:dyDescent="0.25">
      <c r="A828" s="21" t="s">
        <v>1626</v>
      </c>
      <c r="B828" s="21" t="s">
        <v>1627</v>
      </c>
      <c r="C828" s="36"/>
    </row>
    <row r="829" spans="1:3" x14ac:dyDescent="0.25">
      <c r="A829" s="21" t="s">
        <v>2583</v>
      </c>
      <c r="B829" s="21" t="s">
        <v>2584</v>
      </c>
      <c r="C829" s="36"/>
    </row>
    <row r="830" spans="1:3" x14ac:dyDescent="0.25">
      <c r="A830" s="21" t="s">
        <v>1628</v>
      </c>
      <c r="B830" s="21" t="s">
        <v>1629</v>
      </c>
      <c r="C830" s="36"/>
    </row>
    <row r="831" spans="1:3" x14ac:dyDescent="0.25">
      <c r="A831" s="21" t="s">
        <v>1630</v>
      </c>
      <c r="B831" s="21" t="s">
        <v>1631</v>
      </c>
      <c r="C831" s="36"/>
    </row>
    <row r="832" spans="1:3" x14ac:dyDescent="0.25">
      <c r="A832" s="21" t="s">
        <v>1632</v>
      </c>
      <c r="B832" s="21" t="s">
        <v>1632</v>
      </c>
      <c r="C832" s="36"/>
    </row>
    <row r="833" spans="1:3" x14ac:dyDescent="0.25">
      <c r="A833" s="21" t="s">
        <v>1633</v>
      </c>
      <c r="B833" s="21" t="s">
        <v>1634</v>
      </c>
      <c r="C833" s="36"/>
    </row>
    <row r="834" spans="1:3" x14ac:dyDescent="0.25">
      <c r="A834" s="21" t="s">
        <v>1635</v>
      </c>
      <c r="B834" s="21" t="s">
        <v>1636</v>
      </c>
      <c r="C834" s="36"/>
    </row>
    <row r="835" spans="1:3" x14ac:dyDescent="0.25">
      <c r="A835" s="21" t="s">
        <v>1637</v>
      </c>
      <c r="B835" s="21" t="s">
        <v>1638</v>
      </c>
      <c r="C835" s="36" t="s">
        <v>1639</v>
      </c>
    </row>
    <row r="836" spans="1:3" x14ac:dyDescent="0.25">
      <c r="A836" s="21" t="s">
        <v>1640</v>
      </c>
      <c r="B836" s="21" t="s">
        <v>1640</v>
      </c>
      <c r="C836" s="36"/>
    </row>
    <row r="837" spans="1:3" x14ac:dyDescent="0.25">
      <c r="A837" s="21" t="s">
        <v>1641</v>
      </c>
      <c r="B837" s="21" t="s">
        <v>1642</v>
      </c>
      <c r="C837" s="36" t="s">
        <v>1643</v>
      </c>
    </row>
    <row r="838" spans="1:3" x14ac:dyDescent="0.25">
      <c r="A838" s="21" t="s">
        <v>1644</v>
      </c>
      <c r="B838" s="21" t="s">
        <v>1645</v>
      </c>
      <c r="C838" s="36"/>
    </row>
    <row r="839" spans="1:3" x14ac:dyDescent="0.25">
      <c r="A839" s="21" t="s">
        <v>1646</v>
      </c>
      <c r="B839" s="21" t="s">
        <v>1647</v>
      </c>
      <c r="C839" s="36"/>
    </row>
    <row r="840" spans="1:3" x14ac:dyDescent="0.25">
      <c r="A840" s="21" t="s">
        <v>1648</v>
      </c>
      <c r="B840" s="21" t="s">
        <v>1648</v>
      </c>
      <c r="C840" s="36"/>
    </row>
    <row r="841" spans="1:3" x14ac:dyDescent="0.25">
      <c r="A841" s="21" t="s">
        <v>1649</v>
      </c>
      <c r="B841" s="21" t="s">
        <v>1650</v>
      </c>
      <c r="C841" s="36"/>
    </row>
    <row r="842" spans="1:3" x14ac:dyDescent="0.25">
      <c r="A842" s="21" t="s">
        <v>1651</v>
      </c>
      <c r="B842" s="21" t="s">
        <v>1652</v>
      </c>
      <c r="C842" s="36"/>
    </row>
    <row r="843" spans="1:3" x14ac:dyDescent="0.25">
      <c r="A843" s="21" t="s">
        <v>1653</v>
      </c>
      <c r="B843" s="21" t="s">
        <v>1654</v>
      </c>
      <c r="C843" s="36"/>
    </row>
    <row r="844" spans="1:3" x14ac:dyDescent="0.25">
      <c r="A844" s="22" t="s">
        <v>1655</v>
      </c>
      <c r="B844" s="21" t="s">
        <v>1656</v>
      </c>
      <c r="C844" s="36" t="s">
        <v>1657</v>
      </c>
    </row>
    <row r="845" spans="1:3" x14ac:dyDescent="0.25">
      <c r="A845" s="21" t="s">
        <v>1658</v>
      </c>
      <c r="B845" s="21" t="s">
        <v>1659</v>
      </c>
      <c r="C845" s="36"/>
    </row>
    <row r="846" spans="1:3" x14ac:dyDescent="0.25">
      <c r="A846" s="21" t="s">
        <v>1660</v>
      </c>
      <c r="B846" s="21" t="s">
        <v>1661</v>
      </c>
      <c r="C846" s="36"/>
    </row>
    <row r="847" spans="1:3" x14ac:dyDescent="0.25">
      <c r="A847" s="21" t="s">
        <v>1662</v>
      </c>
      <c r="B847" s="21" t="s">
        <v>1663</v>
      </c>
      <c r="C847" s="36"/>
    </row>
    <row r="848" spans="1:3" x14ac:dyDescent="0.25">
      <c r="A848" s="21" t="s">
        <v>2879</v>
      </c>
      <c r="B848" s="21" t="s">
        <v>2880</v>
      </c>
      <c r="C848" s="36"/>
    </row>
    <row r="849" spans="1:3" x14ac:dyDescent="0.25">
      <c r="A849" s="28" t="s">
        <v>3152</v>
      </c>
      <c r="B849" s="28" t="s">
        <v>3153</v>
      </c>
    </row>
    <row r="850" spans="1:3" x14ac:dyDescent="0.25">
      <c r="A850" s="21" t="s">
        <v>1664</v>
      </c>
      <c r="B850" s="21" t="s">
        <v>1664</v>
      </c>
      <c r="C850" s="36"/>
    </row>
    <row r="851" spans="1:3" x14ac:dyDescent="0.25">
      <c r="A851" s="21" t="s">
        <v>1665</v>
      </c>
      <c r="B851" s="21" t="s">
        <v>1666</v>
      </c>
      <c r="C851" s="36"/>
    </row>
    <row r="852" spans="1:3" x14ac:dyDescent="0.25">
      <c r="A852" s="21" t="s">
        <v>1667</v>
      </c>
      <c r="B852" s="21" t="s">
        <v>1667</v>
      </c>
      <c r="C852" s="36"/>
    </row>
    <row r="853" spans="1:3" x14ac:dyDescent="0.25">
      <c r="A853" s="21" t="s">
        <v>1668</v>
      </c>
      <c r="B853" s="21" t="s">
        <v>1669</v>
      </c>
      <c r="C853" s="36"/>
    </row>
    <row r="854" spans="1:3" x14ac:dyDescent="0.25">
      <c r="A854" s="21" t="s">
        <v>1670</v>
      </c>
      <c r="B854" s="21" t="s">
        <v>1671</v>
      </c>
      <c r="C854" s="36"/>
    </row>
    <row r="855" spans="1:3" x14ac:dyDescent="0.25">
      <c r="A855" s="21" t="s">
        <v>1672</v>
      </c>
      <c r="B855" s="21" t="s">
        <v>1672</v>
      </c>
      <c r="C855" s="36"/>
    </row>
    <row r="856" spans="1:3" x14ac:dyDescent="0.25">
      <c r="A856" s="21" t="s">
        <v>1673</v>
      </c>
      <c r="B856" s="21" t="s">
        <v>1674</v>
      </c>
      <c r="C856" s="36"/>
    </row>
    <row r="857" spans="1:3" x14ac:dyDescent="0.25">
      <c r="A857" s="21" t="s">
        <v>1675</v>
      </c>
      <c r="B857" s="21" t="s">
        <v>1676</v>
      </c>
      <c r="C857" s="36" t="s">
        <v>1677</v>
      </c>
    </row>
    <row r="858" spans="1:3" x14ac:dyDescent="0.25">
      <c r="A858" s="21" t="s">
        <v>2881</v>
      </c>
      <c r="B858" s="21" t="s">
        <v>2832</v>
      </c>
      <c r="C858" s="36"/>
    </row>
    <row r="859" spans="1:3" x14ac:dyDescent="0.25">
      <c r="A859" s="21" t="s">
        <v>2831</v>
      </c>
      <c r="B859" s="21" t="s">
        <v>2832</v>
      </c>
      <c r="C859" s="36"/>
    </row>
    <row r="860" spans="1:3" x14ac:dyDescent="0.25">
      <c r="A860" s="21" t="s">
        <v>2835</v>
      </c>
      <c r="B860" s="21" t="s">
        <v>2836</v>
      </c>
      <c r="C860" s="36"/>
    </row>
    <row r="861" spans="1:3" x14ac:dyDescent="0.25">
      <c r="A861" s="21" t="s">
        <v>1678</v>
      </c>
      <c r="B861" s="21" t="s">
        <v>1679</v>
      </c>
      <c r="C861" s="36" t="s">
        <v>1144</v>
      </c>
    </row>
    <row r="862" spans="1:3" x14ac:dyDescent="0.25">
      <c r="A862" s="21" t="s">
        <v>1680</v>
      </c>
      <c r="B862" s="21" t="s">
        <v>1680</v>
      </c>
      <c r="C862" s="36" t="s">
        <v>1681</v>
      </c>
    </row>
    <row r="863" spans="1:3" x14ac:dyDescent="0.25">
      <c r="A863" s="21" t="s">
        <v>1682</v>
      </c>
      <c r="B863" s="21" t="s">
        <v>1683</v>
      </c>
      <c r="C863" s="36"/>
    </row>
    <row r="864" spans="1:3" x14ac:dyDescent="0.25">
      <c r="A864" s="21" t="s">
        <v>1684</v>
      </c>
      <c r="B864" s="21" t="s">
        <v>1685</v>
      </c>
      <c r="C864" s="36"/>
    </row>
    <row r="865" spans="1:3" x14ac:dyDescent="0.25">
      <c r="A865" s="21" t="s">
        <v>1686</v>
      </c>
      <c r="B865" s="21" t="s">
        <v>1687</v>
      </c>
      <c r="C865" s="36"/>
    </row>
    <row r="866" spans="1:3" x14ac:dyDescent="0.25">
      <c r="A866" s="21" t="s">
        <v>1688</v>
      </c>
      <c r="B866" s="21" t="s">
        <v>1688</v>
      </c>
      <c r="C866" s="36"/>
    </row>
    <row r="867" spans="1:3" x14ac:dyDescent="0.25">
      <c r="A867" s="21" t="s">
        <v>1689</v>
      </c>
      <c r="B867" s="21" t="s">
        <v>1690</v>
      </c>
      <c r="C867" s="36"/>
    </row>
    <row r="868" spans="1:3" x14ac:dyDescent="0.25">
      <c r="A868" s="21" t="s">
        <v>1691</v>
      </c>
      <c r="B868" s="21" t="s">
        <v>1691</v>
      </c>
      <c r="C868" s="36"/>
    </row>
    <row r="869" spans="1:3" x14ac:dyDescent="0.25">
      <c r="A869" s="26" t="s">
        <v>1692</v>
      </c>
      <c r="B869" s="26" t="s">
        <v>1693</v>
      </c>
      <c r="C869" s="38"/>
    </row>
    <row r="870" spans="1:3" x14ac:dyDescent="0.25">
      <c r="A870" s="21" t="s">
        <v>1694</v>
      </c>
      <c r="B870" s="21" t="s">
        <v>1695</v>
      </c>
      <c r="C870" s="36"/>
    </row>
    <row r="871" spans="1:3" x14ac:dyDescent="0.25">
      <c r="A871" s="22" t="s">
        <v>1696</v>
      </c>
      <c r="B871" s="22" t="s">
        <v>1697</v>
      </c>
      <c r="C871" s="37" t="s">
        <v>1698</v>
      </c>
    </row>
    <row r="872" spans="1:3" x14ac:dyDescent="0.25">
      <c r="A872" s="21" t="s">
        <v>1699</v>
      </c>
      <c r="B872" s="21" t="s">
        <v>1700</v>
      </c>
      <c r="C872" s="36" t="s">
        <v>1701</v>
      </c>
    </row>
    <row r="873" spans="1:3" x14ac:dyDescent="0.25">
      <c r="A873" s="21" t="s">
        <v>1702</v>
      </c>
      <c r="B873" s="21" t="s">
        <v>1702</v>
      </c>
      <c r="C873" s="36" t="s">
        <v>247</v>
      </c>
    </row>
    <row r="874" spans="1:3" x14ac:dyDescent="0.25">
      <c r="A874" s="21" t="s">
        <v>1703</v>
      </c>
      <c r="B874" s="21" t="s">
        <v>1704</v>
      </c>
      <c r="C874" s="36"/>
    </row>
    <row r="875" spans="1:3" x14ac:dyDescent="0.25">
      <c r="A875" s="21" t="s">
        <v>1705</v>
      </c>
      <c r="B875" s="21" t="s">
        <v>1706</v>
      </c>
      <c r="C875" s="36"/>
    </row>
    <row r="876" spans="1:3" x14ac:dyDescent="0.25">
      <c r="A876" s="21" t="s">
        <v>1707</v>
      </c>
      <c r="B876" s="21" t="s">
        <v>1708</v>
      </c>
      <c r="C876" s="36"/>
    </row>
    <row r="877" spans="1:3" x14ac:dyDescent="0.25">
      <c r="A877" s="21" t="s">
        <v>1709</v>
      </c>
      <c r="B877" s="21" t="s">
        <v>1710</v>
      </c>
      <c r="C877" s="36"/>
    </row>
    <row r="878" spans="1:3" x14ac:dyDescent="0.25">
      <c r="A878" s="21" t="s">
        <v>1711</v>
      </c>
      <c r="B878" s="21" t="s">
        <v>1712</v>
      </c>
      <c r="C878" s="36"/>
    </row>
    <row r="879" spans="1:3" x14ac:dyDescent="0.25">
      <c r="A879" s="21" t="s">
        <v>1713</v>
      </c>
      <c r="B879" s="21" t="s">
        <v>1714</v>
      </c>
      <c r="C879" s="36"/>
    </row>
    <row r="880" spans="1:3" x14ac:dyDescent="0.25">
      <c r="A880" s="21" t="s">
        <v>1715</v>
      </c>
      <c r="B880" s="21" t="s">
        <v>1716</v>
      </c>
      <c r="C880" s="36"/>
    </row>
    <row r="881" spans="1:3" x14ac:dyDescent="0.25">
      <c r="A881" s="21" t="s">
        <v>1717</v>
      </c>
      <c r="B881" s="21" t="s">
        <v>1717</v>
      </c>
      <c r="C881" s="36"/>
    </row>
    <row r="882" spans="1:3" x14ac:dyDescent="0.25">
      <c r="A882" s="21" t="s">
        <v>1718</v>
      </c>
      <c r="B882" s="21" t="s">
        <v>1719</v>
      </c>
      <c r="C882" s="36"/>
    </row>
    <row r="883" spans="1:3" x14ac:dyDescent="0.25">
      <c r="A883" s="21" t="s">
        <v>1720</v>
      </c>
      <c r="B883" s="21" t="s">
        <v>1720</v>
      </c>
      <c r="C883" s="36"/>
    </row>
    <row r="884" spans="1:3" x14ac:dyDescent="0.25">
      <c r="A884" s="21" t="s">
        <v>1721</v>
      </c>
      <c r="B884" s="21" t="s">
        <v>1721</v>
      </c>
      <c r="C884" s="36"/>
    </row>
    <row r="885" spans="1:3" x14ac:dyDescent="0.25">
      <c r="A885" s="21" t="s">
        <v>1722</v>
      </c>
      <c r="B885" s="21" t="s">
        <v>1722</v>
      </c>
      <c r="C885" s="36" t="s">
        <v>1723</v>
      </c>
    </row>
    <row r="886" spans="1:3" x14ac:dyDescent="0.25">
      <c r="A886" s="21" t="s">
        <v>2794</v>
      </c>
      <c r="B886" s="21" t="s">
        <v>2795</v>
      </c>
      <c r="C886" s="36"/>
    </row>
    <row r="887" spans="1:3" x14ac:dyDescent="0.25">
      <c r="A887" s="21" t="s">
        <v>1724</v>
      </c>
      <c r="B887" s="21" t="s">
        <v>1724</v>
      </c>
      <c r="C887" s="36"/>
    </row>
    <row r="888" spans="1:3" x14ac:dyDescent="0.25">
      <c r="A888" s="21" t="s">
        <v>1725</v>
      </c>
      <c r="B888" s="21" t="s">
        <v>1725</v>
      </c>
      <c r="C888" s="36"/>
    </row>
    <row r="889" spans="1:3" x14ac:dyDescent="0.25">
      <c r="A889" s="21" t="s">
        <v>1726</v>
      </c>
      <c r="B889" s="21" t="s">
        <v>1727</v>
      </c>
      <c r="C889" s="36" t="s">
        <v>1728</v>
      </c>
    </row>
    <row r="890" spans="1:3" x14ac:dyDescent="0.25">
      <c r="A890" s="21" t="s">
        <v>1729</v>
      </c>
      <c r="B890" s="21" t="s">
        <v>1729</v>
      </c>
      <c r="C890" s="36"/>
    </row>
    <row r="891" spans="1:3" x14ac:dyDescent="0.25">
      <c r="A891" s="21" t="s">
        <v>1730</v>
      </c>
      <c r="B891" s="21" t="s">
        <v>1731</v>
      </c>
      <c r="C891" s="36"/>
    </row>
    <row r="892" spans="1:3" x14ac:dyDescent="0.25">
      <c r="A892" s="21" t="s">
        <v>1732</v>
      </c>
      <c r="B892" s="21" t="s">
        <v>1733</v>
      </c>
      <c r="C892" s="36"/>
    </row>
    <row r="893" spans="1:3" x14ac:dyDescent="0.25">
      <c r="A893" s="21" t="s">
        <v>1734</v>
      </c>
      <c r="B893" s="21" t="s">
        <v>1734</v>
      </c>
      <c r="C893" s="36"/>
    </row>
    <row r="894" spans="1:3" x14ac:dyDescent="0.25">
      <c r="A894" s="21" t="s">
        <v>1735</v>
      </c>
      <c r="B894" s="21" t="s">
        <v>1736</v>
      </c>
      <c r="C894" s="36"/>
    </row>
    <row r="895" spans="1:3" x14ac:dyDescent="0.25">
      <c r="A895" s="21" t="s">
        <v>1737</v>
      </c>
      <c r="B895" s="21" t="s">
        <v>1738</v>
      </c>
      <c r="C895" s="36" t="s">
        <v>1739</v>
      </c>
    </row>
    <row r="896" spans="1:3" x14ac:dyDescent="0.25">
      <c r="A896" s="21" t="s">
        <v>2572</v>
      </c>
      <c r="B896" s="21" t="s">
        <v>2573</v>
      </c>
      <c r="C896" s="36"/>
    </row>
    <row r="897" spans="1:3" x14ac:dyDescent="0.25">
      <c r="A897" s="21" t="s">
        <v>1740</v>
      </c>
      <c r="B897" s="21" t="s">
        <v>1741</v>
      </c>
      <c r="C897" s="36"/>
    </row>
    <row r="898" spans="1:3" x14ac:dyDescent="0.25">
      <c r="A898" s="21" t="s">
        <v>1742</v>
      </c>
      <c r="B898" s="21" t="s">
        <v>1742</v>
      </c>
      <c r="C898" s="36"/>
    </row>
    <row r="899" spans="1:3" x14ac:dyDescent="0.25">
      <c r="A899" s="21" t="s">
        <v>1743</v>
      </c>
      <c r="B899" s="21" t="s">
        <v>1743</v>
      </c>
      <c r="C899" s="36"/>
    </row>
    <row r="900" spans="1:3" x14ac:dyDescent="0.25">
      <c r="A900" s="21" t="s">
        <v>1744</v>
      </c>
      <c r="B900" s="21" t="s">
        <v>1744</v>
      </c>
      <c r="C900" s="36"/>
    </row>
    <row r="901" spans="1:3" x14ac:dyDescent="0.25">
      <c r="A901" s="21" t="s">
        <v>1405</v>
      </c>
      <c r="B901" s="21" t="s">
        <v>1745</v>
      </c>
      <c r="C901" s="36"/>
    </row>
    <row r="902" spans="1:3" x14ac:dyDescent="0.25">
      <c r="A902" s="21" t="s">
        <v>1746</v>
      </c>
      <c r="B902" s="21" t="s">
        <v>1747</v>
      </c>
      <c r="C902" s="36"/>
    </row>
    <row r="903" spans="1:3" x14ac:dyDescent="0.25">
      <c r="A903" s="21" t="s">
        <v>1748</v>
      </c>
      <c r="B903" s="21" t="s">
        <v>1749</v>
      </c>
      <c r="C903" s="36"/>
    </row>
    <row r="904" spans="1:3" x14ac:dyDescent="0.25">
      <c r="A904" s="21" t="s">
        <v>1750</v>
      </c>
      <c r="B904" s="21" t="s">
        <v>1751</v>
      </c>
      <c r="C904" s="36"/>
    </row>
    <row r="905" spans="1:3" x14ac:dyDescent="0.25">
      <c r="A905" s="21" t="s">
        <v>1752</v>
      </c>
      <c r="B905" s="21" t="s">
        <v>1752</v>
      </c>
      <c r="C905" s="36"/>
    </row>
    <row r="906" spans="1:3" x14ac:dyDescent="0.25">
      <c r="A906" s="21" t="s">
        <v>1753</v>
      </c>
      <c r="B906" s="21" t="s">
        <v>1754</v>
      </c>
      <c r="C906" s="36"/>
    </row>
    <row r="907" spans="1:3" x14ac:dyDescent="0.25">
      <c r="A907" s="21" t="s">
        <v>81</v>
      </c>
      <c r="B907" s="21" t="s">
        <v>1755</v>
      </c>
      <c r="C907" s="36"/>
    </row>
    <row r="908" spans="1:3" x14ac:dyDescent="0.25">
      <c r="A908" s="21" t="s">
        <v>1756</v>
      </c>
      <c r="B908" s="21" t="s">
        <v>1757</v>
      </c>
      <c r="C908" s="36"/>
    </row>
    <row r="909" spans="1:3" x14ac:dyDescent="0.25">
      <c r="A909" s="21" t="s">
        <v>1758</v>
      </c>
      <c r="B909" s="21" t="s">
        <v>1758</v>
      </c>
      <c r="C909" s="36" t="s">
        <v>1759</v>
      </c>
    </row>
    <row r="910" spans="1:3" x14ac:dyDescent="0.25">
      <c r="A910" s="21" t="s">
        <v>1760</v>
      </c>
      <c r="B910" s="21" t="s">
        <v>1761</v>
      </c>
      <c r="C910" s="36"/>
    </row>
    <row r="911" spans="1:3" x14ac:dyDescent="0.25">
      <c r="A911" s="21" t="s">
        <v>1762</v>
      </c>
      <c r="B911" s="21" t="s">
        <v>1763</v>
      </c>
      <c r="C911" s="36"/>
    </row>
    <row r="912" spans="1:3" x14ac:dyDescent="0.25">
      <c r="A912" s="21" t="s">
        <v>2577</v>
      </c>
      <c r="B912" s="21" t="s">
        <v>2580</v>
      </c>
      <c r="C912" s="36"/>
    </row>
    <row r="913" spans="1:3" x14ac:dyDescent="0.25">
      <c r="A913" s="28" t="s">
        <v>2578</v>
      </c>
      <c r="B913" s="28" t="s">
        <v>2579</v>
      </c>
    </row>
    <row r="914" spans="1:3" x14ac:dyDescent="0.25">
      <c r="A914" s="28" t="s">
        <v>1764</v>
      </c>
      <c r="B914" s="28" t="s">
        <v>1765</v>
      </c>
    </row>
    <row r="915" spans="1:3" x14ac:dyDescent="0.25">
      <c r="A915" s="21" t="s">
        <v>1766</v>
      </c>
      <c r="B915" s="21" t="s">
        <v>1767</v>
      </c>
      <c r="C915" s="36"/>
    </row>
    <row r="916" spans="1:3" x14ac:dyDescent="0.25">
      <c r="A916" s="21" t="s">
        <v>1768</v>
      </c>
      <c r="B916" s="21" t="s">
        <v>1769</v>
      </c>
      <c r="C916" s="36" t="s">
        <v>1770</v>
      </c>
    </row>
    <row r="917" spans="1:3" x14ac:dyDescent="0.25">
      <c r="A917" s="21" t="s">
        <v>1771</v>
      </c>
      <c r="B917" s="21" t="s">
        <v>1772</v>
      </c>
      <c r="C917" s="36"/>
    </row>
    <row r="918" spans="1:3" x14ac:dyDescent="0.25">
      <c r="A918" s="22" t="s">
        <v>1773</v>
      </c>
      <c r="B918" s="22" t="s">
        <v>1774</v>
      </c>
      <c r="C918" s="37"/>
    </row>
    <row r="919" spans="1:3" x14ac:dyDescent="0.25">
      <c r="A919" s="21" t="s">
        <v>1775</v>
      </c>
      <c r="B919" s="21" t="s">
        <v>1776</v>
      </c>
      <c r="C919" s="36"/>
    </row>
    <row r="920" spans="1:3" x14ac:dyDescent="0.25">
      <c r="A920" s="21" t="s">
        <v>1777</v>
      </c>
      <c r="B920" s="21" t="s">
        <v>1778</v>
      </c>
      <c r="C920" s="36"/>
    </row>
    <row r="921" spans="1:3" x14ac:dyDescent="0.25">
      <c r="A921" s="21" t="s">
        <v>73</v>
      </c>
      <c r="B921" s="21" t="s">
        <v>1779</v>
      </c>
      <c r="C921" s="36"/>
    </row>
    <row r="922" spans="1:3" x14ac:dyDescent="0.25">
      <c r="A922" s="21" t="s">
        <v>1780</v>
      </c>
      <c r="B922" s="21" t="s">
        <v>1781</v>
      </c>
      <c r="C922" s="36"/>
    </row>
    <row r="923" spans="1:3" x14ac:dyDescent="0.25">
      <c r="A923" s="21" t="s">
        <v>1782</v>
      </c>
      <c r="B923" s="21" t="s">
        <v>1783</v>
      </c>
      <c r="C923" s="36"/>
    </row>
    <row r="924" spans="1:3" x14ac:dyDescent="0.25">
      <c r="A924" s="21" t="s">
        <v>1784</v>
      </c>
      <c r="B924" s="21" t="s">
        <v>1785</v>
      </c>
      <c r="C924" s="36"/>
    </row>
    <row r="925" spans="1:3" x14ac:dyDescent="0.25">
      <c r="A925" s="21" t="s">
        <v>2595</v>
      </c>
      <c r="B925" s="21" t="s">
        <v>2596</v>
      </c>
      <c r="C925" s="36"/>
    </row>
    <row r="926" spans="1:3" x14ac:dyDescent="0.25">
      <c r="A926" s="21" t="s">
        <v>1786</v>
      </c>
      <c r="B926" s="21" t="s">
        <v>1787</v>
      </c>
      <c r="C926" s="36"/>
    </row>
    <row r="927" spans="1:3" x14ac:dyDescent="0.25">
      <c r="A927" s="21" t="s">
        <v>1788</v>
      </c>
      <c r="B927" s="21" t="s">
        <v>1789</v>
      </c>
      <c r="C927" s="36"/>
    </row>
    <row r="928" spans="1:3" x14ac:dyDescent="0.25">
      <c r="A928" s="21" t="s">
        <v>1790</v>
      </c>
      <c r="B928" s="21" t="s">
        <v>1791</v>
      </c>
      <c r="C928" s="36"/>
    </row>
    <row r="929" spans="1:3" x14ac:dyDescent="0.25">
      <c r="A929" s="21" t="s">
        <v>1792</v>
      </c>
      <c r="B929" s="21" t="s">
        <v>1793</v>
      </c>
      <c r="C929" s="36"/>
    </row>
    <row r="930" spans="1:3" x14ac:dyDescent="0.25">
      <c r="A930" s="21" t="s">
        <v>1794</v>
      </c>
      <c r="B930" s="21" t="s">
        <v>1795</v>
      </c>
      <c r="C930" s="36"/>
    </row>
    <row r="931" spans="1:3" x14ac:dyDescent="0.25">
      <c r="A931" s="21" t="s">
        <v>1796</v>
      </c>
      <c r="B931" s="21" t="s">
        <v>1797</v>
      </c>
      <c r="C931" s="36"/>
    </row>
    <row r="932" spans="1:3" x14ac:dyDescent="0.25">
      <c r="A932" s="21" t="s">
        <v>1798</v>
      </c>
      <c r="B932" s="21" t="s">
        <v>1799</v>
      </c>
      <c r="C932" s="36"/>
    </row>
    <row r="933" spans="1:3" x14ac:dyDescent="0.25">
      <c r="A933" s="21" t="s">
        <v>1800</v>
      </c>
      <c r="B933" s="21" t="s">
        <v>1801</v>
      </c>
      <c r="C933" s="36"/>
    </row>
    <row r="934" spans="1:3" x14ac:dyDescent="0.25">
      <c r="A934" s="23" t="s">
        <v>1802</v>
      </c>
      <c r="B934" s="21" t="s">
        <v>1803</v>
      </c>
      <c r="C934" s="36"/>
    </row>
    <row r="935" spans="1:3" x14ac:dyDescent="0.25">
      <c r="A935" s="21" t="s">
        <v>1804</v>
      </c>
      <c r="B935" s="21" t="s">
        <v>1805</v>
      </c>
      <c r="C935" s="36"/>
    </row>
    <row r="936" spans="1:3" x14ac:dyDescent="0.25">
      <c r="A936" s="21" t="s">
        <v>1806</v>
      </c>
      <c r="B936" s="21" t="s">
        <v>1807</v>
      </c>
      <c r="C936" s="36"/>
    </row>
    <row r="937" spans="1:3" x14ac:dyDescent="0.25">
      <c r="A937" s="21" t="s">
        <v>1808</v>
      </c>
      <c r="B937" s="21" t="s">
        <v>1809</v>
      </c>
      <c r="C937" s="36" t="s">
        <v>1810</v>
      </c>
    </row>
    <row r="938" spans="1:3" x14ac:dyDescent="0.25">
      <c r="A938" s="21" t="s">
        <v>1811</v>
      </c>
      <c r="B938" s="21" t="s">
        <v>1812</v>
      </c>
      <c r="C938" s="36"/>
    </row>
    <row r="939" spans="1:3" x14ac:dyDescent="0.25">
      <c r="A939" s="28" t="s">
        <v>1813</v>
      </c>
      <c r="B939" s="28" t="s">
        <v>1814</v>
      </c>
    </row>
    <row r="940" spans="1:3" x14ac:dyDescent="0.25">
      <c r="A940" s="21" t="s">
        <v>2623</v>
      </c>
      <c r="B940" s="21" t="s">
        <v>2624</v>
      </c>
      <c r="C940" s="36"/>
    </row>
    <row r="941" spans="1:3" x14ac:dyDescent="0.25">
      <c r="A941" s="21" t="s">
        <v>2625</v>
      </c>
      <c r="B941" s="21" t="s">
        <v>2626</v>
      </c>
      <c r="C941" s="36"/>
    </row>
    <row r="942" spans="1:3" x14ac:dyDescent="0.25">
      <c r="A942" s="21" t="s">
        <v>1815</v>
      </c>
      <c r="B942" s="21" t="s">
        <v>1815</v>
      </c>
      <c r="C942" s="36" t="s">
        <v>1816</v>
      </c>
    </row>
    <row r="943" spans="1:3" x14ac:dyDescent="0.25">
      <c r="A943" s="21" t="s">
        <v>2587</v>
      </c>
      <c r="B943" s="21" t="s">
        <v>2587</v>
      </c>
      <c r="C943" s="36" t="s">
        <v>2588</v>
      </c>
    </row>
    <row r="944" spans="1:3" x14ac:dyDescent="0.25">
      <c r="A944" s="21" t="s">
        <v>1817</v>
      </c>
      <c r="B944" s="21" t="s">
        <v>1817</v>
      </c>
      <c r="C944" s="36"/>
    </row>
    <row r="945" spans="1:3" x14ac:dyDescent="0.25">
      <c r="A945" s="22" t="s">
        <v>1818</v>
      </c>
      <c r="B945" s="22" t="s">
        <v>1818</v>
      </c>
      <c r="C945" s="37"/>
    </row>
    <row r="946" spans="1:3" x14ac:dyDescent="0.25">
      <c r="A946" s="22" t="s">
        <v>1819</v>
      </c>
      <c r="B946" s="22" t="s">
        <v>1820</v>
      </c>
      <c r="C946" s="37" t="s">
        <v>1821</v>
      </c>
    </row>
    <row r="947" spans="1:3" x14ac:dyDescent="0.25">
      <c r="A947" s="21" t="s">
        <v>1822</v>
      </c>
      <c r="B947" s="21" t="s">
        <v>1823</v>
      </c>
      <c r="C947" s="36"/>
    </row>
    <row r="948" spans="1:3" x14ac:dyDescent="0.25">
      <c r="A948" s="21" t="s">
        <v>1824</v>
      </c>
      <c r="B948" s="21" t="s">
        <v>1825</v>
      </c>
      <c r="C948" s="36"/>
    </row>
    <row r="949" spans="1:3" x14ac:dyDescent="0.25">
      <c r="A949" s="21" t="s">
        <v>1826</v>
      </c>
      <c r="B949" s="21" t="s">
        <v>1826</v>
      </c>
      <c r="C949" s="36" t="s">
        <v>1827</v>
      </c>
    </row>
    <row r="950" spans="1:3" x14ac:dyDescent="0.25">
      <c r="A950" s="21" t="s">
        <v>1828</v>
      </c>
      <c r="B950" s="21" t="s">
        <v>1828</v>
      </c>
      <c r="C950" s="36"/>
    </row>
    <row r="951" spans="1:3" x14ac:dyDescent="0.25">
      <c r="A951" s="21" t="s">
        <v>1829</v>
      </c>
      <c r="B951" s="21" t="s">
        <v>1829</v>
      </c>
      <c r="C951" s="36" t="s">
        <v>1830</v>
      </c>
    </row>
    <row r="952" spans="1:3" x14ac:dyDescent="0.25">
      <c r="A952" s="21" t="s">
        <v>1831</v>
      </c>
      <c r="B952" s="21" t="s">
        <v>1832</v>
      </c>
      <c r="C952" s="36" t="s">
        <v>1833</v>
      </c>
    </row>
    <row r="953" spans="1:3" x14ac:dyDescent="0.25">
      <c r="A953" s="22" t="s">
        <v>1834</v>
      </c>
      <c r="B953" s="22" t="s">
        <v>1835</v>
      </c>
      <c r="C953" s="37" t="s">
        <v>1836</v>
      </c>
    </row>
    <row r="954" spans="1:3" x14ac:dyDescent="0.25">
      <c r="A954" s="22" t="s">
        <v>1837</v>
      </c>
      <c r="B954" s="22" t="s">
        <v>1838</v>
      </c>
      <c r="C954" s="37"/>
    </row>
    <row r="955" spans="1:3" x14ac:dyDescent="0.25">
      <c r="A955" s="21" t="s">
        <v>1839</v>
      </c>
      <c r="B955" s="21" t="s">
        <v>1840</v>
      </c>
      <c r="C955" s="36"/>
    </row>
    <row r="956" spans="1:3" x14ac:dyDescent="0.25">
      <c r="A956" s="21" t="s">
        <v>2882</v>
      </c>
      <c r="B956" s="21" t="s">
        <v>2882</v>
      </c>
      <c r="C956" s="36"/>
    </row>
    <row r="957" spans="1:3" x14ac:dyDescent="0.25">
      <c r="A957" s="21" t="s">
        <v>1841</v>
      </c>
      <c r="B957" s="21" t="s">
        <v>1842</v>
      </c>
      <c r="C957" s="36" t="s">
        <v>1843</v>
      </c>
    </row>
    <row r="958" spans="1:3" x14ac:dyDescent="0.25">
      <c r="A958" s="21" t="s">
        <v>1844</v>
      </c>
      <c r="B958" s="21" t="s">
        <v>1845</v>
      </c>
      <c r="C958" s="36" t="s">
        <v>1846</v>
      </c>
    </row>
    <row r="959" spans="1:3" x14ac:dyDescent="0.25">
      <c r="A959" s="21" t="s">
        <v>1847</v>
      </c>
      <c r="B959" s="21" t="s">
        <v>1847</v>
      </c>
      <c r="C959" s="36"/>
    </row>
    <row r="960" spans="1:3" x14ac:dyDescent="0.25">
      <c r="A960" s="21" t="s">
        <v>1848</v>
      </c>
      <c r="B960" s="21" t="s">
        <v>1849</v>
      </c>
      <c r="C960" s="36"/>
    </row>
    <row r="961" spans="1:3" x14ac:dyDescent="0.25">
      <c r="A961" s="21" t="s">
        <v>1850</v>
      </c>
      <c r="B961" s="21" t="s">
        <v>1850</v>
      </c>
      <c r="C961" s="36" t="s">
        <v>1851</v>
      </c>
    </row>
    <row r="962" spans="1:3" x14ac:dyDescent="0.25">
      <c r="A962" s="21" t="s">
        <v>1852</v>
      </c>
      <c r="B962" s="21" t="s">
        <v>1852</v>
      </c>
      <c r="C962" s="36"/>
    </row>
    <row r="963" spans="1:3" x14ac:dyDescent="0.25">
      <c r="A963" s="21" t="s">
        <v>1853</v>
      </c>
      <c r="B963" s="21" t="s">
        <v>1853</v>
      </c>
      <c r="C963" s="36" t="s">
        <v>1854</v>
      </c>
    </row>
    <row r="964" spans="1:3" x14ac:dyDescent="0.25">
      <c r="A964" s="21" t="s">
        <v>1855</v>
      </c>
      <c r="B964" s="21" t="s">
        <v>1855</v>
      </c>
      <c r="C964" s="36"/>
    </row>
    <row r="965" spans="1:3" x14ac:dyDescent="0.25">
      <c r="A965" s="21" t="s">
        <v>1856</v>
      </c>
      <c r="B965" s="21" t="s">
        <v>1857</v>
      </c>
      <c r="C965" s="36"/>
    </row>
    <row r="966" spans="1:3" x14ac:dyDescent="0.25">
      <c r="A966" s="21" t="s">
        <v>1858</v>
      </c>
      <c r="B966" s="21" t="s">
        <v>1859</v>
      </c>
      <c r="C966" s="36"/>
    </row>
    <row r="967" spans="1:3" x14ac:dyDescent="0.25">
      <c r="A967" s="21" t="s">
        <v>2621</v>
      </c>
      <c r="B967" s="21" t="s">
        <v>2622</v>
      </c>
      <c r="C967" s="36"/>
    </row>
    <row r="968" spans="1:3" x14ac:dyDescent="0.25">
      <c r="A968" s="21" t="s">
        <v>1860</v>
      </c>
      <c r="B968" s="21" t="s">
        <v>1860</v>
      </c>
      <c r="C968" s="36" t="s">
        <v>1861</v>
      </c>
    </row>
    <row r="969" spans="1:3" x14ac:dyDescent="0.25">
      <c r="A969" s="21" t="s">
        <v>1862</v>
      </c>
      <c r="B969" s="21" t="s">
        <v>1863</v>
      </c>
      <c r="C969" s="36" t="s">
        <v>1864</v>
      </c>
    </row>
    <row r="970" spans="1:3" x14ac:dyDescent="0.25">
      <c r="A970" s="21" t="s">
        <v>1865</v>
      </c>
      <c r="B970" s="21" t="s">
        <v>1865</v>
      </c>
      <c r="C970" s="36" t="s">
        <v>1866</v>
      </c>
    </row>
    <row r="971" spans="1:3" x14ac:dyDescent="0.25">
      <c r="A971" s="21" t="s">
        <v>1867</v>
      </c>
      <c r="B971" s="21" t="s">
        <v>1868</v>
      </c>
      <c r="C971" s="36"/>
    </row>
    <row r="972" spans="1:3" x14ac:dyDescent="0.25">
      <c r="A972" s="21" t="s">
        <v>1869</v>
      </c>
      <c r="B972" s="21" t="s">
        <v>1870</v>
      </c>
      <c r="C972" s="36"/>
    </row>
    <row r="973" spans="1:3" x14ac:dyDescent="0.25">
      <c r="A973" s="21" t="s">
        <v>1871</v>
      </c>
      <c r="B973" s="21" t="s">
        <v>1871</v>
      </c>
      <c r="C973" s="36"/>
    </row>
    <row r="974" spans="1:3" x14ac:dyDescent="0.25">
      <c r="A974" s="21" t="s">
        <v>1872</v>
      </c>
      <c r="B974" s="21" t="s">
        <v>1872</v>
      </c>
      <c r="C974" s="36"/>
    </row>
    <row r="975" spans="1:3" x14ac:dyDescent="0.25">
      <c r="A975" s="21" t="s">
        <v>1873</v>
      </c>
      <c r="B975" s="21" t="s">
        <v>1874</v>
      </c>
      <c r="C975" s="36" t="s">
        <v>1875</v>
      </c>
    </row>
    <row r="976" spans="1:3" x14ac:dyDescent="0.25">
      <c r="A976" s="21" t="s">
        <v>1876</v>
      </c>
      <c r="B976" s="21" t="s">
        <v>1876</v>
      </c>
      <c r="C976" s="36" t="s">
        <v>1877</v>
      </c>
    </row>
    <row r="977" spans="1:3" x14ac:dyDescent="0.25">
      <c r="A977" s="21" t="s">
        <v>1878</v>
      </c>
      <c r="B977" s="21" t="s">
        <v>1879</v>
      </c>
      <c r="C977" s="36"/>
    </row>
    <row r="978" spans="1:3" x14ac:dyDescent="0.25">
      <c r="A978" s="21" t="s">
        <v>1880</v>
      </c>
      <c r="B978" s="21" t="s">
        <v>1881</v>
      </c>
      <c r="C978" s="36"/>
    </row>
    <row r="979" spans="1:3" x14ac:dyDescent="0.25">
      <c r="A979" s="21" t="s">
        <v>1882</v>
      </c>
      <c r="B979" s="21" t="s">
        <v>1883</v>
      </c>
      <c r="C979" s="36"/>
    </row>
    <row r="980" spans="1:3" x14ac:dyDescent="0.25">
      <c r="A980" s="21" t="s">
        <v>1884</v>
      </c>
      <c r="B980" s="21" t="s">
        <v>1884</v>
      </c>
      <c r="C980" s="36"/>
    </row>
    <row r="981" spans="1:3" x14ac:dyDescent="0.25">
      <c r="A981" s="21" t="s">
        <v>1885</v>
      </c>
      <c r="B981" s="21" t="s">
        <v>1886</v>
      </c>
      <c r="C981" s="36"/>
    </row>
    <row r="982" spans="1:3" x14ac:dyDescent="0.25">
      <c r="A982" s="21" t="s">
        <v>1887</v>
      </c>
      <c r="B982" s="21" t="s">
        <v>1888</v>
      </c>
      <c r="C982" s="36"/>
    </row>
    <row r="983" spans="1:3" x14ac:dyDescent="0.25">
      <c r="A983" s="21" t="s">
        <v>1889</v>
      </c>
      <c r="B983" s="21" t="s">
        <v>1890</v>
      </c>
      <c r="C983" s="36"/>
    </row>
    <row r="984" spans="1:3" x14ac:dyDescent="0.25">
      <c r="A984" s="21" t="s">
        <v>1891</v>
      </c>
      <c r="B984" s="21" t="s">
        <v>1892</v>
      </c>
      <c r="C984" s="36"/>
    </row>
    <row r="985" spans="1:3" x14ac:dyDescent="0.25">
      <c r="A985" s="21" t="s">
        <v>1893</v>
      </c>
      <c r="B985" s="21" t="s">
        <v>1894</v>
      </c>
      <c r="C985" s="36"/>
    </row>
    <row r="986" spans="1:3" x14ac:dyDescent="0.25">
      <c r="A986" s="21" t="s">
        <v>1895</v>
      </c>
      <c r="B986" s="21" t="s">
        <v>1896</v>
      </c>
      <c r="C986" s="36"/>
    </row>
    <row r="987" spans="1:3" x14ac:dyDescent="0.25">
      <c r="A987" s="21" t="s">
        <v>1897</v>
      </c>
      <c r="B987" s="21" t="s">
        <v>1898</v>
      </c>
      <c r="C987" s="36"/>
    </row>
    <row r="988" spans="1:3" x14ac:dyDescent="0.25">
      <c r="A988" s="21" t="s">
        <v>1899</v>
      </c>
      <c r="B988" s="21" t="s">
        <v>1900</v>
      </c>
      <c r="C988" s="36"/>
    </row>
    <row r="989" spans="1:3" x14ac:dyDescent="0.25">
      <c r="A989" s="21" t="s">
        <v>1901</v>
      </c>
      <c r="B989" s="21" t="s">
        <v>1902</v>
      </c>
      <c r="C989" s="36"/>
    </row>
    <row r="990" spans="1:3" x14ac:dyDescent="0.25">
      <c r="A990" s="21" t="s">
        <v>1903</v>
      </c>
      <c r="B990" s="21" t="s">
        <v>1904</v>
      </c>
      <c r="C990" s="36"/>
    </row>
    <row r="991" spans="1:3" x14ac:dyDescent="0.25">
      <c r="A991" s="22" t="s">
        <v>1905</v>
      </c>
      <c r="B991" s="21" t="s">
        <v>1906</v>
      </c>
      <c r="C991" s="36"/>
    </row>
    <row r="992" spans="1:3" x14ac:dyDescent="0.25">
      <c r="A992" s="21" t="s">
        <v>1907</v>
      </c>
      <c r="B992" s="21" t="s">
        <v>1908</v>
      </c>
      <c r="C992" s="36"/>
    </row>
    <row r="993" spans="1:3" x14ac:dyDescent="0.25">
      <c r="A993" s="21" t="s">
        <v>1909</v>
      </c>
      <c r="B993" s="21" t="s">
        <v>1910</v>
      </c>
      <c r="C993" s="36" t="s">
        <v>1911</v>
      </c>
    </row>
    <row r="994" spans="1:3" x14ac:dyDescent="0.25">
      <c r="A994" s="21" t="s">
        <v>1912</v>
      </c>
      <c r="B994" s="21" t="s">
        <v>1913</v>
      </c>
      <c r="C994" s="36"/>
    </row>
    <row r="995" spans="1:3" x14ac:dyDescent="0.25">
      <c r="A995" s="21" t="s">
        <v>1914</v>
      </c>
      <c r="B995" s="21" t="s">
        <v>1915</v>
      </c>
      <c r="C995" s="36"/>
    </row>
    <row r="996" spans="1:3" x14ac:dyDescent="0.25">
      <c r="A996" s="22" t="s">
        <v>1916</v>
      </c>
      <c r="B996" s="21" t="s">
        <v>1917</v>
      </c>
      <c r="C996" s="36"/>
    </row>
    <row r="997" spans="1:3" x14ac:dyDescent="0.25">
      <c r="A997" s="21" t="s">
        <v>1918</v>
      </c>
      <c r="B997" s="21" t="s">
        <v>1919</v>
      </c>
      <c r="C997" s="36"/>
    </row>
    <row r="998" spans="1:3" x14ac:dyDescent="0.25">
      <c r="A998" s="21" t="s">
        <v>1920</v>
      </c>
      <c r="B998" s="21" t="s">
        <v>1921</v>
      </c>
      <c r="C998" s="36"/>
    </row>
    <row r="999" spans="1:3" x14ac:dyDescent="0.25">
      <c r="A999" s="21" t="s">
        <v>1922</v>
      </c>
      <c r="B999" s="21" t="s">
        <v>1923</v>
      </c>
      <c r="C999" s="36"/>
    </row>
    <row r="1000" spans="1:3" x14ac:dyDescent="0.25">
      <c r="A1000" s="21" t="s">
        <v>1924</v>
      </c>
      <c r="B1000" s="21" t="s">
        <v>1925</v>
      </c>
      <c r="C1000" s="36"/>
    </row>
    <row r="1001" spans="1:3" x14ac:dyDescent="0.25">
      <c r="A1001" s="21" t="s">
        <v>1926</v>
      </c>
      <c r="B1001" s="21" t="s">
        <v>1927</v>
      </c>
      <c r="C1001" s="36"/>
    </row>
    <row r="1002" spans="1:3" x14ac:dyDescent="0.25">
      <c r="A1002" s="21" t="s">
        <v>1928</v>
      </c>
      <c r="B1002" s="21" t="s">
        <v>1929</v>
      </c>
      <c r="C1002" s="36"/>
    </row>
    <row r="1003" spans="1:3" x14ac:dyDescent="0.25">
      <c r="A1003" s="21" t="s">
        <v>1930</v>
      </c>
      <c r="B1003" s="21" t="s">
        <v>1931</v>
      </c>
      <c r="C1003" s="36"/>
    </row>
    <row r="1004" spans="1:3" x14ac:dyDescent="0.25">
      <c r="A1004" s="21" t="s">
        <v>1932</v>
      </c>
      <c r="B1004" s="21" t="s">
        <v>1933</v>
      </c>
      <c r="C1004" s="36"/>
    </row>
    <row r="1005" spans="1:3" x14ac:dyDescent="0.25">
      <c r="A1005" s="21" t="s">
        <v>1934</v>
      </c>
      <c r="B1005" s="21" t="s">
        <v>1935</v>
      </c>
      <c r="C1005" s="36"/>
    </row>
    <row r="1006" spans="1:3" x14ac:dyDescent="0.25">
      <c r="A1006" s="21" t="s">
        <v>1936</v>
      </c>
      <c r="B1006" s="21" t="s">
        <v>1937</v>
      </c>
      <c r="C1006" s="36"/>
    </row>
    <row r="1007" spans="1:3" x14ac:dyDescent="0.25">
      <c r="A1007" s="21" t="s">
        <v>1938</v>
      </c>
      <c r="B1007" s="21" t="s">
        <v>1939</v>
      </c>
      <c r="C1007" s="36"/>
    </row>
    <row r="1008" spans="1:3" x14ac:dyDescent="0.25">
      <c r="A1008" s="22" t="s">
        <v>1940</v>
      </c>
      <c r="B1008" s="22" t="s">
        <v>1941</v>
      </c>
      <c r="C1008" s="37"/>
    </row>
    <row r="1009" spans="1:3" x14ac:dyDescent="0.25">
      <c r="A1009" s="21" t="s">
        <v>1942</v>
      </c>
      <c r="B1009" s="21" t="s">
        <v>1943</v>
      </c>
      <c r="C1009" s="36"/>
    </row>
    <row r="1010" spans="1:3" x14ac:dyDescent="0.25">
      <c r="A1010" s="21" t="s">
        <v>1944</v>
      </c>
      <c r="B1010" s="21" t="s">
        <v>1945</v>
      </c>
      <c r="C1010" s="36"/>
    </row>
    <row r="1011" spans="1:3" x14ac:dyDescent="0.25">
      <c r="A1011" s="22" t="s">
        <v>1946</v>
      </c>
      <c r="B1011" s="21" t="s">
        <v>1947</v>
      </c>
      <c r="C1011" s="36"/>
    </row>
    <row r="1012" spans="1:3" x14ac:dyDescent="0.25">
      <c r="A1012" s="21" t="s">
        <v>1948</v>
      </c>
      <c r="B1012" s="21" t="s">
        <v>1949</v>
      </c>
      <c r="C1012" s="36"/>
    </row>
    <row r="1013" spans="1:3" x14ac:dyDescent="0.25">
      <c r="A1013" s="21" t="s">
        <v>87</v>
      </c>
      <c r="B1013" s="21" t="s">
        <v>1950</v>
      </c>
      <c r="C1013" s="36" t="s">
        <v>1951</v>
      </c>
    </row>
    <row r="1014" spans="1:3" x14ac:dyDescent="0.25">
      <c r="A1014" s="21" t="s">
        <v>1952</v>
      </c>
      <c r="B1014" s="21" t="s">
        <v>1953</v>
      </c>
      <c r="C1014" s="36"/>
    </row>
    <row r="1015" spans="1:3" x14ac:dyDescent="0.25">
      <c r="A1015" s="21" t="s">
        <v>1954</v>
      </c>
      <c r="B1015" s="21" t="s">
        <v>1955</v>
      </c>
      <c r="C1015" s="36"/>
    </row>
    <row r="1016" spans="1:3" x14ac:dyDescent="0.25">
      <c r="A1016" s="21" t="s">
        <v>1956</v>
      </c>
      <c r="B1016" s="21" t="s">
        <v>1956</v>
      </c>
      <c r="C1016" s="36"/>
    </row>
    <row r="1017" spans="1:3" x14ac:dyDescent="0.25">
      <c r="A1017" s="21" t="s">
        <v>1957</v>
      </c>
      <c r="B1017" s="21" t="s">
        <v>1958</v>
      </c>
      <c r="C1017" s="36"/>
    </row>
    <row r="1018" spans="1:3" x14ac:dyDescent="0.25">
      <c r="A1018" s="21" t="s">
        <v>1959</v>
      </c>
      <c r="B1018" s="21" t="s">
        <v>1959</v>
      </c>
      <c r="C1018" s="36"/>
    </row>
    <row r="1019" spans="1:3" x14ac:dyDescent="0.25">
      <c r="A1019" s="21" t="s">
        <v>1960</v>
      </c>
      <c r="B1019" s="21" t="s">
        <v>1961</v>
      </c>
      <c r="C1019" s="36"/>
    </row>
    <row r="1020" spans="1:3" x14ac:dyDescent="0.25">
      <c r="A1020" s="21" t="s">
        <v>1962</v>
      </c>
      <c r="B1020" s="21" t="s">
        <v>1963</v>
      </c>
      <c r="C1020" s="36"/>
    </row>
    <row r="1021" spans="1:3" x14ac:dyDescent="0.25">
      <c r="A1021" s="21" t="s">
        <v>1964</v>
      </c>
      <c r="B1021" s="21" t="s">
        <v>1965</v>
      </c>
      <c r="C1021" s="36"/>
    </row>
    <row r="1022" spans="1:3" x14ac:dyDescent="0.25">
      <c r="A1022" s="22" t="s">
        <v>1966</v>
      </c>
      <c r="B1022" s="22" t="s">
        <v>1967</v>
      </c>
      <c r="C1022" s="37"/>
    </row>
    <row r="1023" spans="1:3" x14ac:dyDescent="0.25">
      <c r="A1023" s="21" t="s">
        <v>1968</v>
      </c>
      <c r="B1023" s="21" t="s">
        <v>1969</v>
      </c>
      <c r="C1023" s="36"/>
    </row>
    <row r="1024" spans="1:3" x14ac:dyDescent="0.25">
      <c r="A1024" s="21" t="s">
        <v>1970</v>
      </c>
      <c r="B1024" s="21" t="s">
        <v>1971</v>
      </c>
      <c r="C1024" s="36" t="s">
        <v>387</v>
      </c>
    </row>
    <row r="1025" spans="1:3" x14ac:dyDescent="0.25">
      <c r="A1025" s="21" t="s">
        <v>1972</v>
      </c>
      <c r="B1025" s="21" t="s">
        <v>1973</v>
      </c>
      <c r="C1025" s="36"/>
    </row>
    <row r="1026" spans="1:3" x14ac:dyDescent="0.25">
      <c r="A1026" s="21" t="s">
        <v>1974</v>
      </c>
      <c r="B1026" s="21" t="s">
        <v>1975</v>
      </c>
      <c r="C1026" s="36" t="s">
        <v>1976</v>
      </c>
    </row>
    <row r="1027" spans="1:3" x14ac:dyDescent="0.25">
      <c r="A1027" s="21" t="s">
        <v>1977</v>
      </c>
      <c r="B1027" s="21" t="s">
        <v>1978</v>
      </c>
      <c r="C1027" s="36"/>
    </row>
    <row r="1028" spans="1:3" x14ac:dyDescent="0.25">
      <c r="A1028" s="21" t="s">
        <v>1979</v>
      </c>
      <c r="B1028" s="21" t="s">
        <v>1980</v>
      </c>
      <c r="C1028" s="36" t="s">
        <v>329</v>
      </c>
    </row>
    <row r="1029" spans="1:3" x14ac:dyDescent="0.25">
      <c r="A1029" s="21" t="s">
        <v>1981</v>
      </c>
      <c r="B1029" s="21" t="s">
        <v>1981</v>
      </c>
      <c r="C1029" s="36" t="s">
        <v>1982</v>
      </c>
    </row>
    <row r="1030" spans="1:3" x14ac:dyDescent="0.25">
      <c r="A1030" s="21" t="s">
        <v>1983</v>
      </c>
      <c r="B1030" s="21" t="s">
        <v>1983</v>
      </c>
      <c r="C1030" s="36"/>
    </row>
    <row r="1031" spans="1:3" x14ac:dyDescent="0.25">
      <c r="A1031" s="21" t="s">
        <v>1984</v>
      </c>
      <c r="B1031" s="21" t="s">
        <v>1985</v>
      </c>
      <c r="C1031" s="36"/>
    </row>
    <row r="1032" spans="1:3" x14ac:dyDescent="0.25">
      <c r="A1032" s="21" t="s">
        <v>1986</v>
      </c>
      <c r="B1032" s="21" t="s">
        <v>1986</v>
      </c>
      <c r="C1032" s="36"/>
    </row>
    <row r="1033" spans="1:3" x14ac:dyDescent="0.25">
      <c r="A1033" s="21" t="s">
        <v>1987</v>
      </c>
      <c r="B1033" s="21" t="s">
        <v>1988</v>
      </c>
      <c r="C1033" s="36" t="s">
        <v>1989</v>
      </c>
    </row>
    <row r="1034" spans="1:3" x14ac:dyDescent="0.25">
      <c r="A1034" s="21" t="s">
        <v>1990</v>
      </c>
      <c r="B1034" s="21" t="s">
        <v>1990</v>
      </c>
      <c r="C1034" s="36"/>
    </row>
    <row r="1035" spans="1:3" x14ac:dyDescent="0.25">
      <c r="A1035" s="21" t="s">
        <v>1991</v>
      </c>
      <c r="B1035" s="21" t="s">
        <v>1992</v>
      </c>
      <c r="C1035" s="36"/>
    </row>
    <row r="1036" spans="1:3" x14ac:dyDescent="0.25">
      <c r="A1036" s="21" t="s">
        <v>1993</v>
      </c>
      <c r="B1036" s="21" t="s">
        <v>1993</v>
      </c>
      <c r="C1036" s="36" t="s">
        <v>1994</v>
      </c>
    </row>
    <row r="1037" spans="1:3" x14ac:dyDescent="0.25">
      <c r="A1037" s="21" t="s">
        <v>1995</v>
      </c>
      <c r="B1037" s="21" t="s">
        <v>1995</v>
      </c>
      <c r="C1037" s="36" t="s">
        <v>1996</v>
      </c>
    </row>
    <row r="1038" spans="1:3" x14ac:dyDescent="0.25">
      <c r="A1038" s="21" t="s">
        <v>1997</v>
      </c>
      <c r="B1038" s="21" t="s">
        <v>1997</v>
      </c>
      <c r="C1038" s="36"/>
    </row>
    <row r="1039" spans="1:3" x14ac:dyDescent="0.25">
      <c r="A1039" s="21" t="s">
        <v>1998</v>
      </c>
      <c r="B1039" s="21" t="s">
        <v>1998</v>
      </c>
      <c r="C1039" s="36" t="s">
        <v>1999</v>
      </c>
    </row>
    <row r="1040" spans="1:3" x14ac:dyDescent="0.25">
      <c r="A1040" s="21" t="s">
        <v>2000</v>
      </c>
      <c r="B1040" s="21" t="s">
        <v>2001</v>
      </c>
      <c r="C1040" s="36"/>
    </row>
    <row r="1041" spans="1:3" x14ac:dyDescent="0.25">
      <c r="A1041" s="21" t="s">
        <v>2002</v>
      </c>
      <c r="B1041" s="21" t="s">
        <v>2003</v>
      </c>
      <c r="C1041" s="36"/>
    </row>
    <row r="1042" spans="1:3" x14ac:dyDescent="0.25">
      <c r="A1042" s="21" t="s">
        <v>2004</v>
      </c>
      <c r="B1042" s="21" t="s">
        <v>2005</v>
      </c>
      <c r="C1042" s="36" t="s">
        <v>2006</v>
      </c>
    </row>
    <row r="1043" spans="1:3" x14ac:dyDescent="0.25">
      <c r="A1043" s="21" t="s">
        <v>2007</v>
      </c>
      <c r="B1043" s="21" t="s">
        <v>2007</v>
      </c>
      <c r="C1043" s="36" t="s">
        <v>2008</v>
      </c>
    </row>
    <row r="1044" spans="1:3" x14ac:dyDescent="0.25">
      <c r="A1044" s="21" t="s">
        <v>2009</v>
      </c>
      <c r="B1044" s="21" t="s">
        <v>2009</v>
      </c>
      <c r="C1044" s="36" t="s">
        <v>2010</v>
      </c>
    </row>
    <row r="1045" spans="1:3" x14ac:dyDescent="0.25">
      <c r="A1045" s="21" t="s">
        <v>2011</v>
      </c>
      <c r="B1045" s="21" t="s">
        <v>2011</v>
      </c>
      <c r="C1045" s="36"/>
    </row>
    <row r="1046" spans="1:3" x14ac:dyDescent="0.25">
      <c r="A1046" s="21" t="s">
        <v>2012</v>
      </c>
      <c r="B1046" s="21" t="s">
        <v>2013</v>
      </c>
      <c r="C1046" s="36"/>
    </row>
    <row r="1047" spans="1:3" x14ac:dyDescent="0.25">
      <c r="A1047" s="21" t="s">
        <v>2014</v>
      </c>
      <c r="B1047" s="21" t="s">
        <v>2015</v>
      </c>
      <c r="C1047" s="36" t="s">
        <v>2016</v>
      </c>
    </row>
    <row r="1048" spans="1:3" x14ac:dyDescent="0.25">
      <c r="A1048" s="21" t="s">
        <v>2017</v>
      </c>
      <c r="B1048" s="21" t="s">
        <v>2018</v>
      </c>
      <c r="C1048" s="36"/>
    </row>
    <row r="1049" spans="1:3" x14ac:dyDescent="0.25">
      <c r="A1049" s="21" t="s">
        <v>2019</v>
      </c>
      <c r="B1049" s="21" t="s">
        <v>2020</v>
      </c>
      <c r="C1049" s="36"/>
    </row>
    <row r="1050" spans="1:3" x14ac:dyDescent="0.25">
      <c r="A1050" s="21" t="s">
        <v>2021</v>
      </c>
      <c r="B1050" s="21" t="s">
        <v>2021</v>
      </c>
      <c r="C1050" s="36"/>
    </row>
    <row r="1051" spans="1:3" x14ac:dyDescent="0.25">
      <c r="A1051" s="21" t="s">
        <v>2022</v>
      </c>
      <c r="B1051" s="21" t="s">
        <v>2022</v>
      </c>
      <c r="C1051" s="36" t="s">
        <v>2023</v>
      </c>
    </row>
    <row r="1052" spans="1:3" x14ac:dyDescent="0.25">
      <c r="A1052" s="22" t="s">
        <v>2024</v>
      </c>
      <c r="B1052" s="22" t="s">
        <v>2024</v>
      </c>
      <c r="C1052" s="37" t="s">
        <v>2025</v>
      </c>
    </row>
    <row r="1053" spans="1:3" x14ac:dyDescent="0.25">
      <c r="A1053" s="21" t="s">
        <v>2026</v>
      </c>
      <c r="B1053" s="21" t="s">
        <v>2026</v>
      </c>
      <c r="C1053" s="36" t="s">
        <v>2027</v>
      </c>
    </row>
    <row r="1054" spans="1:3" x14ac:dyDescent="0.25">
      <c r="A1054" s="25" t="s">
        <v>2028</v>
      </c>
      <c r="B1054" s="22" t="s">
        <v>2028</v>
      </c>
      <c r="C1054" s="37"/>
    </row>
    <row r="1055" spans="1:3" x14ac:dyDescent="0.25">
      <c r="A1055" s="21" t="s">
        <v>2029</v>
      </c>
      <c r="B1055" s="21" t="s">
        <v>2030</v>
      </c>
      <c r="C1055" s="36"/>
    </row>
    <row r="1056" spans="1:3" x14ac:dyDescent="0.25">
      <c r="A1056" s="21" t="s">
        <v>2031</v>
      </c>
      <c r="B1056" s="21" t="s">
        <v>2032</v>
      </c>
      <c r="C1056" s="36"/>
    </row>
    <row r="1057" spans="1:3" x14ac:dyDescent="0.25">
      <c r="A1057" s="21" t="s">
        <v>2033</v>
      </c>
      <c r="B1057" s="21" t="s">
        <v>2033</v>
      </c>
      <c r="C1057" s="36"/>
    </row>
    <row r="1058" spans="1:3" x14ac:dyDescent="0.25">
      <c r="A1058" s="21" t="s">
        <v>2034</v>
      </c>
      <c r="B1058" s="21" t="s">
        <v>2035</v>
      </c>
      <c r="C1058" s="36"/>
    </row>
    <row r="1059" spans="1:3" x14ac:dyDescent="0.25">
      <c r="A1059" s="21" t="s">
        <v>2036</v>
      </c>
      <c r="B1059" s="21" t="s">
        <v>2036</v>
      </c>
      <c r="C1059" s="36"/>
    </row>
    <row r="1060" spans="1:3" x14ac:dyDescent="0.25">
      <c r="A1060" s="21" t="s">
        <v>2037</v>
      </c>
      <c r="B1060" s="21" t="s">
        <v>2037</v>
      </c>
      <c r="C1060" s="36"/>
    </row>
    <row r="1061" spans="1:3" x14ac:dyDescent="0.25">
      <c r="A1061" s="21" t="s">
        <v>2038</v>
      </c>
      <c r="B1061" s="21" t="s">
        <v>2039</v>
      </c>
      <c r="C1061" s="36"/>
    </row>
    <row r="1062" spans="1:3" x14ac:dyDescent="0.25">
      <c r="A1062" s="21" t="s">
        <v>2040</v>
      </c>
      <c r="B1062" s="21" t="s">
        <v>2040</v>
      </c>
      <c r="C1062" s="36"/>
    </row>
    <row r="1063" spans="1:3" x14ac:dyDescent="0.25">
      <c r="A1063" s="21" t="s">
        <v>2041</v>
      </c>
      <c r="B1063" s="21" t="s">
        <v>2041</v>
      </c>
      <c r="C1063" s="36"/>
    </row>
    <row r="1064" spans="1:3" x14ac:dyDescent="0.25">
      <c r="A1064" s="21" t="s">
        <v>2042</v>
      </c>
      <c r="B1064" s="21" t="s">
        <v>2043</v>
      </c>
      <c r="C1064" s="36"/>
    </row>
    <row r="1065" spans="1:3" x14ac:dyDescent="0.25">
      <c r="A1065" s="21" t="s">
        <v>2044</v>
      </c>
      <c r="B1065" s="21" t="s">
        <v>2044</v>
      </c>
      <c r="C1065" s="36"/>
    </row>
    <row r="1066" spans="1:3" x14ac:dyDescent="0.25">
      <c r="A1066" s="21" t="s">
        <v>2045</v>
      </c>
      <c r="B1066" s="21" t="s">
        <v>2046</v>
      </c>
      <c r="C1066" s="36"/>
    </row>
    <row r="1067" spans="1:3" x14ac:dyDescent="0.25">
      <c r="A1067" s="21" t="s">
        <v>2047</v>
      </c>
      <c r="B1067" s="21" t="s">
        <v>2048</v>
      </c>
      <c r="C1067" s="36" t="s">
        <v>2049</v>
      </c>
    </row>
    <row r="1068" spans="1:3" x14ac:dyDescent="0.25">
      <c r="A1068" s="21" t="s">
        <v>2050</v>
      </c>
      <c r="B1068" s="21" t="s">
        <v>2051</v>
      </c>
      <c r="C1068" s="36"/>
    </row>
    <row r="1069" spans="1:3" x14ac:dyDescent="0.25">
      <c r="A1069" s="21" t="s">
        <v>2884</v>
      </c>
      <c r="B1069" s="21" t="s">
        <v>2884</v>
      </c>
      <c r="C1069" s="36"/>
    </row>
    <row r="1070" spans="1:3" x14ac:dyDescent="0.25">
      <c r="A1070" s="21" t="s">
        <v>2052</v>
      </c>
      <c r="B1070" s="21" t="s">
        <v>2052</v>
      </c>
      <c r="C1070" s="36"/>
    </row>
    <row r="1071" spans="1:3" x14ac:dyDescent="0.25">
      <c r="A1071" s="21" t="s">
        <v>2053</v>
      </c>
      <c r="B1071" s="21" t="s">
        <v>2054</v>
      </c>
      <c r="C1071" s="36"/>
    </row>
    <row r="1072" spans="1:3" x14ac:dyDescent="0.25">
      <c r="A1072" s="22" t="s">
        <v>2055</v>
      </c>
      <c r="B1072" s="22" t="s">
        <v>2056</v>
      </c>
      <c r="C1072" s="37" t="s">
        <v>2057</v>
      </c>
    </row>
    <row r="1073" spans="1:3" x14ac:dyDescent="0.25">
      <c r="A1073" s="22" t="s">
        <v>2058</v>
      </c>
      <c r="B1073" s="22" t="s">
        <v>2058</v>
      </c>
      <c r="C1073" s="37"/>
    </row>
    <row r="1074" spans="1:3" x14ac:dyDescent="0.25">
      <c r="A1074" s="22" t="s">
        <v>2059</v>
      </c>
      <c r="B1074" s="22" t="s">
        <v>2060</v>
      </c>
      <c r="C1074" s="37"/>
    </row>
    <row r="1075" spans="1:3" x14ac:dyDescent="0.25">
      <c r="A1075" s="21" t="s">
        <v>2061</v>
      </c>
      <c r="B1075" s="21" t="s">
        <v>2061</v>
      </c>
      <c r="C1075" s="36"/>
    </row>
    <row r="1076" spans="1:3" x14ac:dyDescent="0.25">
      <c r="A1076" s="21" t="s">
        <v>2062</v>
      </c>
      <c r="B1076" s="21" t="s">
        <v>2063</v>
      </c>
      <c r="C1076" s="36"/>
    </row>
    <row r="1077" spans="1:3" x14ac:dyDescent="0.25">
      <c r="A1077" s="21" t="s">
        <v>2064</v>
      </c>
      <c r="B1077" s="21" t="s">
        <v>2065</v>
      </c>
      <c r="C1077" s="36"/>
    </row>
    <row r="1078" spans="1:3" x14ac:dyDescent="0.25">
      <c r="A1078" s="21" t="s">
        <v>2066</v>
      </c>
      <c r="B1078" s="21" t="s">
        <v>2067</v>
      </c>
      <c r="C1078" s="36"/>
    </row>
    <row r="1079" spans="1:3" x14ac:dyDescent="0.25">
      <c r="A1079" s="21" t="s">
        <v>2068</v>
      </c>
      <c r="B1079" s="21" t="s">
        <v>2069</v>
      </c>
      <c r="C1079" s="36" t="s">
        <v>2070</v>
      </c>
    </row>
    <row r="1080" spans="1:3" ht="30" x14ac:dyDescent="0.25">
      <c r="A1080" s="21" t="s">
        <v>2883</v>
      </c>
      <c r="B1080" s="21" t="s">
        <v>2884</v>
      </c>
      <c r="C1080" s="36"/>
    </row>
    <row r="1081" spans="1:3" ht="30" x14ac:dyDescent="0.25">
      <c r="A1081" s="21" t="s">
        <v>2885</v>
      </c>
      <c r="B1081" s="21" t="s">
        <v>2884</v>
      </c>
      <c r="C1081" s="36"/>
    </row>
    <row r="1082" spans="1:3" x14ac:dyDescent="0.25">
      <c r="A1082" s="21" t="s">
        <v>2071</v>
      </c>
      <c r="B1082" s="21" t="s">
        <v>2071</v>
      </c>
      <c r="C1082" s="36"/>
    </row>
    <row r="1083" spans="1:3" x14ac:dyDescent="0.25">
      <c r="A1083" s="21" t="s">
        <v>2072</v>
      </c>
      <c r="B1083" s="21" t="s">
        <v>2073</v>
      </c>
      <c r="C1083" s="36"/>
    </row>
    <row r="1084" spans="1:3" x14ac:dyDescent="0.25">
      <c r="A1084" s="21" t="s">
        <v>2074</v>
      </c>
      <c r="B1084" s="21" t="s">
        <v>2075</v>
      </c>
      <c r="C1084" s="36"/>
    </row>
    <row r="1085" spans="1:3" x14ac:dyDescent="0.25">
      <c r="A1085" s="21" t="s">
        <v>2076</v>
      </c>
      <c r="B1085" s="21" t="s">
        <v>2077</v>
      </c>
      <c r="C1085" s="36"/>
    </row>
    <row r="1086" spans="1:3" x14ac:dyDescent="0.25">
      <c r="A1086" s="21" t="s">
        <v>2078</v>
      </c>
      <c r="B1086" s="21" t="s">
        <v>2079</v>
      </c>
      <c r="C1086" s="36"/>
    </row>
    <row r="1087" spans="1:3" x14ac:dyDescent="0.25">
      <c r="A1087" s="21" t="s">
        <v>2080</v>
      </c>
      <c r="B1087" s="21" t="s">
        <v>2081</v>
      </c>
      <c r="C1087" s="36"/>
    </row>
    <row r="1088" spans="1:3" x14ac:dyDescent="0.25">
      <c r="A1088" s="22" t="s">
        <v>2082</v>
      </c>
      <c r="B1088" s="22" t="s">
        <v>2083</v>
      </c>
      <c r="C1088" s="37"/>
    </row>
    <row r="1089" spans="1:3" x14ac:dyDescent="0.25">
      <c r="A1089" s="21" t="s">
        <v>2084</v>
      </c>
      <c r="B1089" s="21" t="s">
        <v>2085</v>
      </c>
      <c r="C1089" s="36"/>
    </row>
    <row r="1090" spans="1:3" x14ac:dyDescent="0.25">
      <c r="A1090" s="21" t="s">
        <v>2086</v>
      </c>
      <c r="B1090" s="21" t="s">
        <v>2087</v>
      </c>
      <c r="C1090" s="36"/>
    </row>
    <row r="1091" spans="1:3" x14ac:dyDescent="0.25">
      <c r="A1091" s="21" t="s">
        <v>2088</v>
      </c>
      <c r="B1091" s="21" t="s">
        <v>2089</v>
      </c>
      <c r="C1091" s="36" t="s">
        <v>2090</v>
      </c>
    </row>
    <row r="1092" spans="1:3" x14ac:dyDescent="0.25">
      <c r="A1092" s="21" t="s">
        <v>2091</v>
      </c>
      <c r="B1092" s="21" t="s">
        <v>2091</v>
      </c>
      <c r="C1092" s="36"/>
    </row>
    <row r="1093" spans="1:3" x14ac:dyDescent="0.25">
      <c r="A1093" s="21" t="s">
        <v>2092</v>
      </c>
      <c r="B1093" s="21" t="s">
        <v>2092</v>
      </c>
      <c r="C1093" s="36"/>
    </row>
    <row r="1094" spans="1:3" x14ac:dyDescent="0.25">
      <c r="A1094" s="21" t="s">
        <v>2093</v>
      </c>
      <c r="B1094" s="21" t="s">
        <v>2094</v>
      </c>
      <c r="C1094" s="36"/>
    </row>
    <row r="1095" spans="1:3" x14ac:dyDescent="0.25">
      <c r="A1095" s="21" t="s">
        <v>2095</v>
      </c>
      <c r="B1095" s="21" t="s">
        <v>2096</v>
      </c>
      <c r="C1095" s="36"/>
    </row>
    <row r="1096" spans="1:3" x14ac:dyDescent="0.25">
      <c r="A1096" s="21" t="s">
        <v>2097</v>
      </c>
      <c r="B1096" s="21" t="s">
        <v>2097</v>
      </c>
      <c r="C1096" s="36" t="s">
        <v>2098</v>
      </c>
    </row>
    <row r="1097" spans="1:3" x14ac:dyDescent="0.25">
      <c r="A1097" s="21" t="s">
        <v>2099</v>
      </c>
      <c r="B1097" s="21" t="s">
        <v>2100</v>
      </c>
      <c r="C1097" s="36"/>
    </row>
    <row r="1098" spans="1:3" x14ac:dyDescent="0.25">
      <c r="A1098" s="21" t="s">
        <v>2101</v>
      </c>
      <c r="B1098" s="21" t="s">
        <v>2101</v>
      </c>
      <c r="C1098" s="36"/>
    </row>
    <row r="1099" spans="1:3" x14ac:dyDescent="0.25">
      <c r="A1099" s="21" t="s">
        <v>2102</v>
      </c>
      <c r="B1099" s="21" t="s">
        <v>2103</v>
      </c>
      <c r="C1099" s="36" t="s">
        <v>2104</v>
      </c>
    </row>
    <row r="1100" spans="1:3" x14ac:dyDescent="0.25">
      <c r="A1100" s="21" t="s">
        <v>2105</v>
      </c>
      <c r="B1100" s="21" t="s">
        <v>2106</v>
      </c>
      <c r="C1100" s="36"/>
    </row>
    <row r="1101" spans="1:3" x14ac:dyDescent="0.25">
      <c r="A1101" s="21" t="s">
        <v>2107</v>
      </c>
      <c r="B1101" s="21" t="s">
        <v>2108</v>
      </c>
      <c r="C1101" s="36"/>
    </row>
    <row r="1102" spans="1:3" x14ac:dyDescent="0.25">
      <c r="A1102" s="21" t="s">
        <v>2109</v>
      </c>
      <c r="B1102" s="21" t="s">
        <v>2109</v>
      </c>
      <c r="C1102" s="36" t="s">
        <v>2110</v>
      </c>
    </row>
    <row r="1103" spans="1:3" x14ac:dyDescent="0.25">
      <c r="A1103" s="21" t="s">
        <v>2111</v>
      </c>
      <c r="B1103" s="21" t="s">
        <v>2112</v>
      </c>
      <c r="C1103" s="36" t="s">
        <v>2113</v>
      </c>
    </row>
    <row r="1104" spans="1:3" x14ac:dyDescent="0.25">
      <c r="A1104" s="21" t="s">
        <v>2114</v>
      </c>
      <c r="B1104" s="21" t="s">
        <v>2115</v>
      </c>
      <c r="C1104" s="36"/>
    </row>
    <row r="1105" spans="1:3" x14ac:dyDescent="0.25">
      <c r="A1105" s="21" t="s">
        <v>2116</v>
      </c>
      <c r="B1105" s="21" t="s">
        <v>2116</v>
      </c>
      <c r="C1105" s="36"/>
    </row>
    <row r="1106" spans="1:3" x14ac:dyDescent="0.25">
      <c r="A1106" s="21" t="s">
        <v>2117</v>
      </c>
      <c r="B1106" s="21" t="s">
        <v>2117</v>
      </c>
      <c r="C1106" s="36"/>
    </row>
    <row r="1107" spans="1:3" x14ac:dyDescent="0.25">
      <c r="A1107" s="21" t="s">
        <v>2118</v>
      </c>
      <c r="B1107" s="21" t="s">
        <v>2119</v>
      </c>
      <c r="C1107" s="36"/>
    </row>
    <row r="1108" spans="1:3" x14ac:dyDescent="0.25">
      <c r="A1108" s="21" t="s">
        <v>2120</v>
      </c>
      <c r="B1108" s="21" t="s">
        <v>2121</v>
      </c>
      <c r="C1108" s="36"/>
    </row>
    <row r="1109" spans="1:3" x14ac:dyDescent="0.25">
      <c r="A1109" s="21" t="s">
        <v>2122</v>
      </c>
      <c r="B1109" s="21" t="s">
        <v>2123</v>
      </c>
      <c r="C1109" s="36"/>
    </row>
    <row r="1110" spans="1:3" x14ac:dyDescent="0.25">
      <c r="A1110" s="21" t="s">
        <v>2124</v>
      </c>
      <c r="B1110" s="21" t="s">
        <v>2125</v>
      </c>
      <c r="C1110" s="36"/>
    </row>
    <row r="1111" spans="1:3" x14ac:dyDescent="0.25">
      <c r="A1111" s="21" t="s">
        <v>2126</v>
      </c>
      <c r="B1111" s="21" t="s">
        <v>2126</v>
      </c>
      <c r="C1111" s="36"/>
    </row>
    <row r="1112" spans="1:3" x14ac:dyDescent="0.25">
      <c r="A1112" s="21" t="s">
        <v>2127</v>
      </c>
      <c r="B1112" s="21" t="s">
        <v>2128</v>
      </c>
      <c r="C1112" s="36"/>
    </row>
    <row r="1113" spans="1:3" x14ac:dyDescent="0.25">
      <c r="A1113" s="21" t="s">
        <v>2129</v>
      </c>
      <c r="B1113" s="21" t="s">
        <v>2130</v>
      </c>
      <c r="C1113" s="36"/>
    </row>
    <row r="1114" spans="1:3" x14ac:dyDescent="0.25">
      <c r="A1114" s="21" t="s">
        <v>2131</v>
      </c>
      <c r="B1114" s="21" t="s">
        <v>2131</v>
      </c>
      <c r="C1114" s="36"/>
    </row>
    <row r="1115" spans="1:3" x14ac:dyDescent="0.25">
      <c r="A1115" s="21" t="s">
        <v>2132</v>
      </c>
      <c r="B1115" s="21" t="s">
        <v>2133</v>
      </c>
      <c r="C1115" s="36"/>
    </row>
    <row r="1116" spans="1:3" x14ac:dyDescent="0.25">
      <c r="A1116" s="21" t="s">
        <v>2134</v>
      </c>
      <c r="B1116" s="21" t="s">
        <v>2134</v>
      </c>
      <c r="C1116" s="36"/>
    </row>
    <row r="1117" spans="1:3" x14ac:dyDescent="0.25">
      <c r="A1117" s="21" t="s">
        <v>2135</v>
      </c>
      <c r="B1117" s="21" t="s">
        <v>2136</v>
      </c>
      <c r="C1117" s="36" t="s">
        <v>2137</v>
      </c>
    </row>
    <row r="1118" spans="1:3" x14ac:dyDescent="0.25">
      <c r="A1118" s="21" t="s">
        <v>2138</v>
      </c>
      <c r="B1118" s="21" t="s">
        <v>2139</v>
      </c>
      <c r="C1118" s="36"/>
    </row>
    <row r="1119" spans="1:3" x14ac:dyDescent="0.25">
      <c r="A1119" s="21" t="s">
        <v>2140</v>
      </c>
      <c r="B1119" s="21" t="s">
        <v>2140</v>
      </c>
      <c r="C1119" s="36"/>
    </row>
    <row r="1120" spans="1:3" x14ac:dyDescent="0.25">
      <c r="A1120" s="21" t="s">
        <v>2141</v>
      </c>
      <c r="B1120" s="21" t="s">
        <v>2141</v>
      </c>
      <c r="C1120" s="36" t="s">
        <v>2142</v>
      </c>
    </row>
    <row r="1121" spans="1:3" x14ac:dyDescent="0.25">
      <c r="A1121" s="21" t="s">
        <v>2143</v>
      </c>
      <c r="B1121" s="21" t="s">
        <v>2144</v>
      </c>
      <c r="C1121" s="36"/>
    </row>
    <row r="1122" spans="1:3" x14ac:dyDescent="0.25">
      <c r="A1122" s="21" t="s">
        <v>2145</v>
      </c>
      <c r="B1122" s="21" t="s">
        <v>2145</v>
      </c>
      <c r="C1122" s="36"/>
    </row>
    <row r="1123" spans="1:3" x14ac:dyDescent="0.25">
      <c r="A1123" s="21" t="s">
        <v>2146</v>
      </c>
      <c r="B1123" s="21" t="s">
        <v>2146</v>
      </c>
      <c r="C1123" s="36"/>
    </row>
    <row r="1124" spans="1:3" x14ac:dyDescent="0.25">
      <c r="A1124" s="21" t="s">
        <v>2147</v>
      </c>
      <c r="B1124" s="21" t="s">
        <v>2148</v>
      </c>
      <c r="C1124" s="36"/>
    </row>
    <row r="1125" spans="1:3" x14ac:dyDescent="0.25">
      <c r="A1125" s="21" t="s">
        <v>30</v>
      </c>
      <c r="B1125" s="21" t="s">
        <v>2149</v>
      </c>
      <c r="C1125" s="36"/>
    </row>
    <row r="1126" spans="1:3" x14ac:dyDescent="0.25">
      <c r="A1126" s="21" t="s">
        <v>2150</v>
      </c>
      <c r="B1126" s="21" t="s">
        <v>2150</v>
      </c>
      <c r="C1126" s="36"/>
    </row>
    <row r="1127" spans="1:3" x14ac:dyDescent="0.25">
      <c r="A1127" s="21" t="s">
        <v>2151</v>
      </c>
      <c r="B1127" s="21" t="s">
        <v>2152</v>
      </c>
      <c r="C1127" s="36"/>
    </row>
    <row r="1128" spans="1:3" x14ac:dyDescent="0.25">
      <c r="A1128" s="21" t="s">
        <v>2153</v>
      </c>
      <c r="B1128" s="21" t="s">
        <v>2154</v>
      </c>
      <c r="C1128" s="36" t="s">
        <v>2155</v>
      </c>
    </row>
    <row r="1129" spans="1:3" x14ac:dyDescent="0.25">
      <c r="A1129" s="21" t="s">
        <v>2156</v>
      </c>
      <c r="B1129" s="21" t="s">
        <v>2157</v>
      </c>
      <c r="C1129" s="36"/>
    </row>
    <row r="1130" spans="1:3" x14ac:dyDescent="0.25">
      <c r="A1130" s="21" t="s">
        <v>2158</v>
      </c>
      <c r="B1130" s="21" t="s">
        <v>2158</v>
      </c>
      <c r="C1130" s="36" t="s">
        <v>2159</v>
      </c>
    </row>
    <row r="1131" spans="1:3" x14ac:dyDescent="0.25">
      <c r="A1131" s="21" t="s">
        <v>2160</v>
      </c>
      <c r="B1131" s="21" t="s">
        <v>2161</v>
      </c>
      <c r="C1131" s="36" t="s">
        <v>2162</v>
      </c>
    </row>
    <row r="1132" spans="1:3" x14ac:dyDescent="0.25">
      <c r="A1132" s="21" t="s">
        <v>2163</v>
      </c>
      <c r="B1132" s="21" t="s">
        <v>2164</v>
      </c>
      <c r="C1132" s="36" t="s">
        <v>2165</v>
      </c>
    </row>
    <row r="1133" spans="1:3" x14ac:dyDescent="0.25">
      <c r="A1133" s="21" t="s">
        <v>2166</v>
      </c>
      <c r="B1133" s="21" t="s">
        <v>2167</v>
      </c>
      <c r="C1133" s="36"/>
    </row>
    <row r="1134" spans="1:3" x14ac:dyDescent="0.25">
      <c r="A1134" s="21" t="s">
        <v>2168</v>
      </c>
      <c r="B1134" s="21" t="s">
        <v>2169</v>
      </c>
      <c r="C1134" s="36" t="s">
        <v>2170</v>
      </c>
    </row>
    <row r="1135" spans="1:3" x14ac:dyDescent="0.25">
      <c r="A1135" s="21" t="s">
        <v>2171</v>
      </c>
      <c r="B1135" s="21" t="s">
        <v>2172</v>
      </c>
      <c r="C1135" s="36"/>
    </row>
    <row r="1136" spans="1:3" x14ac:dyDescent="0.25">
      <c r="A1136" s="21" t="s">
        <v>2173</v>
      </c>
      <c r="B1136" s="21" t="s">
        <v>2173</v>
      </c>
      <c r="C1136" s="36" t="s">
        <v>2174</v>
      </c>
    </row>
    <row r="1137" spans="1:3" x14ac:dyDescent="0.25">
      <c r="A1137" s="21" t="s">
        <v>2175</v>
      </c>
      <c r="B1137" s="21" t="s">
        <v>2176</v>
      </c>
      <c r="C1137" s="36"/>
    </row>
    <row r="1138" spans="1:3" x14ac:dyDescent="0.25">
      <c r="A1138" s="21" t="s">
        <v>2177</v>
      </c>
      <c r="B1138" s="21" t="s">
        <v>2178</v>
      </c>
      <c r="C1138" s="36"/>
    </row>
    <row r="1139" spans="1:3" x14ac:dyDescent="0.25">
      <c r="A1139" s="21" t="s">
        <v>2179</v>
      </c>
      <c r="B1139" s="21" t="s">
        <v>2180</v>
      </c>
      <c r="C1139" s="36"/>
    </row>
    <row r="1140" spans="1:3" x14ac:dyDescent="0.25">
      <c r="A1140" s="21" t="s">
        <v>2181</v>
      </c>
      <c r="B1140" s="21" t="s">
        <v>2182</v>
      </c>
      <c r="C1140" s="36"/>
    </row>
    <row r="1141" spans="1:3" x14ac:dyDescent="0.25">
      <c r="A1141" s="21" t="s">
        <v>2183</v>
      </c>
      <c r="B1141" s="21" t="s">
        <v>2184</v>
      </c>
      <c r="C1141" s="36"/>
    </row>
    <row r="1142" spans="1:3" x14ac:dyDescent="0.25">
      <c r="A1142" s="21" t="s">
        <v>2185</v>
      </c>
      <c r="B1142" s="21" t="s">
        <v>2185</v>
      </c>
      <c r="C1142" s="36"/>
    </row>
    <row r="1143" spans="1:3" x14ac:dyDescent="0.25">
      <c r="A1143" s="21" t="s">
        <v>2186</v>
      </c>
      <c r="B1143" s="21" t="s">
        <v>2187</v>
      </c>
      <c r="C1143" s="36"/>
    </row>
    <row r="1144" spans="1:3" x14ac:dyDescent="0.25">
      <c r="A1144" s="21" t="s">
        <v>2188</v>
      </c>
      <c r="B1144" s="21" t="s">
        <v>2188</v>
      </c>
      <c r="C1144" s="36"/>
    </row>
    <row r="1145" spans="1:3" x14ac:dyDescent="0.25">
      <c r="A1145" s="21" t="s">
        <v>2189</v>
      </c>
      <c r="B1145" s="21" t="s">
        <v>2189</v>
      </c>
      <c r="C1145" s="36"/>
    </row>
    <row r="1146" spans="1:3" x14ac:dyDescent="0.25">
      <c r="A1146" s="21" t="s">
        <v>2190</v>
      </c>
      <c r="B1146" s="21" t="s">
        <v>2191</v>
      </c>
      <c r="C1146" s="36" t="s">
        <v>2192</v>
      </c>
    </row>
    <row r="1147" spans="1:3" x14ac:dyDescent="0.25">
      <c r="A1147" s="21" t="s">
        <v>2193</v>
      </c>
      <c r="B1147" s="21" t="s">
        <v>2194</v>
      </c>
      <c r="C1147" s="36"/>
    </row>
    <row r="1148" spans="1:3" x14ac:dyDescent="0.25">
      <c r="A1148" s="21" t="s">
        <v>2195</v>
      </c>
      <c r="B1148" s="21" t="s">
        <v>2196</v>
      </c>
      <c r="C1148" s="36"/>
    </row>
    <row r="1149" spans="1:3" x14ac:dyDescent="0.25">
      <c r="A1149" s="21" t="s">
        <v>2197</v>
      </c>
      <c r="B1149" s="21" t="s">
        <v>2198</v>
      </c>
      <c r="C1149" s="36"/>
    </row>
    <row r="1150" spans="1:3" x14ac:dyDescent="0.25">
      <c r="A1150" s="22" t="s">
        <v>2199</v>
      </c>
      <c r="B1150" s="22" t="s">
        <v>2200</v>
      </c>
      <c r="C1150" s="37"/>
    </row>
    <row r="1151" spans="1:3" x14ac:dyDescent="0.25">
      <c r="A1151" s="21" t="s">
        <v>2886</v>
      </c>
      <c r="B1151" s="21" t="s">
        <v>2887</v>
      </c>
      <c r="C1151" s="36"/>
    </row>
    <row r="1152" spans="1:3" x14ac:dyDescent="0.25">
      <c r="A1152" s="21" t="s">
        <v>2201</v>
      </c>
      <c r="B1152" s="21" t="s">
        <v>2202</v>
      </c>
      <c r="C1152" s="36"/>
    </row>
    <row r="1153" spans="1:3" x14ac:dyDescent="0.25">
      <c r="A1153" s="21" t="s">
        <v>2203</v>
      </c>
      <c r="B1153" s="21" t="s">
        <v>2204</v>
      </c>
      <c r="C1153" s="36"/>
    </row>
    <row r="1154" spans="1:3" x14ac:dyDescent="0.25">
      <c r="A1154" s="21" t="s">
        <v>2205</v>
      </c>
      <c r="B1154" s="21" t="s">
        <v>2206</v>
      </c>
      <c r="C1154" s="36"/>
    </row>
    <row r="1155" spans="1:3" x14ac:dyDescent="0.25">
      <c r="A1155" s="21" t="s">
        <v>2207</v>
      </c>
      <c r="B1155" s="21" t="s">
        <v>2208</v>
      </c>
      <c r="C1155" s="36"/>
    </row>
    <row r="1156" spans="1:3" x14ac:dyDescent="0.25">
      <c r="A1156" s="21" t="s">
        <v>2209</v>
      </c>
      <c r="B1156" s="21" t="s">
        <v>2210</v>
      </c>
      <c r="C1156" s="36"/>
    </row>
    <row r="1157" spans="1:3" x14ac:dyDescent="0.25">
      <c r="A1157" s="21" t="s">
        <v>2211</v>
      </c>
      <c r="B1157" s="21" t="s">
        <v>2212</v>
      </c>
      <c r="C1157" s="36" t="s">
        <v>2213</v>
      </c>
    </row>
    <row r="1158" spans="1:3" x14ac:dyDescent="0.25">
      <c r="A1158" s="28" t="s">
        <v>2214</v>
      </c>
      <c r="B1158" s="28" t="s">
        <v>2215</v>
      </c>
    </row>
    <row r="1159" spans="1:3" x14ac:dyDescent="0.25">
      <c r="A1159" s="21" t="s">
        <v>2216</v>
      </c>
      <c r="B1159" s="21" t="s">
        <v>2217</v>
      </c>
      <c r="C1159" s="36"/>
    </row>
    <row r="1160" spans="1:3" x14ac:dyDescent="0.25">
      <c r="A1160" s="21" t="s">
        <v>2218</v>
      </c>
      <c r="B1160" s="21" t="s">
        <v>2219</v>
      </c>
      <c r="C1160" s="36" t="s">
        <v>2220</v>
      </c>
    </row>
    <row r="1161" spans="1:3" x14ac:dyDescent="0.25">
      <c r="A1161" s="21" t="s">
        <v>2221</v>
      </c>
      <c r="B1161" s="21" t="s">
        <v>2221</v>
      </c>
      <c r="C1161" s="36"/>
    </row>
    <row r="1162" spans="1:3" x14ac:dyDescent="0.25">
      <c r="A1162" s="21" t="s">
        <v>2222</v>
      </c>
      <c r="B1162" s="21" t="s">
        <v>2223</v>
      </c>
      <c r="C1162" s="36" t="s">
        <v>2224</v>
      </c>
    </row>
    <row r="1163" spans="1:3" x14ac:dyDescent="0.25">
      <c r="A1163" s="21" t="s">
        <v>2225</v>
      </c>
      <c r="B1163" s="21" t="s">
        <v>2226</v>
      </c>
      <c r="C1163" s="36" t="s">
        <v>2227</v>
      </c>
    </row>
    <row r="1164" spans="1:3" x14ac:dyDescent="0.25">
      <c r="A1164" s="21" t="s">
        <v>2228</v>
      </c>
      <c r="B1164" s="21" t="s">
        <v>2228</v>
      </c>
      <c r="C1164" s="36"/>
    </row>
    <row r="1165" spans="1:3" x14ac:dyDescent="0.25">
      <c r="A1165" s="21" t="s">
        <v>2229</v>
      </c>
      <c r="B1165" s="21" t="s">
        <v>2230</v>
      </c>
      <c r="C1165" s="36" t="s">
        <v>2231</v>
      </c>
    </row>
    <row r="1166" spans="1:3" x14ac:dyDescent="0.25">
      <c r="A1166" s="21" t="s">
        <v>2232</v>
      </c>
      <c r="B1166" s="21" t="s">
        <v>2233</v>
      </c>
      <c r="C1166" s="36"/>
    </row>
    <row r="1167" spans="1:3" x14ac:dyDescent="0.25">
      <c r="A1167" s="21" t="s">
        <v>2234</v>
      </c>
      <c r="B1167" s="21" t="s">
        <v>2234</v>
      </c>
      <c r="C1167" s="36"/>
    </row>
    <row r="1168" spans="1:3" x14ac:dyDescent="0.25">
      <c r="A1168" s="21" t="s">
        <v>2235</v>
      </c>
      <c r="B1168" s="21" t="s">
        <v>2236</v>
      </c>
      <c r="C1168" s="36"/>
    </row>
    <row r="1169" spans="1:3" x14ac:dyDescent="0.25">
      <c r="A1169" s="21" t="s">
        <v>2237</v>
      </c>
      <c r="B1169" s="21" t="s">
        <v>2237</v>
      </c>
      <c r="C1169" s="36"/>
    </row>
    <row r="1170" spans="1:3" x14ac:dyDescent="0.25">
      <c r="A1170" s="21" t="s">
        <v>2238</v>
      </c>
      <c r="B1170" s="21" t="s">
        <v>2239</v>
      </c>
      <c r="C1170" s="36"/>
    </row>
    <row r="1171" spans="1:3" x14ac:dyDescent="0.25">
      <c r="A1171" s="21" t="s">
        <v>2240</v>
      </c>
      <c r="B1171" s="21" t="s">
        <v>2241</v>
      </c>
      <c r="C1171" s="36" t="s">
        <v>2242</v>
      </c>
    </row>
    <row r="1172" spans="1:3" x14ac:dyDescent="0.25">
      <c r="A1172" s="21" t="s">
        <v>2243</v>
      </c>
      <c r="B1172" s="21" t="s">
        <v>2243</v>
      </c>
      <c r="C1172" s="36"/>
    </row>
    <row r="1173" spans="1:3" x14ac:dyDescent="0.25">
      <c r="A1173" s="21" t="s">
        <v>2244</v>
      </c>
      <c r="B1173" s="21" t="s">
        <v>2245</v>
      </c>
      <c r="C1173" s="36"/>
    </row>
    <row r="1174" spans="1:3" x14ac:dyDescent="0.25">
      <c r="A1174" s="21" t="s">
        <v>2246</v>
      </c>
      <c r="B1174" s="21" t="s">
        <v>2247</v>
      </c>
      <c r="C1174" s="36"/>
    </row>
    <row r="1175" spans="1:3" x14ac:dyDescent="0.25">
      <c r="A1175" s="21" t="s">
        <v>2248</v>
      </c>
      <c r="B1175" s="21" t="s">
        <v>2248</v>
      </c>
      <c r="C1175" s="36" t="s">
        <v>2249</v>
      </c>
    </row>
    <row r="1176" spans="1:3" x14ac:dyDescent="0.25">
      <c r="A1176" s="22" t="s">
        <v>2250</v>
      </c>
      <c r="B1176" s="22" t="s">
        <v>2251</v>
      </c>
      <c r="C1176" s="37"/>
    </row>
    <row r="1177" spans="1:3" x14ac:dyDescent="0.25">
      <c r="A1177" s="21" t="s">
        <v>2252</v>
      </c>
      <c r="B1177" s="21" t="s">
        <v>2253</v>
      </c>
      <c r="C1177" s="36"/>
    </row>
    <row r="1178" spans="1:3" x14ac:dyDescent="0.25">
      <c r="A1178" s="21" t="s">
        <v>2254</v>
      </c>
      <c r="B1178" s="21" t="s">
        <v>2255</v>
      </c>
      <c r="C1178" s="36"/>
    </row>
    <row r="1179" spans="1:3" x14ac:dyDescent="0.25">
      <c r="A1179" s="21" t="s">
        <v>2256</v>
      </c>
      <c r="B1179" s="21" t="s">
        <v>2257</v>
      </c>
      <c r="C1179" s="36"/>
    </row>
    <row r="1180" spans="1:3" x14ac:dyDescent="0.25">
      <c r="A1180" s="21" t="s">
        <v>2258</v>
      </c>
      <c r="B1180" s="21" t="s">
        <v>2259</v>
      </c>
      <c r="C1180" s="36"/>
    </row>
    <row r="1181" spans="1:3" x14ac:dyDescent="0.25">
      <c r="A1181" s="22" t="s">
        <v>2260</v>
      </c>
      <c r="B1181" s="21" t="s">
        <v>2260</v>
      </c>
      <c r="C1181" s="36"/>
    </row>
    <row r="1182" spans="1:3" x14ac:dyDescent="0.25">
      <c r="A1182" s="21" t="s">
        <v>2261</v>
      </c>
      <c r="B1182" s="21" t="s">
        <v>2262</v>
      </c>
      <c r="C1182" s="36" t="s">
        <v>2263</v>
      </c>
    </row>
    <row r="1183" spans="1:3" x14ac:dyDescent="0.25">
      <c r="A1183" s="22" t="s">
        <v>2264</v>
      </c>
      <c r="B1183" s="22" t="s">
        <v>2265</v>
      </c>
      <c r="C1183" s="37"/>
    </row>
    <row r="1184" spans="1:3" x14ac:dyDescent="0.25">
      <c r="A1184" s="21" t="s">
        <v>2266</v>
      </c>
      <c r="B1184" s="21" t="s">
        <v>2267</v>
      </c>
      <c r="C1184" s="36"/>
    </row>
    <row r="1185" spans="1:3" x14ac:dyDescent="0.25">
      <c r="A1185" s="21" t="s">
        <v>2589</v>
      </c>
      <c r="B1185" s="21" t="s">
        <v>2590</v>
      </c>
      <c r="C1185" s="36"/>
    </row>
    <row r="1186" spans="1:3" x14ac:dyDescent="0.25">
      <c r="A1186" s="21" t="s">
        <v>2268</v>
      </c>
      <c r="B1186" s="21" t="s">
        <v>2269</v>
      </c>
      <c r="C1186" s="36"/>
    </row>
    <row r="1187" spans="1:3" x14ac:dyDescent="0.25">
      <c r="A1187" s="21" t="s">
        <v>2270</v>
      </c>
      <c r="B1187" s="21" t="s">
        <v>2271</v>
      </c>
      <c r="C1187" s="36"/>
    </row>
    <row r="1188" spans="1:3" x14ac:dyDescent="0.25">
      <c r="A1188" s="21" t="s">
        <v>2272</v>
      </c>
      <c r="B1188" s="21" t="s">
        <v>2273</v>
      </c>
      <c r="C1188" s="36"/>
    </row>
    <row r="1189" spans="1:3" x14ac:dyDescent="0.25">
      <c r="A1189" s="21" t="s">
        <v>2274</v>
      </c>
      <c r="B1189" s="21" t="s">
        <v>2274</v>
      </c>
      <c r="C1189" s="36" t="s">
        <v>2275</v>
      </c>
    </row>
    <row r="1190" spans="1:3" x14ac:dyDescent="0.25">
      <c r="A1190" s="21" t="s">
        <v>2632</v>
      </c>
      <c r="B1190" s="21" t="s">
        <v>2634</v>
      </c>
      <c r="C1190" s="36"/>
    </row>
    <row r="1191" spans="1:3" x14ac:dyDescent="0.25">
      <c r="A1191" s="22" t="s">
        <v>2276</v>
      </c>
      <c r="B1191" s="21" t="s">
        <v>2277</v>
      </c>
      <c r="C1191" s="36"/>
    </row>
    <row r="1192" spans="1:3" x14ac:dyDescent="0.25">
      <c r="A1192" s="21" t="s">
        <v>2278</v>
      </c>
      <c r="B1192" s="21" t="s">
        <v>2279</v>
      </c>
      <c r="C1192" s="36"/>
    </row>
    <row r="1193" spans="1:3" x14ac:dyDescent="0.25">
      <c r="A1193" s="21" t="s">
        <v>2280</v>
      </c>
      <c r="B1193" s="21" t="s">
        <v>2281</v>
      </c>
      <c r="C1193" s="36"/>
    </row>
    <row r="1194" spans="1:3" x14ac:dyDescent="0.25">
      <c r="A1194" s="21" t="s">
        <v>2282</v>
      </c>
      <c r="B1194" s="21" t="s">
        <v>2282</v>
      </c>
      <c r="C1194" s="36"/>
    </row>
    <row r="1195" spans="1:3" x14ac:dyDescent="0.25">
      <c r="A1195" s="21" t="s">
        <v>127</v>
      </c>
      <c r="B1195" s="21" t="s">
        <v>2283</v>
      </c>
      <c r="C1195" s="36"/>
    </row>
    <row r="1196" spans="1:3" x14ac:dyDescent="0.25">
      <c r="A1196" s="21" t="s">
        <v>2284</v>
      </c>
      <c r="B1196" s="21" t="s">
        <v>2285</v>
      </c>
      <c r="C1196" s="36"/>
    </row>
    <row r="1197" spans="1:3" x14ac:dyDescent="0.25">
      <c r="A1197" s="21" t="s">
        <v>2286</v>
      </c>
      <c r="B1197" s="21" t="s">
        <v>2286</v>
      </c>
      <c r="C1197" s="36"/>
    </row>
    <row r="1198" spans="1:3" x14ac:dyDescent="0.25">
      <c r="A1198" s="21" t="s">
        <v>2287</v>
      </c>
      <c r="B1198" s="21" t="s">
        <v>2288</v>
      </c>
      <c r="C1198" s="36"/>
    </row>
    <row r="1199" spans="1:3" x14ac:dyDescent="0.25">
      <c r="A1199" s="21" t="s">
        <v>2289</v>
      </c>
      <c r="B1199" s="21" t="s">
        <v>2290</v>
      </c>
      <c r="C1199" s="36"/>
    </row>
    <row r="1200" spans="1:3" x14ac:dyDescent="0.25">
      <c r="A1200" s="21" t="s">
        <v>2291</v>
      </c>
      <c r="B1200" s="21" t="s">
        <v>2292</v>
      </c>
      <c r="C1200" s="36"/>
    </row>
    <row r="1201" spans="1:3" x14ac:dyDescent="0.25">
      <c r="A1201" s="21" t="s">
        <v>2293</v>
      </c>
      <c r="B1201" s="21" t="s">
        <v>2294</v>
      </c>
      <c r="C1201" s="36"/>
    </row>
    <row r="1202" spans="1:3" x14ac:dyDescent="0.25">
      <c r="A1202" s="21" t="s">
        <v>2295</v>
      </c>
      <c r="B1202" s="21" t="s">
        <v>2296</v>
      </c>
      <c r="C1202" s="36"/>
    </row>
    <row r="1203" spans="1:3" x14ac:dyDescent="0.25">
      <c r="A1203" s="21" t="s">
        <v>2297</v>
      </c>
      <c r="B1203" s="21" t="s">
        <v>2298</v>
      </c>
      <c r="C1203" s="36"/>
    </row>
    <row r="1204" spans="1:3" x14ac:dyDescent="0.25">
      <c r="A1204" s="21" t="s">
        <v>2299</v>
      </c>
      <c r="B1204" s="21" t="s">
        <v>2299</v>
      </c>
      <c r="C1204" s="36"/>
    </row>
    <row r="1205" spans="1:3" x14ac:dyDescent="0.25">
      <c r="A1205" s="21" t="s">
        <v>2300</v>
      </c>
      <c r="B1205" s="21" t="s">
        <v>2300</v>
      </c>
      <c r="C1205" s="36"/>
    </row>
    <row r="1206" spans="1:3" x14ac:dyDescent="0.25">
      <c r="A1206" s="21" t="s">
        <v>2301</v>
      </c>
      <c r="B1206" s="21" t="s">
        <v>2302</v>
      </c>
      <c r="C1206" s="36"/>
    </row>
    <row r="1207" spans="1:3" x14ac:dyDescent="0.25">
      <c r="A1207" s="21" t="s">
        <v>2303</v>
      </c>
      <c r="B1207" s="21" t="s">
        <v>2303</v>
      </c>
      <c r="C1207" s="36" t="s">
        <v>2304</v>
      </c>
    </row>
    <row r="1208" spans="1:3" x14ac:dyDescent="0.25">
      <c r="A1208" s="21" t="s">
        <v>2715</v>
      </c>
      <c r="B1208" s="21" t="s">
        <v>2715</v>
      </c>
      <c r="C1208" s="36"/>
    </row>
    <row r="1209" spans="1:3" x14ac:dyDescent="0.25">
      <c r="A1209" s="21" t="s">
        <v>2305</v>
      </c>
      <c r="B1209" s="21" t="s">
        <v>2306</v>
      </c>
      <c r="C1209" s="36"/>
    </row>
    <row r="1210" spans="1:3" x14ac:dyDescent="0.25">
      <c r="A1210" s="21" t="s">
        <v>2307</v>
      </c>
      <c r="B1210" s="21" t="s">
        <v>2308</v>
      </c>
      <c r="C1210" s="36"/>
    </row>
    <row r="1211" spans="1:3" x14ac:dyDescent="0.25">
      <c r="A1211" s="21" t="s">
        <v>2309</v>
      </c>
      <c r="B1211" s="21" t="s">
        <v>2310</v>
      </c>
      <c r="C1211" s="36"/>
    </row>
    <row r="1212" spans="1:3" x14ac:dyDescent="0.25">
      <c r="A1212" s="21" t="s">
        <v>95</v>
      </c>
      <c r="B1212" s="21" t="s">
        <v>2311</v>
      </c>
      <c r="C1212" s="36"/>
    </row>
    <row r="1213" spans="1:3" x14ac:dyDescent="0.25">
      <c r="A1213" s="21" t="s">
        <v>2312</v>
      </c>
      <c r="B1213" s="21" t="s">
        <v>2313</v>
      </c>
      <c r="C1213" s="36"/>
    </row>
    <row r="1214" spans="1:3" x14ac:dyDescent="0.25">
      <c r="A1214" s="21" t="s">
        <v>2314</v>
      </c>
      <c r="B1214" s="21" t="s">
        <v>2315</v>
      </c>
      <c r="C1214" s="36"/>
    </row>
    <row r="1215" spans="1:3" x14ac:dyDescent="0.25">
      <c r="A1215" s="21" t="s">
        <v>2316</v>
      </c>
      <c r="B1215" s="21" t="s">
        <v>2316</v>
      </c>
      <c r="C1215" s="36"/>
    </row>
    <row r="1216" spans="1:3" x14ac:dyDescent="0.25">
      <c r="A1216" s="21" t="s">
        <v>2317</v>
      </c>
      <c r="B1216" s="21" t="s">
        <v>2317</v>
      </c>
      <c r="C1216" s="36"/>
    </row>
    <row r="1217" spans="1:3" x14ac:dyDescent="0.25">
      <c r="A1217" s="21" t="s">
        <v>2318</v>
      </c>
      <c r="B1217" s="21" t="s">
        <v>2318</v>
      </c>
      <c r="C1217" s="36"/>
    </row>
    <row r="1218" spans="1:3" x14ac:dyDescent="0.25">
      <c r="A1218" s="21" t="s">
        <v>2319</v>
      </c>
      <c r="B1218" s="21" t="s">
        <v>2319</v>
      </c>
      <c r="C1218" s="36"/>
    </row>
    <row r="1219" spans="1:3" x14ac:dyDescent="0.25">
      <c r="A1219" s="21" t="s">
        <v>2320</v>
      </c>
      <c r="B1219" s="21" t="s">
        <v>2321</v>
      </c>
      <c r="C1219" s="36"/>
    </row>
    <row r="1220" spans="1:3" x14ac:dyDescent="0.25">
      <c r="A1220" s="21" t="s">
        <v>2322</v>
      </c>
      <c r="B1220" s="21" t="s">
        <v>2323</v>
      </c>
      <c r="C1220" s="36"/>
    </row>
    <row r="1221" spans="1:3" x14ac:dyDescent="0.25">
      <c r="A1221" s="21" t="s">
        <v>2324</v>
      </c>
      <c r="B1221" s="21" t="s">
        <v>2324</v>
      </c>
      <c r="C1221" s="36"/>
    </row>
    <row r="1222" spans="1:3" x14ac:dyDescent="0.25">
      <c r="A1222" s="21" t="s">
        <v>2325</v>
      </c>
      <c r="B1222" s="21" t="s">
        <v>2326</v>
      </c>
      <c r="C1222" s="36"/>
    </row>
    <row r="1223" spans="1:3" x14ac:dyDescent="0.25">
      <c r="A1223" s="21" t="s">
        <v>2327</v>
      </c>
      <c r="B1223" s="21" t="s">
        <v>2328</v>
      </c>
      <c r="C1223" s="36"/>
    </row>
    <row r="1224" spans="1:3" x14ac:dyDescent="0.25">
      <c r="A1224" s="21" t="s">
        <v>2329</v>
      </c>
      <c r="B1224" s="21" t="s">
        <v>2329</v>
      </c>
      <c r="C1224" s="36" t="s">
        <v>2330</v>
      </c>
    </row>
    <row r="1225" spans="1:3" x14ac:dyDescent="0.25">
      <c r="A1225" s="21" t="s">
        <v>2796</v>
      </c>
      <c r="B1225" s="21" t="s">
        <v>2797</v>
      </c>
      <c r="C1225" s="36"/>
    </row>
    <row r="1226" spans="1:3" x14ac:dyDescent="0.25">
      <c r="A1226" s="21" t="s">
        <v>2331</v>
      </c>
      <c r="B1226" s="21" t="s">
        <v>2332</v>
      </c>
      <c r="C1226" s="36"/>
    </row>
    <row r="1227" spans="1:3" x14ac:dyDescent="0.25">
      <c r="A1227" s="21" t="s">
        <v>2333</v>
      </c>
      <c r="B1227" s="21" t="s">
        <v>2334</v>
      </c>
      <c r="C1227" s="36"/>
    </row>
    <row r="1228" spans="1:3" x14ac:dyDescent="0.25">
      <c r="A1228" s="21" t="s">
        <v>2335</v>
      </c>
      <c r="B1228" s="21" t="s">
        <v>2336</v>
      </c>
      <c r="C1228" s="36"/>
    </row>
    <row r="1229" spans="1:3" x14ac:dyDescent="0.25">
      <c r="A1229" s="21" t="s">
        <v>2337</v>
      </c>
      <c r="B1229" s="21" t="s">
        <v>2337</v>
      </c>
      <c r="C1229" s="36"/>
    </row>
    <row r="1230" spans="1:3" x14ac:dyDescent="0.25">
      <c r="A1230" s="21" t="s">
        <v>2338</v>
      </c>
      <c r="B1230" s="21" t="s">
        <v>2339</v>
      </c>
      <c r="C1230" s="36" t="s">
        <v>2340</v>
      </c>
    </row>
    <row r="1231" spans="1:3" x14ac:dyDescent="0.25">
      <c r="A1231" s="21" t="s">
        <v>2341</v>
      </c>
      <c r="B1231" s="21" t="s">
        <v>2342</v>
      </c>
      <c r="C1231" s="36" t="s">
        <v>2343</v>
      </c>
    </row>
    <row r="1232" spans="1:3" x14ac:dyDescent="0.25">
      <c r="A1232" s="21" t="s">
        <v>2344</v>
      </c>
      <c r="B1232" s="21" t="s">
        <v>2345</v>
      </c>
      <c r="C1232" s="36" t="s">
        <v>2346</v>
      </c>
    </row>
    <row r="1233" spans="1:3" x14ac:dyDescent="0.25">
      <c r="A1233" s="21" t="s">
        <v>2347</v>
      </c>
      <c r="B1233" s="21" t="s">
        <v>2347</v>
      </c>
      <c r="C1233" s="36"/>
    </row>
    <row r="1234" spans="1:3" x14ac:dyDescent="0.25">
      <c r="A1234" s="21" t="s">
        <v>2348</v>
      </c>
      <c r="B1234" s="21" t="s">
        <v>2348</v>
      </c>
      <c r="C1234" s="36"/>
    </row>
    <row r="1235" spans="1:3" x14ac:dyDescent="0.25">
      <c r="A1235" s="21" t="s">
        <v>2349</v>
      </c>
      <c r="B1235" s="21" t="s">
        <v>2350</v>
      </c>
      <c r="C1235" s="36"/>
    </row>
    <row r="1236" spans="1:3" x14ac:dyDescent="0.25">
      <c r="A1236" s="21" t="s">
        <v>2351</v>
      </c>
      <c r="B1236" s="21" t="s">
        <v>2351</v>
      </c>
      <c r="C1236" s="36" t="s">
        <v>2352</v>
      </c>
    </row>
    <row r="1237" spans="1:3" x14ac:dyDescent="0.25">
      <c r="A1237" s="21" t="s">
        <v>2353</v>
      </c>
      <c r="B1237" s="21" t="s">
        <v>2353</v>
      </c>
      <c r="C1237" s="36" t="s">
        <v>2354</v>
      </c>
    </row>
    <row r="1238" spans="1:3" x14ac:dyDescent="0.25">
      <c r="A1238" s="21" t="s">
        <v>2355</v>
      </c>
      <c r="B1238" s="21" t="s">
        <v>2356</v>
      </c>
      <c r="C1238" s="36"/>
    </row>
    <row r="1239" spans="1:3" x14ac:dyDescent="0.25">
      <c r="A1239" s="21" t="s">
        <v>2357</v>
      </c>
      <c r="B1239" s="21" t="s">
        <v>2358</v>
      </c>
      <c r="C1239" s="36"/>
    </row>
    <row r="1240" spans="1:3" x14ac:dyDescent="0.25">
      <c r="A1240" s="21" t="s">
        <v>2359</v>
      </c>
      <c r="B1240" s="21" t="s">
        <v>2359</v>
      </c>
      <c r="C1240" s="36"/>
    </row>
    <row r="1241" spans="1:3" x14ac:dyDescent="0.25">
      <c r="A1241" s="21" t="s">
        <v>2360</v>
      </c>
      <c r="B1241" s="21" t="s">
        <v>2360</v>
      </c>
      <c r="C1241" s="36"/>
    </row>
    <row r="1242" spans="1:3" x14ac:dyDescent="0.25">
      <c r="A1242" s="21" t="s">
        <v>99</v>
      </c>
      <c r="B1242" s="21" t="s">
        <v>2361</v>
      </c>
      <c r="C1242" s="36"/>
    </row>
    <row r="1243" spans="1:3" x14ac:dyDescent="0.25">
      <c r="A1243" s="21" t="s">
        <v>2362</v>
      </c>
      <c r="B1243" s="21" t="s">
        <v>2363</v>
      </c>
      <c r="C1243" s="36"/>
    </row>
    <row r="1244" spans="1:3" x14ac:dyDescent="0.25">
      <c r="A1244" s="21" t="s">
        <v>2364</v>
      </c>
      <c r="B1244" s="21" t="s">
        <v>2365</v>
      </c>
      <c r="C1244" s="36"/>
    </row>
    <row r="1245" spans="1:3" x14ac:dyDescent="0.25">
      <c r="A1245" s="21" t="s">
        <v>2366</v>
      </c>
      <c r="B1245" s="21" t="s">
        <v>2367</v>
      </c>
      <c r="C1245" s="36"/>
    </row>
    <row r="1246" spans="1:3" x14ac:dyDescent="0.25">
      <c r="A1246" s="21" t="s">
        <v>2368</v>
      </c>
      <c r="B1246" s="21" t="s">
        <v>2368</v>
      </c>
      <c r="C1246" s="36" t="s">
        <v>2369</v>
      </c>
    </row>
    <row r="1247" spans="1:3" x14ac:dyDescent="0.25">
      <c r="A1247" s="21" t="s">
        <v>2370</v>
      </c>
      <c r="B1247" s="21" t="s">
        <v>2371</v>
      </c>
      <c r="C1247" s="36"/>
    </row>
    <row r="1248" spans="1:3" x14ac:dyDescent="0.25">
      <c r="A1248" s="21" t="s">
        <v>2372</v>
      </c>
      <c r="B1248" s="21" t="s">
        <v>2373</v>
      </c>
      <c r="C1248" s="36" t="s">
        <v>2374</v>
      </c>
    </row>
    <row r="1249" spans="1:3" x14ac:dyDescent="0.25">
      <c r="A1249" s="21" t="s">
        <v>2375</v>
      </c>
      <c r="B1249" s="21" t="s">
        <v>2376</v>
      </c>
      <c r="C1249" s="36"/>
    </row>
    <row r="1250" spans="1:3" x14ac:dyDescent="0.25">
      <c r="A1250" s="21" t="s">
        <v>2377</v>
      </c>
      <c r="B1250" s="21" t="s">
        <v>2378</v>
      </c>
      <c r="C1250" s="36"/>
    </row>
    <row r="1251" spans="1:3" x14ac:dyDescent="0.25">
      <c r="A1251" s="21" t="s">
        <v>2379</v>
      </c>
      <c r="B1251" s="21" t="s">
        <v>2380</v>
      </c>
      <c r="C1251" s="36"/>
    </row>
    <row r="1252" spans="1:3" x14ac:dyDescent="0.25">
      <c r="A1252" s="21" t="s">
        <v>2381</v>
      </c>
      <c r="B1252" s="21" t="s">
        <v>2382</v>
      </c>
      <c r="C1252" s="36" t="s">
        <v>2383</v>
      </c>
    </row>
    <row r="1253" spans="1:3" x14ac:dyDescent="0.25">
      <c r="A1253" s="21" t="s">
        <v>2384</v>
      </c>
      <c r="B1253" s="21" t="s">
        <v>2385</v>
      </c>
      <c r="C1253" s="36" t="s">
        <v>2386</v>
      </c>
    </row>
    <row r="1254" spans="1:3" x14ac:dyDescent="0.25">
      <c r="A1254" s="21" t="s">
        <v>2387</v>
      </c>
      <c r="B1254" s="21" t="s">
        <v>2388</v>
      </c>
      <c r="C1254" s="36" t="s">
        <v>2389</v>
      </c>
    </row>
    <row r="1255" spans="1:3" x14ac:dyDescent="0.25">
      <c r="A1255" s="21" t="s">
        <v>2390</v>
      </c>
      <c r="B1255" s="21" t="s">
        <v>2390</v>
      </c>
      <c r="C1255" s="36"/>
    </row>
    <row r="1256" spans="1:3" x14ac:dyDescent="0.25">
      <c r="A1256" s="27" t="s">
        <v>2391</v>
      </c>
      <c r="B1256" s="27" t="s">
        <v>2392</v>
      </c>
      <c r="C1256" s="37" t="s">
        <v>2393</v>
      </c>
    </row>
    <row r="1257" spans="1:3" x14ac:dyDescent="0.25">
      <c r="A1257" s="21" t="s">
        <v>2394</v>
      </c>
      <c r="B1257" s="21" t="s">
        <v>2395</v>
      </c>
      <c r="C1257" s="36"/>
    </row>
    <row r="1258" spans="1:3" x14ac:dyDescent="0.25">
      <c r="A1258" s="21" t="s">
        <v>2396</v>
      </c>
      <c r="B1258" s="21" t="s">
        <v>2397</v>
      </c>
      <c r="C1258" s="36"/>
    </row>
    <row r="1259" spans="1:3" x14ac:dyDescent="0.25">
      <c r="A1259" s="21" t="s">
        <v>2398</v>
      </c>
      <c r="B1259" s="21" t="s">
        <v>2399</v>
      </c>
      <c r="C1259" s="36"/>
    </row>
    <row r="1260" spans="1:3" x14ac:dyDescent="0.25">
      <c r="A1260" s="22" t="s">
        <v>2400</v>
      </c>
      <c r="B1260" s="22" t="s">
        <v>2401</v>
      </c>
      <c r="C1260" s="37"/>
    </row>
    <row r="1261" spans="1:3" x14ac:dyDescent="0.25">
      <c r="A1261" s="21" t="s">
        <v>2402</v>
      </c>
      <c r="B1261" s="21" t="s">
        <v>2402</v>
      </c>
      <c r="C1261" s="36"/>
    </row>
    <row r="1262" spans="1:3" x14ac:dyDescent="0.25">
      <c r="A1262" s="21" t="s">
        <v>2403</v>
      </c>
      <c r="B1262" s="21" t="s">
        <v>2404</v>
      </c>
      <c r="C1262" s="36"/>
    </row>
    <row r="1263" spans="1:3" x14ac:dyDescent="0.25">
      <c r="A1263" s="21" t="s">
        <v>2405</v>
      </c>
      <c r="B1263" s="21" t="s">
        <v>2405</v>
      </c>
      <c r="C1263" s="36"/>
    </row>
    <row r="1264" spans="1:3" x14ac:dyDescent="0.25">
      <c r="A1264" s="21" t="s">
        <v>2406</v>
      </c>
      <c r="B1264" s="21" t="s">
        <v>2407</v>
      </c>
      <c r="C1264" s="36"/>
    </row>
    <row r="1265" spans="1:3" x14ac:dyDescent="0.25">
      <c r="A1265" s="21" t="s">
        <v>2408</v>
      </c>
      <c r="B1265" s="21" t="s">
        <v>2408</v>
      </c>
      <c r="C1265" s="36" t="s">
        <v>2409</v>
      </c>
    </row>
    <row r="1266" spans="1:3" x14ac:dyDescent="0.25">
      <c r="A1266" s="21" t="s">
        <v>2410</v>
      </c>
      <c r="B1266" s="21" t="s">
        <v>2411</v>
      </c>
      <c r="C1266" s="36"/>
    </row>
    <row r="1267" spans="1:3" x14ac:dyDescent="0.25">
      <c r="A1267" s="21" t="s">
        <v>2412</v>
      </c>
      <c r="B1267" s="21" t="s">
        <v>2413</v>
      </c>
      <c r="C1267" s="36"/>
    </row>
    <row r="1268" spans="1:3" x14ac:dyDescent="0.25">
      <c r="A1268" s="28" t="s">
        <v>2414</v>
      </c>
      <c r="B1268" s="28" t="s">
        <v>2415</v>
      </c>
      <c r="C1268" s="39" t="s">
        <v>2416</v>
      </c>
    </row>
    <row r="1269" spans="1:3" x14ac:dyDescent="0.25">
      <c r="A1269" s="21" t="s">
        <v>2417</v>
      </c>
      <c r="B1269" s="21" t="s">
        <v>2418</v>
      </c>
      <c r="C1269" s="36" t="s">
        <v>2419</v>
      </c>
    </row>
    <row r="1270" spans="1:3" x14ac:dyDescent="0.25">
      <c r="A1270" s="21" t="s">
        <v>2420</v>
      </c>
      <c r="B1270" s="21" t="s">
        <v>2420</v>
      </c>
      <c r="C1270" s="36"/>
    </row>
    <row r="1271" spans="1:3" x14ac:dyDescent="0.25">
      <c r="A1271" s="21" t="s">
        <v>2421</v>
      </c>
      <c r="B1271" s="21" t="s">
        <v>2422</v>
      </c>
      <c r="C1271" s="36"/>
    </row>
    <row r="1272" spans="1:3" x14ac:dyDescent="0.25">
      <c r="A1272" s="21" t="s">
        <v>2798</v>
      </c>
      <c r="B1272" s="21" t="s">
        <v>2799</v>
      </c>
      <c r="C1272" s="36"/>
    </row>
    <row r="1273" spans="1:3" x14ac:dyDescent="0.25">
      <c r="A1273" s="21" t="s">
        <v>2423</v>
      </c>
      <c r="B1273" s="21" t="s">
        <v>2424</v>
      </c>
      <c r="C1273" s="36"/>
    </row>
    <row r="1274" spans="1:3" x14ac:dyDescent="0.25">
      <c r="A1274" s="21" t="s">
        <v>2425</v>
      </c>
      <c r="B1274" s="21" t="s">
        <v>2425</v>
      </c>
      <c r="C1274" s="36" t="s">
        <v>2426</v>
      </c>
    </row>
    <row r="1275" spans="1:3" x14ac:dyDescent="0.25">
      <c r="A1275" s="21" t="s">
        <v>2427</v>
      </c>
      <c r="B1275" s="21" t="s">
        <v>2428</v>
      </c>
      <c r="C1275" s="36"/>
    </row>
    <row r="1276" spans="1:3" x14ac:dyDescent="0.25">
      <c r="A1276" s="21" t="s">
        <v>2429</v>
      </c>
      <c r="B1276" s="21" t="s">
        <v>2430</v>
      </c>
      <c r="C1276" s="36"/>
    </row>
    <row r="1277" spans="1:3" x14ac:dyDescent="0.25">
      <c r="A1277" s="21" t="s">
        <v>4</v>
      </c>
      <c r="B1277" s="21" t="s">
        <v>4</v>
      </c>
      <c r="C1277" s="36"/>
    </row>
    <row r="1278" spans="1:3" x14ac:dyDescent="0.25">
      <c r="A1278" s="21" t="s">
        <v>2431</v>
      </c>
      <c r="B1278" s="21" t="s">
        <v>2432</v>
      </c>
      <c r="C1278" s="36"/>
    </row>
    <row r="1279" spans="1:3" x14ac:dyDescent="0.25">
      <c r="A1279" s="21" t="s">
        <v>2433</v>
      </c>
      <c r="B1279" s="21" t="s">
        <v>2434</v>
      </c>
      <c r="C1279" s="36"/>
    </row>
    <row r="1280" spans="1:3" x14ac:dyDescent="0.25">
      <c r="A1280" s="21" t="s">
        <v>2435</v>
      </c>
      <c r="B1280" s="21" t="s">
        <v>2436</v>
      </c>
      <c r="C1280" s="36"/>
    </row>
    <row r="1281" spans="1:3" x14ac:dyDescent="0.25">
      <c r="A1281" s="21" t="s">
        <v>2437</v>
      </c>
      <c r="B1281" s="21" t="s">
        <v>2437</v>
      </c>
      <c r="C1281" s="36"/>
    </row>
    <row r="1282" spans="1:3" x14ac:dyDescent="0.25">
      <c r="A1282" s="21" t="s">
        <v>2438</v>
      </c>
      <c r="B1282" s="21" t="s">
        <v>2439</v>
      </c>
      <c r="C1282" s="36"/>
    </row>
    <row r="1283" spans="1:3" x14ac:dyDescent="0.25">
      <c r="A1283" s="21" t="s">
        <v>2440</v>
      </c>
      <c r="B1283" s="21" t="s">
        <v>2441</v>
      </c>
      <c r="C1283" s="36"/>
    </row>
    <row r="1284" spans="1:3" x14ac:dyDescent="0.25">
      <c r="A1284" s="21" t="s">
        <v>2442</v>
      </c>
      <c r="B1284" s="21" t="s">
        <v>2443</v>
      </c>
      <c r="C1284" s="36"/>
    </row>
    <row r="1285" spans="1:3" x14ac:dyDescent="0.25">
      <c r="A1285" s="21" t="s">
        <v>2444</v>
      </c>
      <c r="B1285" s="21" t="s">
        <v>2445</v>
      </c>
      <c r="C1285" s="36"/>
    </row>
    <row r="1286" spans="1:3" x14ac:dyDescent="0.25">
      <c r="A1286" s="28" t="s">
        <v>3090</v>
      </c>
      <c r="B1286" s="28" t="s">
        <v>3090</v>
      </c>
    </row>
    <row r="1287" spans="1:3" x14ac:dyDescent="0.25">
      <c r="A1287" s="21" t="s">
        <v>2446</v>
      </c>
      <c r="B1287" s="21" t="s">
        <v>2446</v>
      </c>
      <c r="C1287" s="36" t="s">
        <v>2447</v>
      </c>
    </row>
    <row r="1288" spans="1:3" x14ac:dyDescent="0.25">
      <c r="A1288" s="21" t="s">
        <v>2448</v>
      </c>
      <c r="B1288" s="21" t="s">
        <v>2448</v>
      </c>
      <c r="C1288" s="36"/>
    </row>
    <row r="1289" spans="1:3" x14ac:dyDescent="0.25">
      <c r="A1289" s="23" t="s">
        <v>2449</v>
      </c>
      <c r="B1289" s="21" t="s">
        <v>2450</v>
      </c>
      <c r="C1289" s="36"/>
    </row>
    <row r="1290" spans="1:3" x14ac:dyDescent="0.25">
      <c r="A1290" s="23" t="s">
        <v>2451</v>
      </c>
      <c r="B1290" s="21" t="s">
        <v>2452</v>
      </c>
      <c r="C1290" s="36"/>
    </row>
    <row r="1291" spans="1:3" x14ac:dyDescent="0.25">
      <c r="A1291" s="23" t="s">
        <v>2453</v>
      </c>
      <c r="B1291" s="21" t="s">
        <v>2454</v>
      </c>
      <c r="C1291" s="36"/>
    </row>
    <row r="1292" spans="1:3" x14ac:dyDescent="0.25">
      <c r="A1292" s="23" t="s">
        <v>2455</v>
      </c>
      <c r="B1292" s="21" t="s">
        <v>2456</v>
      </c>
      <c r="C1292" s="36"/>
    </row>
    <row r="1293" spans="1:3" x14ac:dyDescent="0.25">
      <c r="A1293" s="23" t="s">
        <v>2457</v>
      </c>
      <c r="B1293" s="21" t="s">
        <v>2458</v>
      </c>
      <c r="C1293" s="36"/>
    </row>
    <row r="1294" spans="1:3" x14ac:dyDescent="0.25">
      <c r="A1294" s="23" t="s">
        <v>2459</v>
      </c>
      <c r="B1294" s="21" t="s">
        <v>2460</v>
      </c>
      <c r="C1294" s="36"/>
    </row>
    <row r="1295" spans="1:3" x14ac:dyDescent="0.25">
      <c r="A1295" s="22" t="s">
        <v>2461</v>
      </c>
      <c r="B1295" s="21" t="s">
        <v>2461</v>
      </c>
      <c r="C1295" s="36"/>
    </row>
    <row r="1296" spans="1:3" x14ac:dyDescent="0.25">
      <c r="A1296" s="28" t="s">
        <v>2462</v>
      </c>
      <c r="B1296" s="28" t="s">
        <v>2462</v>
      </c>
    </row>
    <row r="1297" spans="1:3" x14ac:dyDescent="0.25">
      <c r="A1297" s="21" t="s">
        <v>2463</v>
      </c>
      <c r="B1297" s="21" t="s">
        <v>2464</v>
      </c>
      <c r="C1297" s="36"/>
    </row>
    <row r="1298" spans="1:3" x14ac:dyDescent="0.25">
      <c r="A1298" s="21" t="s">
        <v>2465</v>
      </c>
      <c r="B1298" s="21" t="s">
        <v>2466</v>
      </c>
      <c r="C1298" s="36"/>
    </row>
    <row r="1299" spans="1:3" x14ac:dyDescent="0.25">
      <c r="A1299" s="21" t="s">
        <v>2467</v>
      </c>
      <c r="B1299" s="21" t="s">
        <v>2468</v>
      </c>
      <c r="C1299" s="36"/>
    </row>
    <row r="1300" spans="1:3" x14ac:dyDescent="0.25">
      <c r="A1300" s="21" t="s">
        <v>2469</v>
      </c>
      <c r="B1300" s="21" t="s">
        <v>2469</v>
      </c>
      <c r="C1300" s="36" t="s">
        <v>2470</v>
      </c>
    </row>
    <row r="1301" spans="1:3" x14ac:dyDescent="0.25">
      <c r="A1301" s="21" t="s">
        <v>2890</v>
      </c>
      <c r="B1301" s="21" t="s">
        <v>2890</v>
      </c>
      <c r="C1301" s="36"/>
    </row>
    <row r="1302" spans="1:3" x14ac:dyDescent="0.25">
      <c r="A1302" s="21" t="s">
        <v>2471</v>
      </c>
      <c r="B1302" s="21" t="s">
        <v>2471</v>
      </c>
      <c r="C1302" s="36" t="s">
        <v>2472</v>
      </c>
    </row>
    <row r="1303" spans="1:3" x14ac:dyDescent="0.25">
      <c r="A1303" s="21" t="s">
        <v>2473</v>
      </c>
      <c r="B1303" s="21" t="s">
        <v>2474</v>
      </c>
      <c r="C1303" s="36"/>
    </row>
    <row r="1304" spans="1:3" x14ac:dyDescent="0.25">
      <c r="A1304" s="23" t="s">
        <v>2475</v>
      </c>
      <c r="B1304" s="21" t="s">
        <v>2476</v>
      </c>
      <c r="C1304" s="36"/>
    </row>
    <row r="1305" spans="1:3" x14ac:dyDescent="0.25">
      <c r="A1305" s="23" t="s">
        <v>2633</v>
      </c>
      <c r="B1305" s="21" t="s">
        <v>2635</v>
      </c>
      <c r="C1305" s="36"/>
    </row>
    <row r="1306" spans="1:3" x14ac:dyDescent="0.25">
      <c r="A1306" s="23" t="s">
        <v>2477</v>
      </c>
      <c r="B1306" s="21" t="s">
        <v>103</v>
      </c>
      <c r="C1306" s="36"/>
    </row>
    <row r="1307" spans="1:3" x14ac:dyDescent="0.25">
      <c r="A1307" s="21" t="s">
        <v>2478</v>
      </c>
      <c r="B1307" s="21" t="s">
        <v>2478</v>
      </c>
      <c r="C1307" s="36"/>
    </row>
    <row r="1308" spans="1:3" x14ac:dyDescent="0.25">
      <c r="A1308" s="21" t="s">
        <v>2479</v>
      </c>
      <c r="B1308" s="21" t="s">
        <v>2480</v>
      </c>
      <c r="C1308" s="36"/>
    </row>
    <row r="1309" spans="1:3" x14ac:dyDescent="0.25">
      <c r="A1309" s="21" t="s">
        <v>2481</v>
      </c>
      <c r="B1309" s="21" t="s">
        <v>2482</v>
      </c>
      <c r="C1309" s="36"/>
    </row>
    <row r="1310" spans="1:3" x14ac:dyDescent="0.25">
      <c r="A1310" s="21" t="s">
        <v>2483</v>
      </c>
      <c r="B1310" s="21" t="s">
        <v>2484</v>
      </c>
      <c r="C1310" s="36"/>
    </row>
    <row r="1311" spans="1:3" x14ac:dyDescent="0.25">
      <c r="A1311" s="21" t="s">
        <v>2485</v>
      </c>
      <c r="B1311" s="21" t="s">
        <v>2485</v>
      </c>
      <c r="C1311" s="36"/>
    </row>
    <row r="1312" spans="1:3" x14ac:dyDescent="0.25">
      <c r="A1312" s="21" t="s">
        <v>2486</v>
      </c>
      <c r="B1312" s="21" t="s">
        <v>2486</v>
      </c>
      <c r="C1312" s="36" t="s">
        <v>2487</v>
      </c>
    </row>
    <row r="1313" spans="1:3" x14ac:dyDescent="0.25">
      <c r="A1313" s="21" t="s">
        <v>2488</v>
      </c>
      <c r="B1313" s="21" t="s">
        <v>2489</v>
      </c>
      <c r="C1313" s="36"/>
    </row>
    <row r="1314" spans="1:3" x14ac:dyDescent="0.25">
      <c r="A1314" s="21" t="s">
        <v>2490</v>
      </c>
      <c r="B1314" s="21" t="s">
        <v>2491</v>
      </c>
      <c r="C1314" s="36" t="s">
        <v>2492</v>
      </c>
    </row>
    <row r="1315" spans="1:3" x14ac:dyDescent="0.25">
      <c r="A1315" s="21" t="s">
        <v>2493</v>
      </c>
      <c r="B1315" s="21" t="s">
        <v>2494</v>
      </c>
      <c r="C1315" s="36"/>
    </row>
    <row r="1316" spans="1:3" x14ac:dyDescent="0.25">
      <c r="A1316" s="21" t="s">
        <v>2495</v>
      </c>
      <c r="B1316" s="21" t="s">
        <v>2496</v>
      </c>
      <c r="C1316" s="36"/>
    </row>
    <row r="1317" spans="1:3" x14ac:dyDescent="0.25">
      <c r="A1317" s="21" t="s">
        <v>2497</v>
      </c>
      <c r="B1317" s="21" t="s">
        <v>2497</v>
      </c>
      <c r="C1317" s="36" t="s">
        <v>2498</v>
      </c>
    </row>
    <row r="1318" spans="1:3" x14ac:dyDescent="0.25">
      <c r="A1318" s="21" t="s">
        <v>2499</v>
      </c>
      <c r="B1318" s="21" t="s">
        <v>2499</v>
      </c>
      <c r="C1318" s="36" t="s">
        <v>2500</v>
      </c>
    </row>
    <row r="1319" spans="1:3" x14ac:dyDescent="0.25">
      <c r="A1319" s="21" t="s">
        <v>102</v>
      </c>
      <c r="B1319" s="21" t="s">
        <v>2501</v>
      </c>
      <c r="C1319" s="36"/>
    </row>
    <row r="1320" spans="1:3" x14ac:dyDescent="0.25">
      <c r="A1320" s="21" t="s">
        <v>107</v>
      </c>
      <c r="B1320" s="21" t="s">
        <v>2502</v>
      </c>
      <c r="C1320" s="36"/>
    </row>
    <row r="1321" spans="1:3" x14ac:dyDescent="0.25">
      <c r="A1321" s="28" t="s">
        <v>2503</v>
      </c>
      <c r="B1321" s="28" t="s">
        <v>2504</v>
      </c>
      <c r="C1321" s="36"/>
    </row>
    <row r="1322" spans="1:3" x14ac:dyDescent="0.25">
      <c r="A1322" s="28" t="s">
        <v>2505</v>
      </c>
      <c r="B1322" s="28" t="s">
        <v>2505</v>
      </c>
    </row>
    <row r="1323" spans="1:3" x14ac:dyDescent="0.25">
      <c r="A1323" s="28" t="s">
        <v>2506</v>
      </c>
      <c r="B1323" s="28" t="s">
        <v>2507</v>
      </c>
    </row>
    <row r="1324" spans="1:3" x14ac:dyDescent="0.25">
      <c r="A1324" s="28" t="s">
        <v>2508</v>
      </c>
      <c r="B1324" s="28" t="s">
        <v>2509</v>
      </c>
    </row>
    <row r="1325" spans="1:3" x14ac:dyDescent="0.25">
      <c r="A1325" s="28" t="s">
        <v>2510</v>
      </c>
      <c r="B1325" s="28" t="s">
        <v>2511</v>
      </c>
    </row>
    <row r="1326" spans="1:3" x14ac:dyDescent="0.25">
      <c r="A1326" s="28" t="s">
        <v>2512</v>
      </c>
      <c r="B1326" s="28" t="s">
        <v>2513</v>
      </c>
    </row>
    <row r="1327" spans="1:3" x14ac:dyDescent="0.25">
      <c r="A1327" s="28" t="s">
        <v>2514</v>
      </c>
      <c r="B1327" s="28" t="s">
        <v>2515</v>
      </c>
    </row>
    <row r="1328" spans="1:3" x14ac:dyDescent="0.25">
      <c r="A1328" s="28" t="s">
        <v>2516</v>
      </c>
      <c r="B1328" s="28" t="s">
        <v>2516</v>
      </c>
      <c r="C1328" s="39" t="s">
        <v>2517</v>
      </c>
    </row>
    <row r="1329" spans="1:3" x14ac:dyDescent="0.25">
      <c r="A1329" s="28" t="s">
        <v>2518</v>
      </c>
      <c r="B1329" s="28" t="s">
        <v>2518</v>
      </c>
    </row>
    <row r="1330" spans="1:3" x14ac:dyDescent="0.25">
      <c r="A1330" s="28" t="s">
        <v>2519</v>
      </c>
      <c r="B1330" s="28" t="s">
        <v>2520</v>
      </c>
    </row>
    <row r="1331" spans="1:3" x14ac:dyDescent="0.25">
      <c r="A1331" s="28" t="s">
        <v>2521</v>
      </c>
      <c r="B1331" s="28" t="s">
        <v>2522</v>
      </c>
    </row>
    <row r="1332" spans="1:3" x14ac:dyDescent="0.25">
      <c r="A1332" s="28" t="s">
        <v>2523</v>
      </c>
      <c r="B1332" s="28" t="s">
        <v>2524</v>
      </c>
    </row>
    <row r="1333" spans="1:3" x14ac:dyDescent="0.25">
      <c r="A1333" s="28" t="s">
        <v>2525</v>
      </c>
      <c r="B1333" s="28" t="s">
        <v>2526</v>
      </c>
    </row>
    <row r="1334" spans="1:3" x14ac:dyDescent="0.25">
      <c r="A1334" s="28" t="s">
        <v>2527</v>
      </c>
      <c r="B1334" s="28" t="s">
        <v>2527</v>
      </c>
      <c r="C1334" s="39" t="s">
        <v>2528</v>
      </c>
    </row>
    <row r="1335" spans="1:3" x14ac:dyDescent="0.25">
      <c r="A1335" s="28" t="s">
        <v>2529</v>
      </c>
      <c r="B1335" s="28" t="s">
        <v>2529</v>
      </c>
    </row>
    <row r="1336" spans="1:3" x14ac:dyDescent="0.25">
      <c r="A1336" s="28" t="s">
        <v>2533</v>
      </c>
      <c r="B1336" s="28" t="s">
        <v>2800</v>
      </c>
    </row>
    <row r="1337" spans="1:3" x14ac:dyDescent="0.25">
      <c r="A1337" s="28" t="s">
        <v>2530</v>
      </c>
      <c r="B1337" s="28" t="s">
        <v>2531</v>
      </c>
    </row>
    <row r="1338" spans="1:3" x14ac:dyDescent="0.25">
      <c r="A1338" s="28" t="s">
        <v>2532</v>
      </c>
      <c r="B1338" s="28" t="s">
        <v>2533</v>
      </c>
    </row>
    <row r="1339" spans="1:3" x14ac:dyDescent="0.25">
      <c r="A1339" s="28" t="s">
        <v>2534</v>
      </c>
      <c r="B1339" s="28" t="s">
        <v>2535</v>
      </c>
    </row>
    <row r="1340" spans="1:3" x14ac:dyDescent="0.25">
      <c r="A1340" s="28" t="s">
        <v>2536</v>
      </c>
      <c r="B1340" s="28" t="s">
        <v>2537</v>
      </c>
    </row>
    <row r="1341" spans="1:3" x14ac:dyDescent="0.25">
      <c r="A1341" s="28" t="s">
        <v>2538</v>
      </c>
      <c r="B1341" s="28" t="s">
        <v>2539</v>
      </c>
    </row>
    <row r="1342" spans="1:3" x14ac:dyDescent="0.25">
      <c r="A1342" s="28" t="s">
        <v>2540</v>
      </c>
      <c r="B1342" s="28" t="s">
        <v>2541</v>
      </c>
      <c r="C1342" s="39" t="s">
        <v>2542</v>
      </c>
    </row>
    <row r="1343" spans="1:3" x14ac:dyDescent="0.25">
      <c r="A1343" s="28" t="s">
        <v>2543</v>
      </c>
      <c r="B1343" s="28" t="s">
        <v>2543</v>
      </c>
    </row>
    <row r="1344" spans="1:3" x14ac:dyDescent="0.25">
      <c r="A1344" s="28" t="s">
        <v>2544</v>
      </c>
      <c r="B1344" s="28" t="s">
        <v>2545</v>
      </c>
    </row>
    <row r="1345" spans="1:3" x14ac:dyDescent="0.25">
      <c r="A1345" s="28" t="s">
        <v>2546</v>
      </c>
      <c r="B1345" s="28" t="s">
        <v>2546</v>
      </c>
      <c r="C1345" s="39" t="s">
        <v>2547</v>
      </c>
    </row>
    <row r="1346" spans="1:3" x14ac:dyDescent="0.25">
      <c r="A1346" s="28" t="s">
        <v>2548</v>
      </c>
      <c r="B1346" s="28" t="s">
        <v>2548</v>
      </c>
      <c r="C1346" s="39" t="s">
        <v>2547</v>
      </c>
    </row>
    <row r="1347" spans="1:3" x14ac:dyDescent="0.25">
      <c r="A1347" s="28" t="s">
        <v>2549</v>
      </c>
      <c r="B1347" s="28" t="s">
        <v>2550</v>
      </c>
      <c r="C1347" s="39" t="s">
        <v>2547</v>
      </c>
    </row>
    <row r="1348" spans="1:3" x14ac:dyDescent="0.25">
      <c r="A1348" s="28" t="s">
        <v>2551</v>
      </c>
      <c r="B1348" s="28" t="s">
        <v>2551</v>
      </c>
    </row>
    <row r="1349" spans="1:3" x14ac:dyDescent="0.25">
      <c r="A1349" s="28" t="s">
        <v>2552</v>
      </c>
      <c r="B1349" s="28" t="s">
        <v>82</v>
      </c>
      <c r="C1349" s="39" t="s">
        <v>881</v>
      </c>
    </row>
    <row r="1350" spans="1:3" x14ac:dyDescent="0.25">
      <c r="A1350" s="28" t="s">
        <v>2553</v>
      </c>
      <c r="B1350" s="28" t="s">
        <v>2553</v>
      </c>
    </row>
    <row r="1351" spans="1:3" x14ac:dyDescent="0.25">
      <c r="A1351" s="28" t="s">
        <v>2554</v>
      </c>
      <c r="B1351" s="28" t="s">
        <v>2555</v>
      </c>
    </row>
    <row r="1352" spans="1:3" x14ac:dyDescent="0.25">
      <c r="A1352" s="28" t="s">
        <v>2556</v>
      </c>
      <c r="B1352" s="28" t="s">
        <v>2557</v>
      </c>
      <c r="C1352" s="39" t="s">
        <v>2558</v>
      </c>
    </row>
    <row r="1353" spans="1:3" x14ac:dyDescent="0.25">
      <c r="A1353" s="28" t="s">
        <v>2559</v>
      </c>
      <c r="B1353" s="28" t="s">
        <v>2560</v>
      </c>
      <c r="C1353" s="39" t="s">
        <v>2561</v>
      </c>
    </row>
    <row r="1354" spans="1:3" x14ac:dyDescent="0.25">
      <c r="A1354" s="28" t="s">
        <v>2562</v>
      </c>
      <c r="B1354" s="28" t="s">
        <v>2562</v>
      </c>
    </row>
    <row r="1355" spans="1:3" x14ac:dyDescent="0.25">
      <c r="A1355" s="28" t="s">
        <v>2563</v>
      </c>
      <c r="B1355" s="28" t="s">
        <v>2564</v>
      </c>
    </row>
    <row r="1356" spans="1:3" x14ac:dyDescent="0.25">
      <c r="A1356" s="28" t="s">
        <v>2565</v>
      </c>
      <c r="B1356" s="28" t="s">
        <v>2566</v>
      </c>
      <c r="C1356" s="39" t="s">
        <v>2567</v>
      </c>
    </row>
  </sheetData>
  <sheetProtection algorithmName="SHA-512" hashValue="WGUbkpOvZuUtLN9XpAaba5Eb6oNKh4ANUhM5A1VpSUJVbcUn70PuGPEOK/jqRTr+YeA0TFwTBN0el+OMPHOIfQ==" saltValue="3GI6T4S1iYEndv4yn4ZMUQ==" spinCount="100000" sheet="1" objects="1" scenarios="1" autoFilter="0"/>
  <autoFilter ref="A1:N1"/>
  <sortState ref="A2:C1356">
    <sortCondition ref="A1500"/>
  </sortState>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G36"/>
  <sheetViews>
    <sheetView workbookViewId="0">
      <selection activeCell="A16" sqref="A16:C22"/>
    </sheetView>
  </sheetViews>
  <sheetFormatPr baseColWidth="10" defaultColWidth="11.42578125" defaultRowHeight="15" x14ac:dyDescent="0.25"/>
  <cols>
    <col min="1" max="1" width="28.28515625" customWidth="1"/>
    <col min="2" max="2" width="31" bestFit="1" customWidth="1"/>
    <col min="3" max="3" width="44.140625" bestFit="1" customWidth="1"/>
    <col min="4" max="4" width="21.7109375" customWidth="1"/>
    <col min="5" max="5" width="45.28515625" customWidth="1"/>
    <col min="6" max="6" width="31.28515625" customWidth="1"/>
    <col min="7" max="7" width="14.42578125" customWidth="1"/>
  </cols>
  <sheetData>
    <row r="1" spans="1:7" ht="18.75" x14ac:dyDescent="0.3">
      <c r="A1" s="90" t="s">
        <v>1451</v>
      </c>
      <c r="B1" s="90"/>
      <c r="C1" s="90"/>
      <c r="D1" s="11"/>
      <c r="E1" s="52" t="s">
        <v>2628</v>
      </c>
      <c r="G1" s="11"/>
    </row>
    <row r="2" spans="1:7" x14ac:dyDescent="0.25">
      <c r="A2" s="11" t="s">
        <v>2295</v>
      </c>
      <c r="B2" s="47" t="s">
        <v>549</v>
      </c>
      <c r="C2" s="11" t="s">
        <v>2599</v>
      </c>
      <c r="E2" s="53"/>
    </row>
    <row r="3" spans="1:7" x14ac:dyDescent="0.25">
      <c r="A3" t="s">
        <v>2665</v>
      </c>
      <c r="B3" s="17" t="s">
        <v>2658</v>
      </c>
      <c r="C3" t="s">
        <v>2658</v>
      </c>
      <c r="E3" s="53"/>
    </row>
    <row r="4" spans="1:7" x14ac:dyDescent="0.25">
      <c r="A4" t="s">
        <v>2405</v>
      </c>
      <c r="B4" s="17" t="s">
        <v>2666</v>
      </c>
      <c r="C4" t="s">
        <v>2666</v>
      </c>
      <c r="E4" s="53"/>
    </row>
    <row r="5" spans="1:7" x14ac:dyDescent="0.25">
      <c r="A5" t="s">
        <v>2617</v>
      </c>
      <c r="B5" s="17" t="s">
        <v>2687</v>
      </c>
      <c r="C5" t="s">
        <v>2687</v>
      </c>
      <c r="E5" s="53"/>
    </row>
    <row r="6" spans="1:7" x14ac:dyDescent="0.25">
      <c r="A6" t="s">
        <v>2405</v>
      </c>
      <c r="B6" s="17" t="s">
        <v>2696</v>
      </c>
      <c r="C6" t="s">
        <v>2697</v>
      </c>
      <c r="E6" s="53"/>
    </row>
    <row r="7" spans="1:7" x14ac:dyDescent="0.25">
      <c r="A7" t="s">
        <v>2405</v>
      </c>
      <c r="B7" s="17" t="s">
        <v>2714</v>
      </c>
      <c r="C7" t="s">
        <v>2715</v>
      </c>
      <c r="E7" s="53"/>
    </row>
    <row r="8" spans="1:7" x14ac:dyDescent="0.25">
      <c r="A8" t="s">
        <v>2405</v>
      </c>
      <c r="B8" s="17" t="s">
        <v>2724</v>
      </c>
      <c r="C8" t="s">
        <v>2724</v>
      </c>
      <c r="E8" s="53"/>
    </row>
    <row r="9" spans="1:7" x14ac:dyDescent="0.25">
      <c r="A9" t="s">
        <v>2405</v>
      </c>
      <c r="B9" s="17" t="s">
        <v>2734</v>
      </c>
      <c r="C9" t="s">
        <v>2735</v>
      </c>
      <c r="E9" s="53"/>
    </row>
    <row r="10" spans="1:7" x14ac:dyDescent="0.25">
      <c r="A10" t="s">
        <v>2665</v>
      </c>
      <c r="B10" t="s">
        <v>2803</v>
      </c>
      <c r="C10" t="s">
        <v>2804</v>
      </c>
      <c r="E10" s="53"/>
    </row>
    <row r="11" spans="1:7" x14ac:dyDescent="0.25">
      <c r="A11" t="s">
        <v>2665</v>
      </c>
      <c r="B11" s="17" t="s">
        <v>2803</v>
      </c>
      <c r="C11" t="s">
        <v>2806</v>
      </c>
      <c r="E11" s="53"/>
    </row>
    <row r="12" spans="1:7" x14ac:dyDescent="0.25">
      <c r="A12" t="s">
        <v>2405</v>
      </c>
      <c r="B12" s="17" t="s">
        <v>2734</v>
      </c>
      <c r="C12" t="s">
        <v>2860</v>
      </c>
      <c r="E12" s="53"/>
    </row>
    <row r="13" spans="1:7" x14ac:dyDescent="0.25">
      <c r="A13" t="s">
        <v>2405</v>
      </c>
      <c r="B13" s="17" t="s">
        <v>2812</v>
      </c>
      <c r="C13" t="s">
        <v>2812</v>
      </c>
      <c r="E13" s="53"/>
    </row>
    <row r="14" spans="1:7" x14ac:dyDescent="0.25">
      <c r="A14" t="s">
        <v>2405</v>
      </c>
      <c r="B14" s="17" t="s">
        <v>2814</v>
      </c>
      <c r="C14" t="s">
        <v>2815</v>
      </c>
      <c r="E14" s="53"/>
    </row>
    <row r="15" spans="1:7" x14ac:dyDescent="0.25">
      <c r="A15" t="s">
        <v>2405</v>
      </c>
      <c r="B15" t="s">
        <v>2888</v>
      </c>
      <c r="C15" t="s">
        <v>2890</v>
      </c>
      <c r="E15" s="53"/>
    </row>
    <row r="16" spans="1:7" x14ac:dyDescent="0.25">
      <c r="A16" t="s">
        <v>2665</v>
      </c>
      <c r="B16" t="s">
        <v>2803</v>
      </c>
      <c r="C16" t="s">
        <v>3287</v>
      </c>
      <c r="E16" s="54"/>
    </row>
    <row r="17" spans="1:5" x14ac:dyDescent="0.25">
      <c r="A17" t="s">
        <v>2405</v>
      </c>
      <c r="B17" s="17" t="s">
        <v>2627</v>
      </c>
      <c r="C17" t="s">
        <v>3170</v>
      </c>
      <c r="E17" s="54"/>
    </row>
    <row r="18" spans="1:5" x14ac:dyDescent="0.25">
      <c r="A18" t="s">
        <v>2405</v>
      </c>
      <c r="B18" s="17" t="s">
        <v>2627</v>
      </c>
      <c r="C18" t="s">
        <v>3177</v>
      </c>
      <c r="E18" s="54"/>
    </row>
    <row r="19" spans="1:5" x14ac:dyDescent="0.25">
      <c r="A19" t="s">
        <v>2405</v>
      </c>
      <c r="B19" s="17" t="s">
        <v>2627</v>
      </c>
      <c r="C19" t="s">
        <v>3230</v>
      </c>
      <c r="E19" s="54"/>
    </row>
    <row r="20" spans="1:5" x14ac:dyDescent="0.25">
      <c r="A20" t="s">
        <v>2405</v>
      </c>
      <c r="B20" s="17" t="s">
        <v>2627</v>
      </c>
      <c r="C20" t="s">
        <v>3214</v>
      </c>
      <c r="E20" s="54"/>
    </row>
    <row r="21" spans="1:5" x14ac:dyDescent="0.25">
      <c r="A21" t="s">
        <v>2405</v>
      </c>
      <c r="B21" s="17" t="s">
        <v>2627</v>
      </c>
      <c r="C21" t="s">
        <v>3192</v>
      </c>
      <c r="E21" s="54"/>
    </row>
    <row r="22" spans="1:5" x14ac:dyDescent="0.25">
      <c r="A22" t="s">
        <v>2405</v>
      </c>
      <c r="B22" s="17" t="s">
        <v>2627</v>
      </c>
      <c r="C22" t="s">
        <v>3242</v>
      </c>
      <c r="E22" s="54"/>
    </row>
    <row r="23" spans="1:5" x14ac:dyDescent="0.25">
      <c r="B23" s="17"/>
      <c r="E23" s="54"/>
    </row>
    <row r="24" spans="1:5" x14ac:dyDescent="0.25">
      <c r="B24" s="17"/>
      <c r="E24" s="54"/>
    </row>
    <row r="25" spans="1:5" x14ac:dyDescent="0.25">
      <c r="B25" s="17"/>
      <c r="E25" s="54"/>
    </row>
    <row r="26" spans="1:5" x14ac:dyDescent="0.25">
      <c r="B26" s="17"/>
      <c r="E26" s="54"/>
    </row>
    <row r="27" spans="1:5" x14ac:dyDescent="0.25">
      <c r="B27" s="17"/>
      <c r="E27" s="54"/>
    </row>
    <row r="28" spans="1:5" x14ac:dyDescent="0.25">
      <c r="B28" s="17"/>
      <c r="E28" s="54"/>
    </row>
    <row r="29" spans="1:5" x14ac:dyDescent="0.25">
      <c r="B29" s="17"/>
      <c r="E29" s="54"/>
    </row>
    <row r="30" spans="1:5" x14ac:dyDescent="0.25">
      <c r="B30" s="17"/>
      <c r="E30" s="54"/>
    </row>
    <row r="31" spans="1:5" x14ac:dyDescent="0.25">
      <c r="B31" s="17"/>
      <c r="E31" s="54"/>
    </row>
    <row r="32" spans="1:5" x14ac:dyDescent="0.25">
      <c r="B32" s="17"/>
      <c r="E32" s="54"/>
    </row>
    <row r="33" spans="2:5" x14ac:dyDescent="0.25">
      <c r="B33" s="17"/>
      <c r="E33" s="54"/>
    </row>
    <row r="34" spans="2:5" x14ac:dyDescent="0.25">
      <c r="B34" s="17"/>
      <c r="E34" s="54"/>
    </row>
    <row r="35" spans="2:5" x14ac:dyDescent="0.25">
      <c r="B35" s="17"/>
      <c r="E35" s="54"/>
    </row>
    <row r="36" spans="2:5" x14ac:dyDescent="0.25">
      <c r="B36" s="17"/>
    </row>
  </sheetData>
  <sheetProtection algorithmName="SHA-512" hashValue="e4/TTVtPSLo1qgcE4QCEoSBoC2IuVyfM4dridLnR+pL0kIx9GdexhXOv7VcF6W9LJu28BflI9IkQw9xvrSUpAw==" saltValue="wKbDcDwkNI2ELzjCXGEx7w==" spinCount="100000" sheet="1" objects="1" scenarios="1" autoFilter="0"/>
  <autoFilter ref="A2:C2"/>
  <mergeCells count="1">
    <mergeCell ref="A1:C1"/>
  </mergeCells>
  <pageMargins left="0.7" right="0.7" top="0.78740157499999996" bottom="0.78740157499999996" header="0.3" footer="0.3"/>
  <pageSetup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51"/>
  <sheetViews>
    <sheetView workbookViewId="0">
      <selection activeCell="D5" sqref="D5:D24"/>
    </sheetView>
  </sheetViews>
  <sheetFormatPr baseColWidth="10" defaultColWidth="8.7109375" defaultRowHeight="15" x14ac:dyDescent="0.25"/>
  <cols>
    <col min="1" max="1" width="37" customWidth="1"/>
    <col min="2" max="2" width="41" customWidth="1"/>
    <col min="3" max="3" width="51.85546875" customWidth="1"/>
    <col min="4" max="4" width="64.42578125" customWidth="1"/>
    <col min="5" max="5" width="65.28515625" customWidth="1"/>
  </cols>
  <sheetData>
    <row r="1" spans="1:5" s="75" customFormat="1" x14ac:dyDescent="0.25">
      <c r="A1" s="74" t="s">
        <v>2907</v>
      </c>
      <c r="B1" s="74" t="s">
        <v>2908</v>
      </c>
      <c r="C1" s="74" t="s">
        <v>2909</v>
      </c>
      <c r="D1" s="74" t="s">
        <v>2905</v>
      </c>
      <c r="E1" s="74" t="s">
        <v>2906</v>
      </c>
    </row>
    <row r="2" spans="1:5" x14ac:dyDescent="0.25">
      <c r="A2" t="s">
        <v>3133</v>
      </c>
      <c r="B2" t="s">
        <v>2960</v>
      </c>
      <c r="C2" t="s">
        <v>2821</v>
      </c>
      <c r="D2" t="s">
        <v>3123</v>
      </c>
      <c r="E2" t="s">
        <v>3121</v>
      </c>
    </row>
    <row r="3" spans="1:5" x14ac:dyDescent="0.25">
      <c r="A3" t="s">
        <v>3135</v>
      </c>
      <c r="C3" t="s">
        <v>2824</v>
      </c>
      <c r="D3" t="s">
        <v>3124</v>
      </c>
      <c r="E3" t="s">
        <v>3122</v>
      </c>
    </row>
    <row r="4" spans="1:5" x14ac:dyDescent="0.25">
      <c r="A4" t="s">
        <v>3139</v>
      </c>
      <c r="C4" t="s">
        <v>2840</v>
      </c>
      <c r="D4" t="s">
        <v>3125</v>
      </c>
    </row>
    <row r="5" spans="1:5" x14ac:dyDescent="0.25">
      <c r="A5" t="s">
        <v>3143</v>
      </c>
      <c r="C5" t="s">
        <v>2830</v>
      </c>
      <c r="D5" t="s">
        <v>3301</v>
      </c>
    </row>
    <row r="6" spans="1:5" x14ac:dyDescent="0.25">
      <c r="A6" t="s">
        <v>3147</v>
      </c>
      <c r="C6" t="s">
        <v>2827</v>
      </c>
      <c r="D6" t="s">
        <v>3302</v>
      </c>
    </row>
    <row r="7" spans="1:5" x14ac:dyDescent="0.25">
      <c r="A7" t="s">
        <v>3151</v>
      </c>
      <c r="D7" t="s">
        <v>3303</v>
      </c>
    </row>
    <row r="8" spans="1:5" x14ac:dyDescent="0.25">
      <c r="A8" t="s">
        <v>3157</v>
      </c>
      <c r="D8" t="s">
        <v>3304</v>
      </c>
    </row>
    <row r="9" spans="1:5" x14ac:dyDescent="0.25">
      <c r="A9" t="s">
        <v>3159</v>
      </c>
      <c r="D9" t="s">
        <v>3305</v>
      </c>
    </row>
    <row r="10" spans="1:5" x14ac:dyDescent="0.25">
      <c r="A10" t="s">
        <v>3161</v>
      </c>
      <c r="D10" t="s">
        <v>3306</v>
      </c>
    </row>
    <row r="11" spans="1:5" x14ac:dyDescent="0.25">
      <c r="A11" t="s">
        <v>3163</v>
      </c>
      <c r="D11" t="s">
        <v>3307</v>
      </c>
    </row>
    <row r="12" spans="1:5" x14ac:dyDescent="0.25">
      <c r="A12" t="s">
        <v>3165</v>
      </c>
      <c r="D12" t="s">
        <v>3308</v>
      </c>
    </row>
    <row r="13" spans="1:5" x14ac:dyDescent="0.25">
      <c r="A13" t="s">
        <v>3166</v>
      </c>
      <c r="D13" t="s">
        <v>3309</v>
      </c>
    </row>
    <row r="14" spans="1:5" x14ac:dyDescent="0.25">
      <c r="A14" t="s">
        <v>3171</v>
      </c>
      <c r="D14" t="s">
        <v>3310</v>
      </c>
    </row>
    <row r="15" spans="1:5" x14ac:dyDescent="0.25">
      <c r="A15" t="s">
        <v>3173</v>
      </c>
      <c r="D15" t="s">
        <v>3311</v>
      </c>
    </row>
    <row r="16" spans="1:5" x14ac:dyDescent="0.25">
      <c r="A16" t="s">
        <v>3178</v>
      </c>
      <c r="D16" t="s">
        <v>3312</v>
      </c>
    </row>
    <row r="17" spans="1:4" x14ac:dyDescent="0.25">
      <c r="A17" t="s">
        <v>3182</v>
      </c>
      <c r="D17" t="s">
        <v>3313</v>
      </c>
    </row>
    <row r="18" spans="1:4" x14ac:dyDescent="0.25">
      <c r="A18" t="s">
        <v>3186</v>
      </c>
      <c r="D18" t="s">
        <v>3314</v>
      </c>
    </row>
    <row r="19" spans="1:4" x14ac:dyDescent="0.25">
      <c r="A19" t="s">
        <v>3190</v>
      </c>
      <c r="D19" t="s">
        <v>3315</v>
      </c>
    </row>
    <row r="20" spans="1:4" x14ac:dyDescent="0.25">
      <c r="A20" t="s">
        <v>3194</v>
      </c>
      <c r="D20" t="s">
        <v>3316</v>
      </c>
    </row>
    <row r="21" spans="1:4" x14ac:dyDescent="0.25">
      <c r="A21" t="s">
        <v>3196</v>
      </c>
      <c r="D21" t="s">
        <v>3317</v>
      </c>
    </row>
    <row r="22" spans="1:4" x14ac:dyDescent="0.25">
      <c r="A22" t="s">
        <v>3200</v>
      </c>
      <c r="D22" t="s">
        <v>3318</v>
      </c>
    </row>
    <row r="23" spans="1:4" x14ac:dyDescent="0.25">
      <c r="A23" t="s">
        <v>3202</v>
      </c>
      <c r="D23" t="s">
        <v>3324</v>
      </c>
    </row>
    <row r="24" spans="1:4" x14ac:dyDescent="0.25">
      <c r="A24" t="s">
        <v>3206</v>
      </c>
      <c r="D24" t="s">
        <v>3325</v>
      </c>
    </row>
    <row r="25" spans="1:4" x14ac:dyDescent="0.25">
      <c r="A25" t="s">
        <v>3210</v>
      </c>
    </row>
    <row r="26" spans="1:4" x14ac:dyDescent="0.25">
      <c r="A26" t="s">
        <v>3215</v>
      </c>
    </row>
    <row r="27" spans="1:4" x14ac:dyDescent="0.25">
      <c r="A27" t="s">
        <v>3218</v>
      </c>
    </row>
    <row r="28" spans="1:4" x14ac:dyDescent="0.25">
      <c r="A28" t="s">
        <v>3222</v>
      </c>
    </row>
    <row r="29" spans="1:4" x14ac:dyDescent="0.25">
      <c r="A29" t="s">
        <v>3224</v>
      </c>
    </row>
    <row r="30" spans="1:4" x14ac:dyDescent="0.25">
      <c r="A30" t="s">
        <v>3226</v>
      </c>
    </row>
    <row r="31" spans="1:4" x14ac:dyDescent="0.25">
      <c r="A31" t="s">
        <v>3231</v>
      </c>
    </row>
    <row r="32" spans="1:4" x14ac:dyDescent="0.25">
      <c r="A32" t="s">
        <v>3235</v>
      </c>
    </row>
    <row r="33" spans="1:1" x14ac:dyDescent="0.25">
      <c r="A33" t="s">
        <v>3238</v>
      </c>
    </row>
    <row r="34" spans="1:1" x14ac:dyDescent="0.25">
      <c r="A34" t="s">
        <v>3243</v>
      </c>
    </row>
    <row r="35" spans="1:1" x14ac:dyDescent="0.25">
      <c r="A35" t="s">
        <v>3247</v>
      </c>
    </row>
    <row r="36" spans="1:1" x14ac:dyDescent="0.25">
      <c r="A36" t="s">
        <v>3251</v>
      </c>
    </row>
    <row r="37" spans="1:1" x14ac:dyDescent="0.25">
      <c r="A37" t="s">
        <v>3255</v>
      </c>
    </row>
    <row r="38" spans="1:1" x14ac:dyDescent="0.25">
      <c r="A38" t="s">
        <v>3260</v>
      </c>
    </row>
    <row r="39" spans="1:1" x14ac:dyDescent="0.25">
      <c r="A39" t="s">
        <v>3265</v>
      </c>
    </row>
    <row r="40" spans="1:1" x14ac:dyDescent="0.25">
      <c r="A40" t="s">
        <v>3269</v>
      </c>
    </row>
    <row r="41" spans="1:1" x14ac:dyDescent="0.25">
      <c r="A41" t="s">
        <v>3273</v>
      </c>
    </row>
    <row r="42" spans="1:1" x14ac:dyDescent="0.25">
      <c r="A42" t="s">
        <v>3277</v>
      </c>
    </row>
    <row r="43" spans="1:1" x14ac:dyDescent="0.25">
      <c r="A43" t="s">
        <v>3281</v>
      </c>
    </row>
    <row r="44" spans="1:1" x14ac:dyDescent="0.25">
      <c r="A44" t="s">
        <v>3285</v>
      </c>
    </row>
    <row r="45" spans="1:1" x14ac:dyDescent="0.25">
      <c r="A45" t="s">
        <v>3288</v>
      </c>
    </row>
    <row r="46" spans="1:1" x14ac:dyDescent="0.25">
      <c r="A46" t="s">
        <v>3289</v>
      </c>
    </row>
    <row r="47" spans="1:1" x14ac:dyDescent="0.25">
      <c r="A47" t="s">
        <v>3290</v>
      </c>
    </row>
    <row r="48" spans="1:1" x14ac:dyDescent="0.25">
      <c r="A48" t="s">
        <v>3294</v>
      </c>
    </row>
    <row r="49" spans="1:1" x14ac:dyDescent="0.25">
      <c r="A49" t="s">
        <v>3295</v>
      </c>
    </row>
    <row r="50" spans="1:1" x14ac:dyDescent="0.25">
      <c r="A50" t="s">
        <v>3297</v>
      </c>
    </row>
    <row r="51" spans="1:1" x14ac:dyDescent="0.25">
      <c r="A51" t="s">
        <v>3323</v>
      </c>
    </row>
  </sheetData>
  <sheetProtection algorithmName="SHA-512" hashValue="EpiaArzhY2LV6oNSZKoqLyrs7/v17Pmjo7aap8+kkfearwZgZYUy+4WrorFAmz6fIiS8Egfoa92QzoEZRc1jVA==" saltValue="MGZSS9ErbRqk7D2IHlNyJw==" spinCount="100000" sheet="1" objects="1" scenarios="1" autoFilter="0"/>
  <autoFilter ref="A1:E1"/>
  <pageMargins left="0.7" right="0.7" top="0.75" bottom="0.75" header="0.3" footer="0.3"/>
  <pageSetup paperSize="9" orientation="portrait" r:id="rId1"/>
  <headerFooter>
    <oddFooter xml:space="preserve">&amp;R&amp;KFF0000Herkese Açık | Public&amp;K000000
</oddFooter>
    <evenFooter xml:space="preserve">&amp;R&amp;KFF0000Herkese Açık | Public&amp;K000000
</evenFooter>
    <firstFooter xml:space="preserve">&amp;R&amp;KFF0000Herkese Açık | Public&amp;K000000
</firstFooter>
  </headerFooter>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8</vt:i4>
      </vt:variant>
    </vt:vector>
  </HeadingPairs>
  <TitlesOfParts>
    <vt:vector size="8" baseType="lpstr">
      <vt:lpstr>General</vt:lpstr>
      <vt:lpstr>Signal Definition</vt:lpstr>
      <vt:lpstr>Signal Connections</vt:lpstr>
      <vt:lpstr>Parameter Definition</vt:lpstr>
      <vt:lpstr>DataTypes</vt:lpstr>
      <vt:lpstr>Abbreviation</vt:lpstr>
      <vt:lpstr>Simulink</vt:lpstr>
      <vt:lpstr>Hist</vt:lpstr>
    </vt:vector>
  </TitlesOfParts>
  <Company>IAV Group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Wolf, Markus (TP-C)</dc:creator>
  <cp:keywords>Herkese Açık</cp:keywords>
  <cp:lastModifiedBy>Dennis Juenemann</cp:lastModifiedBy>
  <dcterms:created xsi:type="dcterms:W3CDTF">2017-07-19T08:46:20Z</dcterms:created>
  <dcterms:modified xsi:type="dcterms:W3CDTF">2018-02-05T14:37:56Z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6ffdfaec-01d4-4ea0-82e4-5045944ed2a6</vt:lpwstr>
  </property>
  <property fmtid="{D5CDD505-2E9C-101B-9397-08002B2CF9AE}" pid="3" name="Classification">
    <vt:lpwstr>Herkese Açık</vt:lpwstr>
  </property>
</Properties>
</file>