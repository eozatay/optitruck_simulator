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optiTruck\Test\"/>
    </mc:Choice>
  </mc:AlternateContent>
  <bookViews>
    <workbookView xWindow="0" yWindow="0" windowWidth="23040" windowHeight="9060"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Connections'!$A$2:$BK$1094</definedName>
    <definedName name="_xlnm._FilterDatabase" localSheetId="1" hidden="1">'Signal Definition'!$A$2:$Q$169</definedName>
    <definedName name="_xlnm._FilterDatabase" localSheetId="6" hidden="1">Simulink!$A$2:$E$2</definedName>
    <definedName name="Z_EC8DF9D8_4C70_48C8_ACBE_473EC31C88E8_.wvu.FilterData" localSheetId="5" hidden="1">Abbreviation!$A$1:$C$1299</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F8" i="5"/>
  <c r="F4" i="5"/>
  <c r="Q2" i="3"/>
  <c r="AO2" i="3"/>
  <c r="AL2" i="3"/>
  <c r="AB2" i="3"/>
  <c r="D2" i="3"/>
  <c r="AT2" i="3"/>
  <c r="AR2" i="3"/>
  <c r="F2" i="3"/>
  <c r="Z2" i="3"/>
  <c r="N2" i="3"/>
  <c r="BA2" i="3"/>
  <c r="AX2" i="3"/>
  <c r="E2" i="3"/>
  <c r="AM2" i="3"/>
  <c r="H2" i="3"/>
  <c r="AZ2" i="3"/>
  <c r="I2" i="3"/>
  <c r="AE2" i="3"/>
  <c r="U2" i="3"/>
  <c r="AV2" i="3"/>
  <c r="BJ2" i="3"/>
  <c r="S2" i="3"/>
  <c r="K2" i="3"/>
  <c r="Y2" i="3"/>
  <c r="X2" i="3"/>
  <c r="BH2" i="3"/>
  <c r="M2" i="3"/>
  <c r="L2" i="3"/>
  <c r="AH2" i="3"/>
  <c r="O2" i="3"/>
  <c r="BB2" i="3"/>
  <c r="BC2" i="3"/>
  <c r="AU2" i="3"/>
  <c r="T2" i="3"/>
  <c r="BE2" i="3"/>
  <c r="W2" i="3"/>
  <c r="BF2" i="3"/>
  <c r="AG2" i="3"/>
  <c r="R2" i="3"/>
  <c r="AI2" i="3"/>
  <c r="AK2" i="3"/>
  <c r="AW2" i="3"/>
  <c r="AF2" i="3"/>
  <c r="BG2" i="3"/>
  <c r="AD2" i="3"/>
  <c r="AN2" i="3"/>
  <c r="AY2" i="3"/>
  <c r="BD2" i="3"/>
  <c r="V2" i="3"/>
  <c r="AA2" i="3"/>
  <c r="BK2" i="3"/>
  <c r="P2" i="3"/>
  <c r="AP2" i="3"/>
  <c r="BI2" i="3"/>
  <c r="G2" i="3"/>
  <c r="AQ2" i="3"/>
  <c r="AJ2" i="3"/>
  <c r="J2" i="3"/>
  <c r="AS2" i="3"/>
  <c r="AC2" i="3"/>
</calcChain>
</file>

<file path=xl/sharedStrings.xml><?xml version="1.0" encoding="utf-8"?>
<sst xmlns="http://schemas.openxmlformats.org/spreadsheetml/2006/main" count="5760" uniqueCount="3382">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</sst>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714375</xdr:colOff>
          <xdr:row>0</xdr:row>
          <xdr:rowOff>333375</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Q849"/>
  <sheetViews>
    <sheetView tabSelected="1" zoomScale="90" zoomScaleNormal="90" zoomScalePageLayoutView="80" workbookViewId="0">
      <pane ySplit="2" topLeftCell="A3" activePane="bottomLeft" state="frozen"/>
      <selection pane="bottomLeft" activeCell="C8" sqref="C8"/>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5">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5">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5">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5">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5">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5">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5">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5">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5">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5">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5">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5">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5">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5">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5">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5">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5">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5">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5">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5">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5">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7"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7"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7" x14ac:dyDescent="0.25">
      <c r="A99" t="s">
        <v>3112</v>
      </c>
      <c r="B99" t="s">
        <v>3113</v>
      </c>
      <c r="C99" t="s">
        <v>3114</v>
      </c>
      <c r="D99" t="s">
        <v>2625</v>
      </c>
      <c r="E99" t="s">
        <v>3115</v>
      </c>
      <c r="F99" t="s">
        <v>35</v>
      </c>
      <c r="G99" t="s">
        <v>2691</v>
      </c>
      <c r="H99" s="8" t="s">
        <v>100</v>
      </c>
      <c r="J99" s="16" t="s">
        <v>3116</v>
      </c>
      <c r="K99" t="s">
        <v>14</v>
      </c>
      <c r="L99" t="s">
        <v>2659</v>
      </c>
      <c r="M99" s="17">
        <v>-128</v>
      </c>
      <c r="N99" s="17">
        <v>127</v>
      </c>
      <c r="O99" s="17">
        <v>0.99609375</v>
      </c>
      <c r="P99" s="76">
        <v>256</v>
      </c>
      <c r="Q99" t="s">
        <v>2660</v>
      </c>
    </row>
    <row r="100" spans="1:17" x14ac:dyDescent="0.25">
      <c r="A100" t="s">
        <v>3117</v>
      </c>
      <c r="B100" t="s">
        <v>3113</v>
      </c>
      <c r="C100" t="s">
        <v>3114</v>
      </c>
      <c r="D100" t="s">
        <v>2625</v>
      </c>
      <c r="E100" t="s">
        <v>3115</v>
      </c>
      <c r="F100" t="s">
        <v>35</v>
      </c>
      <c r="G100" t="s">
        <v>2717</v>
      </c>
      <c r="H100" s="8" t="s">
        <v>2605</v>
      </c>
      <c r="J100" s="16" t="s">
        <v>3118</v>
      </c>
      <c r="K100" t="s">
        <v>14</v>
      </c>
      <c r="L100" t="s">
        <v>2659</v>
      </c>
      <c r="M100" s="17">
        <v>-2147483648</v>
      </c>
      <c r="N100" s="17">
        <v>2147483647</v>
      </c>
      <c r="O100" s="17">
        <v>0.99999999979999998</v>
      </c>
      <c r="P100" s="76">
        <v>4294967296</v>
      </c>
      <c r="Q100" t="s">
        <v>2660</v>
      </c>
    </row>
    <row r="101" spans="1:17" x14ac:dyDescent="0.25">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7" x14ac:dyDescent="0.25">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7" x14ac:dyDescent="0.25">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7" x14ac:dyDescent="0.25">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7" x14ac:dyDescent="0.25">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7" x14ac:dyDescent="0.25">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7" x14ac:dyDescent="0.25">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7" x14ac:dyDescent="0.25">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7" x14ac:dyDescent="0.25">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7" x14ac:dyDescent="0.25">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7" x14ac:dyDescent="0.25">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7" x14ac:dyDescent="0.25">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7" x14ac:dyDescent="0.25">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7" x14ac:dyDescent="0.25">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7" x14ac:dyDescent="0.25">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7" x14ac:dyDescent="0.25">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7" x14ac:dyDescent="0.25">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7" x14ac:dyDescent="0.25">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7" x14ac:dyDescent="0.25">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7" x14ac:dyDescent="0.25">
      <c r="A120" t="s">
        <v>3189</v>
      </c>
      <c r="B120" t="s">
        <v>3190</v>
      </c>
      <c r="C120" t="s">
        <v>3191</v>
      </c>
      <c r="D120" t="s">
        <v>2625</v>
      </c>
      <c r="E120" t="s">
        <v>3115</v>
      </c>
      <c r="F120" t="s">
        <v>35</v>
      </c>
      <c r="G120" t="s">
        <v>2691</v>
      </c>
      <c r="H120" s="8" t="s">
        <v>100</v>
      </c>
      <c r="J120" s="16" t="s">
        <v>3192</v>
      </c>
      <c r="K120" t="s">
        <v>14</v>
      </c>
      <c r="L120" t="s">
        <v>2659</v>
      </c>
      <c r="M120" s="17">
        <v>-2147483648</v>
      </c>
      <c r="N120" s="17">
        <v>2147483647</v>
      </c>
      <c r="O120" s="17">
        <v>1</v>
      </c>
      <c r="P120" s="76">
        <v>4294967296</v>
      </c>
      <c r="Q120" t="s">
        <v>2660</v>
      </c>
    </row>
    <row r="121" spans="1:17" x14ac:dyDescent="0.25">
      <c r="A121" t="s">
        <v>3193</v>
      </c>
      <c r="B121" t="s">
        <v>3194</v>
      </c>
      <c r="C121" t="s">
        <v>3195</v>
      </c>
      <c r="D121" t="s">
        <v>2625</v>
      </c>
      <c r="E121" t="s">
        <v>3115</v>
      </c>
      <c r="F121" t="s">
        <v>35</v>
      </c>
      <c r="G121" t="s">
        <v>3078</v>
      </c>
      <c r="H121" s="8" t="s">
        <v>82</v>
      </c>
      <c r="J121" s="16" t="s">
        <v>3196</v>
      </c>
      <c r="K121" t="s">
        <v>14</v>
      </c>
      <c r="L121" t="s">
        <v>2659</v>
      </c>
      <c r="M121" s="17">
        <v>-2147483648</v>
      </c>
      <c r="N121" s="17">
        <v>2147483647</v>
      </c>
      <c r="O121" s="17">
        <v>1</v>
      </c>
      <c r="P121" s="76">
        <v>4294967296</v>
      </c>
      <c r="Q121" t="s">
        <v>2660</v>
      </c>
    </row>
    <row r="122" spans="1:17" x14ac:dyDescent="0.25">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7" x14ac:dyDescent="0.25">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7" x14ac:dyDescent="0.25">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7" x14ac:dyDescent="0.25">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7" x14ac:dyDescent="0.25">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7" x14ac:dyDescent="0.25">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7" x14ac:dyDescent="0.25">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5">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5">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5">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5">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5">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5">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5">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5">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5">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5">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5">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5">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5">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5">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5">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5">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5">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5">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5">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5">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5">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5">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5">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5">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5">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5">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5">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5">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5">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5">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5">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5">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x14ac:dyDescent="0.25">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x14ac:dyDescent="0.25">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x14ac:dyDescent="0.25">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x14ac:dyDescent="0.25">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x14ac:dyDescent="0.25">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x14ac:dyDescent="0.25">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x14ac:dyDescent="0.25">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x14ac:dyDescent="0.25">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x14ac:dyDescent="0.25">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x14ac:dyDescent="0.25">
      <c r="M170" s="17"/>
      <c r="N170" s="17"/>
      <c r="O170" s="17"/>
      <c r="P170" s="76"/>
    </row>
    <row r="171" spans="1:17" x14ac:dyDescent="0.25">
      <c r="M171" s="17"/>
      <c r="N171" s="17"/>
      <c r="O171" s="17"/>
      <c r="P171" s="76"/>
    </row>
    <row r="172" spans="1:17" x14ac:dyDescent="0.25">
      <c r="M172" s="17"/>
      <c r="N172" s="17"/>
      <c r="O172" s="17"/>
      <c r="P172" s="76"/>
    </row>
    <row r="173" spans="1:17" x14ac:dyDescent="0.25">
      <c r="M173" s="17"/>
      <c r="N173" s="17"/>
      <c r="O173" s="17"/>
      <c r="P173" s="76"/>
    </row>
    <row r="174" spans="1:17" x14ac:dyDescent="0.25">
      <c r="M174" s="17"/>
      <c r="N174" s="17"/>
      <c r="O174" s="17"/>
      <c r="P174" s="76"/>
    </row>
    <row r="175" spans="1:17" x14ac:dyDescent="0.25">
      <c r="M175" s="17"/>
      <c r="N175" s="17"/>
      <c r="O175" s="17"/>
      <c r="P175" s="76"/>
    </row>
    <row r="176" spans="1:17" x14ac:dyDescent="0.25">
      <c r="M176" s="17"/>
      <c r="N176" s="17"/>
      <c r="O176" s="17"/>
      <c r="P176" s="76"/>
    </row>
    <row r="177" spans="13:16" x14ac:dyDescent="0.25">
      <c r="M177" s="17"/>
      <c r="N177" s="17"/>
      <c r="O177" s="17"/>
      <c r="P177" s="76"/>
    </row>
    <row r="178" spans="13:16" x14ac:dyDescent="0.25">
      <c r="M178" s="17"/>
      <c r="N178" s="17"/>
      <c r="O178" s="17"/>
      <c r="P178" s="76"/>
    </row>
    <row r="179" spans="13:16" x14ac:dyDescent="0.25">
      <c r="M179" s="17"/>
      <c r="N179" s="17"/>
      <c r="O179" s="17"/>
      <c r="P179" s="76"/>
    </row>
    <row r="180" spans="13:16" x14ac:dyDescent="0.25">
      <c r="M180" s="17"/>
      <c r="N180" s="17"/>
      <c r="O180" s="17"/>
      <c r="P180" s="76"/>
    </row>
    <row r="181" spans="13:16" x14ac:dyDescent="0.25">
      <c r="M181" s="17"/>
      <c r="N181" s="17"/>
      <c r="O181" s="17"/>
      <c r="P181" s="76"/>
    </row>
    <row r="182" spans="13:16" x14ac:dyDescent="0.25">
      <c r="M182" s="17"/>
      <c r="N182" s="17"/>
      <c r="O182" s="17"/>
      <c r="P182" s="76"/>
    </row>
    <row r="183" spans="13:16" x14ac:dyDescent="0.25">
      <c r="M183" s="17"/>
      <c r="N183" s="17"/>
      <c r="O183" s="17"/>
      <c r="P183" s="76"/>
    </row>
    <row r="184" spans="13:16" x14ac:dyDescent="0.25">
      <c r="M184" s="17"/>
      <c r="N184" s="17"/>
      <c r="O184" s="17"/>
      <c r="P184" s="76"/>
    </row>
    <row r="185" spans="13:16" x14ac:dyDescent="0.25">
      <c r="M185" s="17"/>
      <c r="N185" s="17"/>
      <c r="O185" s="17"/>
      <c r="P185" s="76"/>
    </row>
    <row r="186" spans="13:16" x14ac:dyDescent="0.25">
      <c r="M186" s="17"/>
      <c r="N186" s="17"/>
      <c r="O186" s="17"/>
      <c r="P186" s="76"/>
    </row>
    <row r="187" spans="13:16" x14ac:dyDescent="0.25">
      <c r="M187" s="17"/>
      <c r="N187" s="17"/>
      <c r="O187" s="17"/>
      <c r="P187" s="76"/>
    </row>
    <row r="188" spans="13:16" x14ac:dyDescent="0.25">
      <c r="M188" s="17"/>
      <c r="N188" s="17"/>
      <c r="O188" s="17"/>
      <c r="P188" s="76"/>
    </row>
    <row r="189" spans="13:16" x14ac:dyDescent="0.25">
      <c r="M189" s="17"/>
      <c r="N189" s="17"/>
      <c r="O189" s="17"/>
      <c r="P189" s="76"/>
    </row>
    <row r="190" spans="13:16" x14ac:dyDescent="0.25">
      <c r="M190" s="17"/>
      <c r="N190" s="17"/>
      <c r="O190" s="17"/>
      <c r="P190" s="76"/>
    </row>
    <row r="191" spans="13:16" x14ac:dyDescent="0.25">
      <c r="M191" s="17"/>
      <c r="N191" s="17"/>
      <c r="O191" s="17"/>
      <c r="P191" s="76"/>
    </row>
    <row r="192" spans="13:16" x14ac:dyDescent="0.25">
      <c r="M192" s="17"/>
      <c r="N192" s="17"/>
      <c r="O192" s="17"/>
      <c r="P192" s="76"/>
    </row>
    <row r="193" spans="13:16" x14ac:dyDescent="0.25">
      <c r="M193" s="17"/>
      <c r="N193" s="17"/>
      <c r="O193" s="17"/>
      <c r="P193" s="76"/>
    </row>
    <row r="194" spans="13:16" x14ac:dyDescent="0.25">
      <c r="M194" s="17"/>
      <c r="N194" s="17"/>
      <c r="O194" s="17"/>
      <c r="P194" s="76"/>
    </row>
    <row r="195" spans="13:16" x14ac:dyDescent="0.25">
      <c r="M195" s="17"/>
      <c r="N195" s="17"/>
      <c r="O195" s="17"/>
      <c r="P195" s="76"/>
    </row>
    <row r="196" spans="13:16" x14ac:dyDescent="0.25">
      <c r="M196" s="17"/>
      <c r="N196" s="17"/>
      <c r="O196" s="17"/>
      <c r="P196" s="76"/>
    </row>
    <row r="197" spans="13:16" x14ac:dyDescent="0.25">
      <c r="M197" s="17"/>
      <c r="N197" s="17"/>
      <c r="O197" s="17"/>
      <c r="P197" s="76"/>
    </row>
    <row r="198" spans="13:16" x14ac:dyDescent="0.25">
      <c r="M198" s="17"/>
      <c r="N198" s="17"/>
      <c r="O198" s="17"/>
      <c r="P198" s="76"/>
    </row>
    <row r="199" spans="13:16" x14ac:dyDescent="0.25">
      <c r="M199" s="17"/>
      <c r="N199" s="17"/>
      <c r="O199" s="17"/>
      <c r="P199" s="76"/>
    </row>
    <row r="200" spans="13:16" x14ac:dyDescent="0.25">
      <c r="M200" s="17"/>
      <c r="N200" s="17"/>
      <c r="O200" s="17"/>
      <c r="P200" s="76"/>
    </row>
    <row r="201" spans="13:16" x14ac:dyDescent="0.25">
      <c r="M201" s="17"/>
      <c r="N201" s="17"/>
      <c r="O201" s="17"/>
      <c r="P201" s="76"/>
    </row>
    <row r="202" spans="13:16" x14ac:dyDescent="0.25">
      <c r="M202" s="17"/>
      <c r="N202" s="17"/>
      <c r="O202" s="17"/>
      <c r="P202" s="76"/>
    </row>
    <row r="203" spans="13:16" x14ac:dyDescent="0.25">
      <c r="M203" s="17"/>
      <c r="N203" s="17"/>
      <c r="O203" s="17"/>
      <c r="P203" s="76"/>
    </row>
    <row r="204" spans="13:16" x14ac:dyDescent="0.25">
      <c r="M204" s="17"/>
      <c r="N204" s="17"/>
      <c r="O204" s="17"/>
      <c r="P204" s="76"/>
    </row>
    <row r="205" spans="13:16" x14ac:dyDescent="0.25">
      <c r="M205" s="17"/>
      <c r="N205" s="17"/>
      <c r="O205" s="17"/>
      <c r="P205" s="76"/>
    </row>
    <row r="206" spans="13:16" x14ac:dyDescent="0.25">
      <c r="M206" s="17"/>
      <c r="N206" s="17"/>
      <c r="O206" s="17"/>
      <c r="P206" s="76"/>
    </row>
    <row r="207" spans="13:16" x14ac:dyDescent="0.25">
      <c r="M207" s="17"/>
      <c r="N207" s="17"/>
      <c r="O207" s="17"/>
      <c r="P207" s="76"/>
    </row>
    <row r="208" spans="13:16"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c r="P382" s="76"/>
    </row>
    <row r="383" spans="13:16" x14ac:dyDescent="0.25">
      <c r="M383" s="17"/>
      <c r="N383" s="17"/>
      <c r="O383" s="17"/>
      <c r="P383" s="76"/>
    </row>
    <row r="384" spans="13:16" x14ac:dyDescent="0.25">
      <c r="M384" s="17"/>
      <c r="N384" s="17"/>
      <c r="O384" s="17"/>
      <c r="P384" s="76"/>
    </row>
    <row r="385" spans="13:16" x14ac:dyDescent="0.25">
      <c r="M385" s="17"/>
      <c r="N385" s="17"/>
      <c r="O385" s="17"/>
      <c r="P385" s="76"/>
    </row>
    <row r="386" spans="13:16" x14ac:dyDescent="0.25">
      <c r="M386" s="17"/>
      <c r="N386" s="17"/>
      <c r="O386" s="17"/>
      <c r="P386" s="76"/>
    </row>
    <row r="387" spans="13:16" x14ac:dyDescent="0.25">
      <c r="M387" s="17"/>
      <c r="N387" s="17"/>
      <c r="O387" s="17"/>
      <c r="P387" s="76"/>
    </row>
    <row r="388" spans="13:16" x14ac:dyDescent="0.25">
      <c r="M388" s="17"/>
      <c r="N388" s="17"/>
      <c r="O388" s="17"/>
      <c r="P388" s="76"/>
    </row>
    <row r="389" spans="13:16" x14ac:dyDescent="0.25">
      <c r="M389" s="17"/>
      <c r="N389" s="17"/>
      <c r="O389" s="17"/>
      <c r="P389" s="76"/>
    </row>
    <row r="390" spans="13:16" x14ac:dyDescent="0.25">
      <c r="M390" s="17"/>
      <c r="N390" s="17"/>
      <c r="O390" s="17"/>
      <c r="P390" s="76"/>
    </row>
    <row r="391" spans="13:16" x14ac:dyDescent="0.25">
      <c r="M391" s="17"/>
      <c r="N391" s="17"/>
      <c r="O391" s="17"/>
      <c r="P391" s="76"/>
    </row>
    <row r="392" spans="13:16" x14ac:dyDescent="0.25">
      <c r="M392" s="17"/>
      <c r="N392" s="17"/>
      <c r="O392" s="17"/>
      <c r="P392" s="76"/>
    </row>
    <row r="393" spans="13:16" x14ac:dyDescent="0.25">
      <c r="M393" s="17"/>
      <c r="N393" s="17"/>
      <c r="O393" s="17"/>
      <c r="P393" s="76"/>
    </row>
    <row r="394" spans="13:16" x14ac:dyDescent="0.25">
      <c r="M394" s="17"/>
      <c r="N394" s="17"/>
      <c r="O394" s="17"/>
      <c r="P394" s="76"/>
    </row>
    <row r="395" spans="13:16" x14ac:dyDescent="0.25">
      <c r="M395" s="17"/>
      <c r="N395" s="17"/>
      <c r="O395" s="17"/>
      <c r="P395" s="76"/>
    </row>
    <row r="396" spans="13:16" x14ac:dyDescent="0.25">
      <c r="M396" s="17"/>
      <c r="N396" s="17"/>
      <c r="O396" s="17"/>
      <c r="P396" s="76"/>
    </row>
    <row r="397" spans="13:16" x14ac:dyDescent="0.25">
      <c r="M397" s="17"/>
      <c r="N397" s="17"/>
      <c r="O397" s="17"/>
      <c r="P397" s="76"/>
    </row>
    <row r="398" spans="13:16" x14ac:dyDescent="0.25">
      <c r="M398" s="17"/>
      <c r="N398" s="17"/>
      <c r="O398" s="17"/>
    </row>
    <row r="399" spans="13:16" x14ac:dyDescent="0.25">
      <c r="M399" s="17"/>
      <c r="N399" s="17"/>
      <c r="O399" s="17"/>
    </row>
    <row r="400" spans="13:16"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row r="834" spans="13:15" x14ac:dyDescent="0.25">
      <c r="M834" s="17"/>
      <c r="N834" s="17"/>
      <c r="O834" s="17"/>
    </row>
    <row r="835" spans="13:15" x14ac:dyDescent="0.25">
      <c r="M835" s="17"/>
      <c r="N835" s="17"/>
      <c r="O835" s="17"/>
    </row>
    <row r="836" spans="13:15" x14ac:dyDescent="0.25">
      <c r="M836" s="17"/>
      <c r="N836" s="17"/>
      <c r="O836" s="17"/>
    </row>
    <row r="837" spans="13:15" x14ac:dyDescent="0.25">
      <c r="M837" s="17"/>
      <c r="N837" s="17"/>
      <c r="O837" s="17"/>
    </row>
    <row r="838" spans="13:15" x14ac:dyDescent="0.25">
      <c r="M838" s="17"/>
      <c r="N838" s="17"/>
      <c r="O838" s="17"/>
    </row>
    <row r="839" spans="13:15" x14ac:dyDescent="0.25">
      <c r="M839" s="17"/>
      <c r="N839" s="17"/>
      <c r="O839" s="17"/>
    </row>
    <row r="840" spans="13:15" x14ac:dyDescent="0.25">
      <c r="M840" s="17"/>
      <c r="N840" s="17"/>
      <c r="O840" s="17"/>
    </row>
    <row r="841" spans="13:15" x14ac:dyDescent="0.25">
      <c r="M841" s="17"/>
      <c r="N841" s="17"/>
      <c r="O841" s="17"/>
    </row>
    <row r="842" spans="13:15" x14ac:dyDescent="0.25">
      <c r="M842" s="17"/>
      <c r="N842" s="17"/>
      <c r="O842" s="17"/>
    </row>
    <row r="843" spans="13:15" x14ac:dyDescent="0.25">
      <c r="M843" s="17"/>
      <c r="N843" s="17"/>
      <c r="O843" s="17"/>
    </row>
    <row r="844" spans="13:15" x14ac:dyDescent="0.25">
      <c r="M844" s="17"/>
      <c r="N844" s="17"/>
      <c r="O844" s="17"/>
    </row>
    <row r="845" spans="13:15" x14ac:dyDescent="0.25">
      <c r="M845" s="17"/>
      <c r="N845" s="17"/>
      <c r="O845" s="17"/>
    </row>
    <row r="846" spans="13:15" x14ac:dyDescent="0.25">
      <c r="M846" s="17"/>
      <c r="N846" s="17"/>
      <c r="O846" s="17"/>
    </row>
    <row r="847" spans="13:15" x14ac:dyDescent="0.25">
      <c r="M847" s="17"/>
      <c r="N847" s="17"/>
      <c r="O847" s="17"/>
    </row>
    <row r="848" spans="13:15" x14ac:dyDescent="0.25">
      <c r="M848" s="17"/>
      <c r="N848" s="17"/>
      <c r="O848" s="17"/>
    </row>
    <row r="849" spans="13:15" x14ac:dyDescent="0.25">
      <c r="M849" s="17"/>
      <c r="N849" s="17"/>
      <c r="O849" s="17"/>
    </row>
  </sheetData>
  <sheetProtection algorithmName="SHA-512" hashValue="c7QLw7QB+WCpOtFd9+aUlV0lu6RGCo5koXQWypiRg7o3H7EWhkFiklQd5BnrId0p8ZeQQcCU3Ax048NgDi9OiA==" saltValue="lm99hzIvIVIn3ydaOo/7VQ==" spinCount="100000" sheet="1" objects="1" scenarios="1" autoFilter="0"/>
  <autoFilter ref="A2:Q169"/>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66675</xdr:colOff>
                    <xdr:row>0</xdr:row>
                    <xdr:rowOff>66675</xdr:rowOff>
                  </from>
                  <to>
                    <xdr:col>0</xdr:col>
                    <xdr:colOff>942975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94"/>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F25" sqref="F25"/>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1</v>
      </c>
      <c r="C8" s="9">
        <f t="array" ref="C8">COUNT(FIND("output",$D8:$BY8))</f>
        <v>1</v>
      </c>
      <c r="D8" s="9"/>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6</v>
      </c>
      <c r="C58" s="9">
        <f t="array" ref="C58">COUNT(FIND("output",$D58:$BY58))</f>
        <v>1</v>
      </c>
      <c r="H58" t="s">
        <v>2671</v>
      </c>
      <c r="I58" t="s">
        <v>2661</v>
      </c>
      <c r="J58" t="s">
        <v>2671</v>
      </c>
      <c r="K58" t="s">
        <v>2671</v>
      </c>
      <c r="L58" t="s">
        <v>2671</v>
      </c>
      <c r="O58" t="s">
        <v>2671</v>
      </c>
      <c r="T58" t="s">
        <v>2671</v>
      </c>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0</v>
      </c>
      <c r="C87" s="9">
        <f t="array" ref="C87">COUNT(FIND("output",$D87:$BY87))</f>
        <v>1</v>
      </c>
      <c r="K87" t="s">
        <v>2661</v>
      </c>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0</v>
      </c>
      <c r="C88" s="9">
        <f t="array" ref="C88">COUNT(FIND("output",$D88:$BY88))</f>
        <v>1</v>
      </c>
      <c r="K88" t="s">
        <v>2661</v>
      </c>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PnmSys_pAirTank_PHY</v>
      </c>
      <c r="B129" s="9">
        <f t="array" ref="B129">COUNT(FIND("input",$D129:$BY129))</f>
        <v>1</v>
      </c>
      <c r="C129" s="9">
        <f t="array" ref="C129">COUNT(FIND("output",$D129:$BY129))</f>
        <v>1</v>
      </c>
      <c r="O129" t="s">
        <v>2661</v>
      </c>
      <c r="U129" t="s">
        <v>2671</v>
      </c>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AuxCtrl_swtAirCmpr_PHY</v>
      </c>
      <c r="B130" s="9">
        <f t="array" ref="B130">COUNT(FIND("input",$D130:$BY130))</f>
        <v>1</v>
      </c>
      <c r="C130" s="9">
        <f t="array" ref="C130">COUNT(FIND("output",$D130:$BY130))</f>
        <v>1</v>
      </c>
      <c r="N130" t="s">
        <v>2661</v>
      </c>
      <c r="U130" t="s">
        <v>2671</v>
      </c>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AuxCtrl_swtAirCmprOpertgMod_PHY</v>
      </c>
      <c r="B131" s="9">
        <f t="array" ref="B131">COUNT(FIND("input",$D131:$BY131))</f>
        <v>1</v>
      </c>
      <c r="C131" s="9">
        <f t="array" ref="C131">COUNT(FIND("output",$D131:$BY131))</f>
        <v>1</v>
      </c>
      <c r="N131" t="s">
        <v>2661</v>
      </c>
      <c r="U131" t="s">
        <v>2671</v>
      </c>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EnvMdl_tEnv_PHY</v>
      </c>
      <c r="B146" s="9">
        <f t="array" ref="B146">COUNT(FIND("input",$D146:$BY146))</f>
        <v>2</v>
      </c>
      <c r="C146" s="9">
        <f t="array" ref="C146">COUNT(FIND("output",$D146:$BY146))</f>
        <v>1</v>
      </c>
      <c r="F146" t="s">
        <v>2661</v>
      </c>
      <c r="J146" t="s">
        <v>2671</v>
      </c>
      <c r="L146" t="s">
        <v>2671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x14ac:dyDescent="0.25">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x14ac:dyDescent="0.25">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x14ac:dyDescent="0.25">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x14ac:dyDescent="0.25">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x14ac:dyDescent="0.25">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x14ac:dyDescent="0.25">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x14ac:dyDescent="0.25">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x14ac:dyDescent="0.25">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x14ac:dyDescent="0.25">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x14ac:dyDescent="0.25">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x14ac:dyDescent="0.25">
      <c r="A170" s="9" t="str">
        <f>IF(ISBLANK('Signal Definition'!J170),"",'Signal Definition'!J170)</f>
        <v/>
      </c>
      <c r="B170" s="9">
        <f t="array" ref="B170">COUNT(FIND("input",$D170:$BY170))</f>
        <v>0</v>
      </c>
      <c r="C170" s="9">
        <f t="array" ref="C170">COUNT(FIND("output",$D170:$BY170))</f>
        <v>0</v>
      </c>
    </row>
    <row r="171" spans="1:65" x14ac:dyDescent="0.25">
      <c r="A171" s="9" t="str">
        <f>IF(ISBLANK('Signal Definition'!J171),"",'Signal Definition'!J171)</f>
        <v/>
      </c>
      <c r="B171" s="9">
        <f t="array" ref="B171">COUNT(FIND("input",$D171:$BY171))</f>
        <v>0</v>
      </c>
      <c r="C171" s="9">
        <f t="array" ref="C171">COUNT(FIND("output",$D171:$BY171))</f>
        <v>0</v>
      </c>
    </row>
    <row r="172" spans="1:65" x14ac:dyDescent="0.25">
      <c r="A172" s="9" t="str">
        <f>IF(ISBLANK('Signal Definition'!J172),"",'Signal Definition'!J172)</f>
        <v/>
      </c>
      <c r="B172" s="9">
        <f t="array" ref="B172">COUNT(FIND("input",$D172:$BY172))</f>
        <v>0</v>
      </c>
      <c r="C172" s="9">
        <f t="array" ref="C172">COUNT(FIND("output",$D172:$BY172))</f>
        <v>0</v>
      </c>
    </row>
    <row r="173" spans="1:65" x14ac:dyDescent="0.25">
      <c r="A173" s="9" t="str">
        <f>IF(ISBLANK('Signal Definition'!J173),"",'Signal Definition'!J173)</f>
        <v/>
      </c>
      <c r="B173" s="9">
        <f t="array" ref="B173">COUNT(FIND("input",$D173:$BY173))</f>
        <v>0</v>
      </c>
      <c r="C173" s="9">
        <f t="array" ref="C173">COUNT(FIND("output",$D173:$BY173))</f>
        <v>0</v>
      </c>
    </row>
    <row r="174" spans="1:65" x14ac:dyDescent="0.25">
      <c r="A174" s="9" t="str">
        <f>IF(ISBLANK('Signal Definition'!J174),"",'Signal Definition'!J174)</f>
        <v/>
      </c>
      <c r="B174" s="9">
        <f t="array" ref="B174">COUNT(FIND("input",$D174:$BY174))</f>
        <v>0</v>
      </c>
      <c r="C174" s="9">
        <f t="array" ref="C174">COUNT(FIND("output",$D174:$BY174))</f>
        <v>0</v>
      </c>
    </row>
    <row r="175" spans="1:65" x14ac:dyDescent="0.25">
      <c r="A175" s="9" t="str">
        <f>IF(ISBLANK('Signal Definition'!J175),"",'Signal Definition'!J175)</f>
        <v/>
      </c>
      <c r="B175" s="9">
        <f t="array" ref="B175">COUNT(FIND("input",$D175:$BY175))</f>
        <v>0</v>
      </c>
      <c r="C175" s="9">
        <f t="array" ref="C175">COUNT(FIND("output",$D175:$BY175))</f>
        <v>0</v>
      </c>
    </row>
    <row r="176" spans="1:65" x14ac:dyDescent="0.25">
      <c r="A176" s="9" t="str">
        <f>IF(ISBLANK('Signal Definition'!J176),"",'Signal Definition'!J176)</f>
        <v/>
      </c>
      <c r="B176" s="9">
        <f t="array" ref="B176">COUNT(FIND("input",$D176:$BY176))</f>
        <v>0</v>
      </c>
      <c r="C176" s="9">
        <f t="array" ref="C176">COUNT(FIND("output",$D176:$BY176))</f>
        <v>0</v>
      </c>
    </row>
    <row r="177" spans="1:3" x14ac:dyDescent="0.25">
      <c r="A177" s="9" t="str">
        <f>IF(ISBLANK('Signal Definition'!J177),"",'Signal Definition'!J177)</f>
        <v/>
      </c>
      <c r="B177" s="9">
        <f t="array" ref="B177">COUNT(FIND("input",$D177:$BY177))</f>
        <v>0</v>
      </c>
      <c r="C177" s="9">
        <f t="array" ref="C177">COUNT(FIND("output",$D177:$BY177))</f>
        <v>0</v>
      </c>
    </row>
    <row r="178" spans="1:3" x14ac:dyDescent="0.25">
      <c r="A178" s="9" t="str">
        <f>IF(ISBLANK('Signal Definition'!J178),"",'Signal Definition'!J178)</f>
        <v/>
      </c>
      <c r="B178" s="9">
        <f t="array" ref="B178">COUNT(FIND("input",$D178:$BY178))</f>
        <v>0</v>
      </c>
      <c r="C178" s="9">
        <f t="array" ref="C178">COUNT(FIND("output",$D178:$BY178))</f>
        <v>0</v>
      </c>
    </row>
    <row r="179" spans="1:3" x14ac:dyDescent="0.25">
      <c r="A179" s="9" t="str">
        <f>IF(ISBLANK('Signal Definition'!J179),"",'Signal Definition'!J179)</f>
        <v/>
      </c>
      <c r="B179" s="9">
        <f t="array" ref="B179">COUNT(FIND("input",$D179:$BY179))</f>
        <v>0</v>
      </c>
      <c r="C179" s="9">
        <f t="array" ref="C179">COUNT(FIND("output",$D179:$BY179))</f>
        <v>0</v>
      </c>
    </row>
    <row r="180" spans="1:3" x14ac:dyDescent="0.25">
      <c r="A180" s="9" t="str">
        <f>IF(ISBLANK('Signal Definition'!J180),"",'Signal Definition'!J180)</f>
        <v/>
      </c>
      <c r="B180" s="9">
        <f t="array" ref="B180">COUNT(FIND("input",$D180:$BY180))</f>
        <v>0</v>
      </c>
      <c r="C180" s="9">
        <f t="array" ref="C180">COUNT(FIND("output",$D180:$BY180))</f>
        <v>0</v>
      </c>
    </row>
    <row r="181" spans="1:3" x14ac:dyDescent="0.25">
      <c r="A181" s="9" t="str">
        <f>IF(ISBLANK('Signal Definition'!J181),"",'Signal Definition'!J181)</f>
        <v/>
      </c>
      <c r="B181" s="9">
        <f t="array" ref="B181">COUNT(FIND("input",$D181:$BY181))</f>
        <v>0</v>
      </c>
      <c r="C181" s="9">
        <f t="array" ref="C181">COUNT(FIND("output",$D181:$BY181))</f>
        <v>0</v>
      </c>
    </row>
    <row r="182" spans="1:3" x14ac:dyDescent="0.25">
      <c r="A182" s="9" t="str">
        <f>IF(ISBLANK('Signal Definition'!J182),"",'Signal Definition'!J182)</f>
        <v/>
      </c>
      <c r="B182" s="9">
        <f t="array" ref="B182">COUNT(FIND("input",$D182:$BY182))</f>
        <v>0</v>
      </c>
      <c r="C182" s="9">
        <f t="array" ref="C182">COUNT(FIND("output",$D182:$BY182))</f>
        <v>0</v>
      </c>
    </row>
    <row r="183" spans="1:3" x14ac:dyDescent="0.25">
      <c r="A183" s="9" t="str">
        <f>IF(ISBLANK('Signal Definition'!J183),"",'Signal Definition'!J183)</f>
        <v/>
      </c>
      <c r="B183" s="9">
        <f t="array" ref="B183">COUNT(FIND("input",$D183:$BY183))</f>
        <v>0</v>
      </c>
      <c r="C183" s="9">
        <f t="array" ref="C183">COUNT(FIND("output",$D183:$BY183))</f>
        <v>0</v>
      </c>
    </row>
    <row r="184" spans="1:3" x14ac:dyDescent="0.25">
      <c r="A184" s="9" t="str">
        <f>IF(ISBLANK('Signal Definition'!J184),"",'Signal Definition'!J184)</f>
        <v/>
      </c>
      <c r="B184" s="9">
        <f t="array" ref="B184">COUNT(FIND("input",$D184:$BY184))</f>
        <v>0</v>
      </c>
      <c r="C184" s="9">
        <f t="array" ref="C184">COUNT(FIND("output",$D184:$BY184))</f>
        <v>0</v>
      </c>
    </row>
    <row r="185" spans="1:3" x14ac:dyDescent="0.25">
      <c r="A185" s="9" t="str">
        <f>IF(ISBLANK('Signal Definition'!J185),"",'Signal Definition'!J185)</f>
        <v/>
      </c>
      <c r="B185" s="9">
        <f t="array" ref="B185">COUNT(FIND("input",$D185:$BY185))</f>
        <v>0</v>
      </c>
      <c r="C185" s="9">
        <f t="array" ref="C185">COUNT(FIND("output",$D185:$BY185))</f>
        <v>0</v>
      </c>
    </row>
    <row r="186" spans="1:3" x14ac:dyDescent="0.25">
      <c r="A186" s="9" t="str">
        <f>IF(ISBLANK('Signal Definition'!J186),"",'Signal Definition'!J186)</f>
        <v/>
      </c>
      <c r="B186" s="9">
        <f t="array" ref="B186">COUNT(FIND("input",$D186:$BY186))</f>
        <v>0</v>
      </c>
      <c r="C186" s="9">
        <f t="array" ref="C186">COUNT(FIND("output",$D186:$BY186))</f>
        <v>0</v>
      </c>
    </row>
    <row r="187" spans="1:3" x14ac:dyDescent="0.25">
      <c r="A187" s="9" t="str">
        <f>IF(ISBLANK('Signal Definition'!J187),"",'Signal Definition'!J187)</f>
        <v/>
      </c>
      <c r="B187" s="9">
        <f t="array" ref="B187">COUNT(FIND("input",$D187:$BY187))</f>
        <v>0</v>
      </c>
      <c r="C187" s="9">
        <f t="array" ref="C187">COUNT(FIND("output",$D187:$BY187))</f>
        <v>0</v>
      </c>
    </row>
    <row r="188" spans="1:3" x14ac:dyDescent="0.25">
      <c r="A188" s="9" t="str">
        <f>IF(ISBLANK('Signal Definition'!J188),"",'Signal Definition'!J188)</f>
        <v/>
      </c>
      <c r="B188" s="9">
        <f t="array" ref="B188">COUNT(FIND("input",$D188:$BY188))</f>
        <v>0</v>
      </c>
      <c r="C188" s="9">
        <f t="array" ref="C188">COUNT(FIND("output",$D188:$BY188))</f>
        <v>0</v>
      </c>
    </row>
    <row r="189" spans="1:3" x14ac:dyDescent="0.25">
      <c r="A189" s="9" t="str">
        <f>IF(ISBLANK('Signal Definition'!J189),"",'Signal Definition'!J189)</f>
        <v/>
      </c>
      <c r="B189" s="9">
        <f t="array" ref="B189">COUNT(FIND("input",$D189:$BY189))</f>
        <v>0</v>
      </c>
      <c r="C189" s="9">
        <f t="array" ref="C189">COUNT(FIND("output",$D189:$BY189))</f>
        <v>0</v>
      </c>
    </row>
    <row r="190" spans="1:3" x14ac:dyDescent="0.25">
      <c r="A190" s="9" t="str">
        <f>IF(ISBLANK('Signal Definition'!J190),"",'Signal Definition'!J190)</f>
        <v/>
      </c>
      <c r="B190" s="9">
        <f t="array" ref="B190">COUNT(FIND("input",$D190:$BY190))</f>
        <v>0</v>
      </c>
      <c r="C190" s="9">
        <f t="array" ref="C190">COUNT(FIND("output",$D190:$BY190))</f>
        <v>0</v>
      </c>
    </row>
    <row r="191" spans="1:3" x14ac:dyDescent="0.25">
      <c r="A191" s="9" t="str">
        <f>IF(ISBLANK('Signal Definition'!J191),"",'Signal Definition'!J191)</f>
        <v/>
      </c>
      <c r="B191" s="9">
        <f t="array" ref="B191">COUNT(FIND("input",$D191:$BY191))</f>
        <v>0</v>
      </c>
      <c r="C191" s="9">
        <f t="array" ref="C191">COUNT(FIND("output",$D191:$BY191))</f>
        <v>0</v>
      </c>
    </row>
    <row r="192" spans="1:3" x14ac:dyDescent="0.25">
      <c r="A192" s="9" t="str">
        <f>IF(ISBLANK('Signal Definition'!J192),"",'Signal Definition'!J192)</f>
        <v/>
      </c>
      <c r="B192" s="9">
        <f t="array" ref="B192">COUNT(FIND("input",$D192:$BY192))</f>
        <v>0</v>
      </c>
      <c r="C192" s="9">
        <f t="array" ref="C192">COUNT(FIND("output",$D192:$BY192))</f>
        <v>0</v>
      </c>
    </row>
    <row r="193" spans="1:3" x14ac:dyDescent="0.25">
      <c r="A193" s="9" t="str">
        <f>IF(ISBLANK('Signal Definition'!J193),"",'Signal Definition'!J193)</f>
        <v/>
      </c>
      <c r="B193" s="9">
        <f t="array" ref="B193">COUNT(FIND("input",$D193:$BY193))</f>
        <v>0</v>
      </c>
      <c r="C193" s="9">
        <f t="array" ref="C193">COUNT(FIND("output",$D193:$BY193))</f>
        <v>0</v>
      </c>
    </row>
    <row r="194" spans="1:3" x14ac:dyDescent="0.25">
      <c r="A194" s="9" t="str">
        <f>IF(ISBLANK('Signal Definition'!J194),"",'Signal Definition'!J194)</f>
        <v/>
      </c>
      <c r="B194" s="9">
        <f t="array" ref="B194">COUNT(FIND("input",$D194:$BY194))</f>
        <v>0</v>
      </c>
      <c r="C194" s="9">
        <f t="array" ref="C194">COUNT(FIND("output",$D194:$BY194))</f>
        <v>0</v>
      </c>
    </row>
    <row r="195" spans="1:3" x14ac:dyDescent="0.25">
      <c r="A195" s="9" t="str">
        <f>IF(ISBLANK('Signal Definition'!J195),"",'Signal Definition'!J195)</f>
        <v/>
      </c>
      <c r="B195" s="9">
        <f t="array" ref="B195">COUNT(FIND("input",$D195:$BY195))</f>
        <v>0</v>
      </c>
      <c r="C195" s="9">
        <f t="array" ref="C195">COUNT(FIND("output",$D195:$BY195))</f>
        <v>0</v>
      </c>
    </row>
    <row r="196" spans="1:3" x14ac:dyDescent="0.25">
      <c r="A196" s="9" t="str">
        <f>IF(ISBLANK('Signal Definition'!J196),"",'Signal Definition'!J196)</f>
        <v/>
      </c>
      <c r="B196" s="9">
        <f t="array" ref="B196">COUNT(FIND("input",$D196:$BY196))</f>
        <v>0</v>
      </c>
      <c r="C196" s="9">
        <f t="array" ref="C196">COUNT(FIND("output",$D196:$BY196))</f>
        <v>0</v>
      </c>
    </row>
    <row r="197" spans="1:3" x14ac:dyDescent="0.25">
      <c r="A197" s="9" t="str">
        <f>IF(ISBLANK('Signal Definition'!J197),"",'Signal Definition'!J197)</f>
        <v/>
      </c>
      <c r="B197" s="9">
        <f t="array" ref="B197">COUNT(FIND("input",$D197:$BY197))</f>
        <v>0</v>
      </c>
      <c r="C197" s="9">
        <f t="array" ref="C197">COUNT(FIND("output",$D197:$BY197))</f>
        <v>0</v>
      </c>
    </row>
    <row r="198" spans="1:3" x14ac:dyDescent="0.25">
      <c r="A198" s="9" t="str">
        <f>IF(ISBLANK('Signal Definition'!J198),"",'Signal Definition'!J198)</f>
        <v/>
      </c>
      <c r="B198" s="9">
        <f t="array" ref="B198">COUNT(FIND("input",$D198:$BY198))</f>
        <v>0</v>
      </c>
      <c r="C198" s="9">
        <f t="array" ref="C198">COUNT(FIND("output",$D198:$BY198))</f>
        <v>0</v>
      </c>
    </row>
    <row r="199" spans="1:3" x14ac:dyDescent="0.25">
      <c r="A199" s="9" t="str">
        <f>IF(ISBLANK('Signal Definition'!J199),"",'Signal Definition'!J199)</f>
        <v/>
      </c>
      <c r="B199" s="9">
        <f t="array" ref="B199">COUNT(FIND("input",$D199:$BY199))</f>
        <v>0</v>
      </c>
      <c r="C199" s="9">
        <f t="array" ref="C199">COUNT(FIND("output",$D199:$BY199))</f>
        <v>0</v>
      </c>
    </row>
    <row r="200" spans="1:3" x14ac:dyDescent="0.25">
      <c r="A200" s="9" t="str">
        <f>IF(ISBLANK('Signal Definition'!J200),"",'Signal Definition'!J200)</f>
        <v/>
      </c>
      <c r="B200" s="9">
        <f t="array" ref="B200">COUNT(FIND("input",$D200:$BY200))</f>
        <v>0</v>
      </c>
      <c r="C200" s="9">
        <f t="array" ref="C200">COUNT(FIND("output",$D200:$BY200))</f>
        <v>0</v>
      </c>
    </row>
    <row r="201" spans="1:3" x14ac:dyDescent="0.25">
      <c r="A201" s="9" t="str">
        <f>IF(ISBLANK('Signal Definition'!J201),"",'Signal Definition'!J201)</f>
        <v/>
      </c>
      <c r="B201" s="9">
        <f t="array" ref="B201">COUNT(FIND("input",$D201:$BY201))</f>
        <v>0</v>
      </c>
      <c r="C201" s="9">
        <f t="array" ref="C201">COUNT(FIND("output",$D201:$BY201))</f>
        <v>0</v>
      </c>
    </row>
    <row r="202" spans="1:3" x14ac:dyDescent="0.25">
      <c r="A202" s="9" t="str">
        <f>IF(ISBLANK('Signal Definition'!J202),"",'Signal Definition'!J202)</f>
        <v/>
      </c>
      <c r="B202" s="9">
        <f t="array" ref="B202">COUNT(FIND("input",$D202:$BY202))</f>
        <v>0</v>
      </c>
      <c r="C202" s="9">
        <f t="array" ref="C202">COUNT(FIND("output",$D202:$BY202))</f>
        <v>0</v>
      </c>
    </row>
    <row r="203" spans="1:3" x14ac:dyDescent="0.25">
      <c r="A203" s="9" t="str">
        <f>IF(ISBLANK('Signal Definition'!J203),"",'Signal Definition'!J203)</f>
        <v/>
      </c>
      <c r="B203" s="9">
        <f t="array" ref="B203">COUNT(FIND("input",$D203:$BY203))</f>
        <v>0</v>
      </c>
      <c r="C203" s="9">
        <f t="array" ref="C203">COUNT(FIND("output",$D203:$BY203))</f>
        <v>0</v>
      </c>
    </row>
    <row r="204" spans="1:3" x14ac:dyDescent="0.25">
      <c r="A204" s="9" t="str">
        <f>IF(ISBLANK('Signal Definition'!J204),"",'Signal Definition'!J204)</f>
        <v/>
      </c>
      <c r="B204" s="9">
        <f t="array" ref="B204">COUNT(FIND("input",$D204:$BY204))</f>
        <v>0</v>
      </c>
      <c r="C204" s="9">
        <f t="array" ref="C204">COUNT(FIND("output",$D204:$BY204))</f>
        <v>0</v>
      </c>
    </row>
    <row r="205" spans="1:3" x14ac:dyDescent="0.25">
      <c r="A205" s="9" t="str">
        <f>IF(ISBLANK('Signal Definition'!J205),"",'Signal Definition'!J205)</f>
        <v/>
      </c>
      <c r="B205" s="9">
        <f t="array" ref="B205">COUNT(FIND("input",$D205:$BY205))</f>
        <v>0</v>
      </c>
      <c r="C205" s="9">
        <f t="array" ref="C205">COUNT(FIND("output",$D205:$BY205))</f>
        <v>0</v>
      </c>
    </row>
    <row r="206" spans="1:3" x14ac:dyDescent="0.25">
      <c r="A206" s="9" t="str">
        <f>IF(ISBLANK('Signal Definition'!J206),"",'Signal Definition'!J206)</f>
        <v/>
      </c>
      <c r="B206" s="9">
        <f t="array" ref="B206">COUNT(FIND("input",$D206:$BY206))</f>
        <v>0</v>
      </c>
      <c r="C206" s="9">
        <f t="array" ref="C206">COUNT(FIND("output",$D206:$BY206))</f>
        <v>0</v>
      </c>
    </row>
    <row r="207" spans="1:3" x14ac:dyDescent="0.25">
      <c r="A207" s="9" t="str">
        <f>IF(ISBLANK('Signal Definition'!J207),"",'Signal Definition'!J207)</f>
        <v/>
      </c>
      <c r="B207" s="9">
        <f t="array" ref="B207">COUNT(FIND("input",$D207:$BY207))</f>
        <v>0</v>
      </c>
      <c r="C207" s="9">
        <f t="array" ref="C207">COUNT(FIND("output",$D207:$BY207))</f>
        <v>0</v>
      </c>
    </row>
    <row r="208" spans="1:3" x14ac:dyDescent="0.25">
      <c r="A208" s="9" t="str">
        <f>IF(ISBLANK('Signal Definition'!J208),"",'Signal Definition'!J208)</f>
        <v/>
      </c>
      <c r="B208" s="9">
        <f t="array" ref="B208">COUNT(FIND("input",$D208:$BY208))</f>
        <v>0</v>
      </c>
      <c r="C208" s="9">
        <f t="array" ref="C208">COUNT(FIND("output",$D208:$BY208))</f>
        <v>0</v>
      </c>
    </row>
    <row r="209" spans="1:3" x14ac:dyDescent="0.25">
      <c r="A209" s="9" t="str">
        <f>IF(ISBLANK('Signal Definition'!J209),"",'Signal Definition'!J209)</f>
        <v/>
      </c>
      <c r="B209" s="9">
        <f t="array" ref="B209">COUNT(FIND("input",$D209:$BY209))</f>
        <v>0</v>
      </c>
      <c r="C209" s="9">
        <f t="array" ref="C209">COUNT(FIND("output",$D209:$BY209))</f>
        <v>0</v>
      </c>
    </row>
    <row r="210" spans="1:3" x14ac:dyDescent="0.25">
      <c r="A210" s="9" t="str">
        <f>IF(ISBLANK('Signal Definition'!J210),"",'Signal Definition'!J210)</f>
        <v/>
      </c>
      <c r="B210" s="9">
        <f t="array" ref="B210">COUNT(FIND("input",$D210:$BY210))</f>
        <v>0</v>
      </c>
      <c r="C210" s="9">
        <f t="array" ref="C210">COUNT(FIND("output",$D210:$BY210))</f>
        <v>0</v>
      </c>
    </row>
    <row r="211" spans="1:3" x14ac:dyDescent="0.25">
      <c r="A211" s="9" t="str">
        <f>IF(ISBLANK('Signal Definition'!J211),"",'Signal Definition'!J211)</f>
        <v/>
      </c>
      <c r="B211" s="9">
        <f t="array" ref="B211">COUNT(FIND("input",$D211:$BY211))</f>
        <v>0</v>
      </c>
      <c r="C211" s="9">
        <f t="array" ref="C211">COUNT(FIND("output",$D211:$BY211))</f>
        <v>0</v>
      </c>
    </row>
    <row r="212" spans="1:3" x14ac:dyDescent="0.25">
      <c r="A212" s="9" t="str">
        <f>IF(ISBLANK('Signal Definition'!J212),"",'Signal Definition'!J212)</f>
        <v/>
      </c>
      <c r="B212" s="9">
        <f t="array" ref="B212">COUNT(FIND("input",$D212:$BY212))</f>
        <v>0</v>
      </c>
      <c r="C212" s="9">
        <f t="array" ref="C212">COUNT(FIND("output",$D212:$BY212))</f>
        <v>0</v>
      </c>
    </row>
    <row r="213" spans="1:3" x14ac:dyDescent="0.25">
      <c r="A213" s="9" t="str">
        <f>IF(ISBLANK('Signal Definition'!J213),"",'Signal Definition'!J213)</f>
        <v/>
      </c>
      <c r="B213" s="9">
        <f t="array" ref="B213">COUNT(FIND("input",$D213:$BY213))</f>
        <v>0</v>
      </c>
      <c r="C213" s="9">
        <f t="array" ref="C213">COUNT(FIND("output",$D213:$BY213))</f>
        <v>0</v>
      </c>
    </row>
    <row r="214" spans="1:3" x14ac:dyDescent="0.25">
      <c r="A214" s="9" t="str">
        <f>IF(ISBLANK('Signal Definition'!J214),"",'Signal Definition'!J214)</f>
        <v/>
      </c>
      <c r="B214" s="9">
        <f t="array" ref="B214">COUNT(FIND("input",$D214:$BY214))</f>
        <v>0</v>
      </c>
      <c r="C214" s="9">
        <f t="array" ref="C214">COUNT(FIND("output",$D214:$BY214))</f>
        <v>0</v>
      </c>
    </row>
    <row r="215" spans="1:3" x14ac:dyDescent="0.25">
      <c r="A215" s="9" t="str">
        <f>IF(ISBLANK('Signal Definition'!J215),"",'Signal Definition'!J215)</f>
        <v/>
      </c>
      <c r="B215" s="9">
        <f t="array" ref="B215">COUNT(FIND("input",$D215:$BY215))</f>
        <v>0</v>
      </c>
      <c r="C215" s="9">
        <f t="array" ref="C215">COUNT(FIND("output",$D215:$BY215))</f>
        <v>0</v>
      </c>
    </row>
    <row r="216" spans="1:3" x14ac:dyDescent="0.25">
      <c r="A216" s="9" t="str">
        <f>IF(ISBLANK('Signal Definition'!J216),"",'Signal Definition'!J216)</f>
        <v/>
      </c>
      <c r="B216" s="9">
        <f t="array" ref="B216">COUNT(FIND("input",$D216:$BY216))</f>
        <v>0</v>
      </c>
      <c r="C216" s="9">
        <f t="array" ref="C216">COUNT(FIND("output",$D216:$BY216))</f>
        <v>0</v>
      </c>
    </row>
    <row r="217" spans="1:3" x14ac:dyDescent="0.25">
      <c r="A217" s="9" t="str">
        <f>IF(ISBLANK('Signal Definition'!J217),"",'Signal Definition'!J217)</f>
        <v/>
      </c>
      <c r="B217" s="9">
        <f t="array" ref="B217">COUNT(FIND("input",$D217:$BY217))</f>
        <v>0</v>
      </c>
      <c r="C217" s="9">
        <f t="array" ref="C217">COUNT(FIND("output",$D217:$BY217))</f>
        <v>0</v>
      </c>
    </row>
    <row r="218" spans="1:3" x14ac:dyDescent="0.25">
      <c r="A218" s="9" t="str">
        <f>IF(ISBLANK('Signal Definition'!J218),"",'Signal Definition'!J218)</f>
        <v/>
      </c>
      <c r="B218" s="9">
        <f t="array" ref="B218">COUNT(FIND("input",$D218:$BY218))</f>
        <v>0</v>
      </c>
      <c r="C218" s="9">
        <f t="array" ref="C218">COUNT(FIND("output",$D218:$BY218))</f>
        <v>0</v>
      </c>
    </row>
    <row r="219" spans="1:3" x14ac:dyDescent="0.25">
      <c r="A219" s="9" t="str">
        <f>IF(ISBLANK('Signal Definition'!J219),"",'Signal Definition'!J219)</f>
        <v/>
      </c>
      <c r="B219" s="9">
        <f t="array" ref="B219">COUNT(FIND("input",$D219:$BY219))</f>
        <v>0</v>
      </c>
      <c r="C219" s="9">
        <f t="array" ref="C219">COUNT(FIND("output",$D219:$BY219))</f>
        <v>0</v>
      </c>
    </row>
    <row r="220" spans="1:3" x14ac:dyDescent="0.25">
      <c r="A220" s="9" t="str">
        <f>IF(ISBLANK('Signal Definition'!J220),"",'Signal Definition'!J220)</f>
        <v/>
      </c>
      <c r="B220" s="9">
        <f t="array" ref="B220">COUNT(FIND("input",$D220:$BY220))</f>
        <v>0</v>
      </c>
      <c r="C220" s="9">
        <f t="array" ref="C220">COUNT(FIND("output",$D220:$BY220))</f>
        <v>0</v>
      </c>
    </row>
    <row r="221" spans="1:3" x14ac:dyDescent="0.25">
      <c r="A221" s="9" t="str">
        <f>IF(ISBLANK('Signal Definition'!J221),"",'Signal Definition'!J221)</f>
        <v/>
      </c>
      <c r="B221" s="9">
        <f t="array" ref="B221">COUNT(FIND("input",$D221:$BY221))</f>
        <v>0</v>
      </c>
      <c r="C221" s="9">
        <f t="array" ref="C221">COUNT(FIND("output",$D221:$BY221))</f>
        <v>0</v>
      </c>
    </row>
    <row r="222" spans="1:3" x14ac:dyDescent="0.25">
      <c r="A222" s="9" t="str">
        <f>IF(ISBLANK('Signal Definition'!J222),"",'Signal Definition'!J222)</f>
        <v/>
      </c>
      <c r="B222" s="9">
        <f t="array" ref="B222">COUNT(FIND("input",$D222:$BY222))</f>
        <v>0</v>
      </c>
      <c r="C222" s="9">
        <f t="array" ref="C222">COUNT(FIND("output",$D222:$BY222))</f>
        <v>0</v>
      </c>
    </row>
    <row r="223" spans="1:3" x14ac:dyDescent="0.25">
      <c r="A223" s="9" t="str">
        <f>IF(ISBLANK('Signal Definition'!J223),"",'Signal Definition'!J223)</f>
        <v/>
      </c>
      <c r="B223" s="9">
        <f t="array" ref="B223">COUNT(FIND("input",$D223:$BY223))</f>
        <v>0</v>
      </c>
      <c r="C223" s="9">
        <f t="array" ref="C223">COUNT(FIND("output",$D223:$BY223))</f>
        <v>0</v>
      </c>
    </row>
    <row r="224" spans="1:3" x14ac:dyDescent="0.25">
      <c r="A224" s="9" t="str">
        <f>IF(ISBLANK('Signal Definition'!J224),"",'Signal Definition'!J224)</f>
        <v/>
      </c>
      <c r="B224" s="9">
        <f t="array" ref="B224">COUNT(FIND("input",$D224:$BY224))</f>
        <v>0</v>
      </c>
      <c r="C224" s="9">
        <f t="array" ref="C224">COUNT(FIND("output",$D224:$BY224))</f>
        <v>0</v>
      </c>
    </row>
    <row r="225" spans="1:3" x14ac:dyDescent="0.25">
      <c r="A225" s="9" t="str">
        <f>IF(ISBLANK('Signal Definition'!J225),"",'Signal Definition'!J225)</f>
        <v/>
      </c>
      <c r="B225" s="9">
        <f t="array" ref="B225">COUNT(FIND("input",$D225:$BY225))</f>
        <v>0</v>
      </c>
      <c r="C225" s="9">
        <f t="array" ref="C225">COUNT(FIND("output",$D225:$BY225))</f>
        <v>0</v>
      </c>
    </row>
    <row r="226" spans="1:3" x14ac:dyDescent="0.25">
      <c r="A226" s="9" t="str">
        <f>IF(ISBLANK('Signal Definition'!J226),"",'Signal Definition'!J226)</f>
        <v/>
      </c>
      <c r="B226" s="9">
        <f t="array" ref="B226">COUNT(FIND("input",$D226:$BY226))</f>
        <v>0</v>
      </c>
      <c r="C226" s="9">
        <f t="array" ref="C226">COUNT(FIND("output",$D226:$BY226))</f>
        <v>0</v>
      </c>
    </row>
    <row r="227" spans="1:3" x14ac:dyDescent="0.25">
      <c r="A227" s="9" t="str">
        <f>IF(ISBLANK('Signal Definition'!J227),"",'Signal Definition'!J227)</f>
        <v/>
      </c>
      <c r="B227" s="9">
        <f t="array" ref="B227">COUNT(FIND("input",$D227:$BY227))</f>
        <v>0</v>
      </c>
      <c r="C227" s="9">
        <f t="array" ref="C227">COUNT(FIND("output",$D227:$BY227))</f>
        <v>0</v>
      </c>
    </row>
    <row r="228" spans="1:3" x14ac:dyDescent="0.25">
      <c r="A228" s="9" t="str">
        <f>IF(ISBLANK('Signal Definition'!J228),"",'Signal Definition'!J228)</f>
        <v/>
      </c>
      <c r="B228" s="9">
        <f t="array" ref="B228">COUNT(FIND("input",$D228:$BY228))</f>
        <v>0</v>
      </c>
      <c r="C228" s="9">
        <f t="array" ref="C228">COUNT(FIND("output",$D228:$BY228))</f>
        <v>0</v>
      </c>
    </row>
    <row r="229" spans="1:3" x14ac:dyDescent="0.25">
      <c r="A229" s="9" t="str">
        <f>IF(ISBLANK('Signal Definition'!J229),"",'Signal Definition'!J229)</f>
        <v/>
      </c>
      <c r="B229" s="9">
        <f t="array" ref="B229">COUNT(FIND("input",$D229:$BY229))</f>
        <v>0</v>
      </c>
      <c r="C229" s="9">
        <f t="array" ref="C229">COUNT(FIND("output",$D229:$BY229))</f>
        <v>0</v>
      </c>
    </row>
    <row r="230" spans="1:3" x14ac:dyDescent="0.25">
      <c r="A230" s="9" t="str">
        <f>IF(ISBLANK('Signal Definition'!J230),"",'Signal Definition'!J230)</f>
        <v/>
      </c>
      <c r="B230" s="9">
        <f t="array" ref="B230">COUNT(FIND("input",$D230:$BY230))</f>
        <v>0</v>
      </c>
      <c r="C230" s="9">
        <f t="array" ref="C230">COUNT(FIND("output",$D230:$BY230))</f>
        <v>0</v>
      </c>
    </row>
    <row r="231" spans="1:3" x14ac:dyDescent="0.25">
      <c r="A231" s="9" t="str">
        <f>IF(ISBLANK('Signal Definition'!J231),"",'Signal Definition'!J231)</f>
        <v/>
      </c>
      <c r="B231" s="9">
        <f t="array" ref="B231">COUNT(FIND("input",$D231:$BY231))</f>
        <v>0</v>
      </c>
      <c r="C231" s="9">
        <f t="array" ref="C231">COUNT(FIND("output",$D231:$BY231))</f>
        <v>0</v>
      </c>
    </row>
    <row r="232" spans="1:3" x14ac:dyDescent="0.25">
      <c r="A232" s="9" t="str">
        <f>IF(ISBLANK('Signal Definition'!J232),"",'Signal Definition'!J232)</f>
        <v/>
      </c>
      <c r="B232" s="9">
        <f t="array" ref="B232">COUNT(FIND("input",$D232:$BY232))</f>
        <v>0</v>
      </c>
      <c r="C232" s="9">
        <f t="array" ref="C232">COUNT(FIND("output",$D232:$BY232))</f>
        <v>0</v>
      </c>
    </row>
    <row r="233" spans="1:3" x14ac:dyDescent="0.25">
      <c r="A233" s="9" t="str">
        <f>IF(ISBLANK('Signal Definition'!J233),"",'Signal Definition'!J233)</f>
        <v/>
      </c>
      <c r="B233" s="9">
        <f t="array" ref="B233">COUNT(FIND("input",$D233:$BY233))</f>
        <v>0</v>
      </c>
      <c r="C233" s="9">
        <f t="array" ref="C233">COUNT(FIND("output",$D233:$BY233))</f>
        <v>0</v>
      </c>
    </row>
    <row r="234" spans="1:3" x14ac:dyDescent="0.25">
      <c r="A234" s="9" t="str">
        <f>IF(ISBLANK('Signal Definition'!J234),"",'Signal Definition'!J234)</f>
        <v/>
      </c>
      <c r="B234" s="9">
        <f t="array" ref="B234">COUNT(FIND("input",$D234:$BY234))</f>
        <v>0</v>
      </c>
      <c r="C234" s="9">
        <f t="array" ref="C234">COUNT(FIND("output",$D234:$BY234))</f>
        <v>0</v>
      </c>
    </row>
    <row r="235" spans="1:3" x14ac:dyDescent="0.25">
      <c r="A235" s="9" t="str">
        <f>IF(ISBLANK('Signal Definition'!J235),"",'Signal Definition'!J235)</f>
        <v/>
      </c>
      <c r="B235" s="9">
        <f t="array" ref="B235">COUNT(FIND("input",$D235:$BY235))</f>
        <v>0</v>
      </c>
      <c r="C235" s="9">
        <f t="array" ref="C235">COUNT(FIND("output",$D235:$BY235))</f>
        <v>0</v>
      </c>
    </row>
    <row r="236" spans="1:3" x14ac:dyDescent="0.25">
      <c r="A236" s="9" t="str">
        <f>IF(ISBLANK('Signal Definition'!J236),"",'Signal Definition'!J236)</f>
        <v/>
      </c>
      <c r="B236" s="9">
        <f t="array" ref="B236">COUNT(FIND("input",$D236:$BY236))</f>
        <v>0</v>
      </c>
      <c r="C236" s="9">
        <f t="array" ref="C236">COUNT(FIND("output",$D236:$BY236))</f>
        <v>0</v>
      </c>
    </row>
    <row r="237" spans="1:3" x14ac:dyDescent="0.25">
      <c r="A237" s="9" t="str">
        <f>IF(ISBLANK('Signal Definition'!J237),"",'Signal Definition'!J237)</f>
        <v/>
      </c>
      <c r="B237" s="9">
        <f t="array" ref="B237">COUNT(FIND("input",$D237:$BY237))</f>
        <v>0</v>
      </c>
      <c r="C237" s="9">
        <f t="array" ref="C237">COUNT(FIND("output",$D237:$BY237))</f>
        <v>0</v>
      </c>
    </row>
    <row r="238" spans="1:3" x14ac:dyDescent="0.25">
      <c r="A238" s="9" t="str">
        <f>IF(ISBLANK('Signal Definition'!J238),"",'Signal Definition'!J238)</f>
        <v/>
      </c>
      <c r="B238" s="9">
        <f t="array" ref="B238">COUNT(FIND("input",$D238:$BY238))</f>
        <v>0</v>
      </c>
      <c r="C238" s="9">
        <f t="array" ref="C238">COUNT(FIND("output",$D238:$BY238))</f>
        <v>0</v>
      </c>
    </row>
    <row r="239" spans="1:3" x14ac:dyDescent="0.25">
      <c r="A239" s="9" t="str">
        <f>IF(ISBLANK('Signal Definition'!J239),"",'Signal Definition'!J239)</f>
        <v/>
      </c>
      <c r="B239" s="9">
        <f t="array" ref="B239">COUNT(FIND("input",$D239:$BY239))</f>
        <v>0</v>
      </c>
      <c r="C239" s="9">
        <f t="array" ref="C239">COUNT(FIND("output",$D239:$BY239))</f>
        <v>0</v>
      </c>
    </row>
    <row r="240" spans="1:3"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row r="1080" spans="1:3" x14ac:dyDescent="0.25">
      <c r="A1080" s="9" t="str">
        <f>IF(ISBLANK('Signal Definition'!J1080),"",'Signal Definition'!J1080)</f>
        <v/>
      </c>
      <c r="B1080" s="9">
        <f t="array" ref="B1080">COUNT(FIND("input",$D1080:$BY1080))</f>
        <v>0</v>
      </c>
      <c r="C1080" s="9">
        <f t="array" ref="C1080">COUNT(FIND("output",$D1080:$BY1080))</f>
        <v>0</v>
      </c>
    </row>
    <row r="1081" spans="1:3" x14ac:dyDescent="0.25">
      <c r="A1081" s="9" t="str">
        <f>IF(ISBLANK('Signal Definition'!J1081),"",'Signal Definition'!J1081)</f>
        <v/>
      </c>
      <c r="B1081" s="9">
        <f t="array" ref="B1081">COUNT(FIND("input",$D1081:$BY1081))</f>
        <v>0</v>
      </c>
      <c r="C1081" s="9">
        <f t="array" ref="C1081">COUNT(FIND("output",$D1081:$BY1081))</f>
        <v>0</v>
      </c>
    </row>
    <row r="1082" spans="1:3" x14ac:dyDescent="0.25">
      <c r="A1082" s="9" t="str">
        <f>IF(ISBLANK('Signal Definition'!J1082),"",'Signal Definition'!J1082)</f>
        <v/>
      </c>
      <c r="B1082" s="9">
        <f t="array" ref="B1082">COUNT(FIND("input",$D1082:$BY1082))</f>
        <v>0</v>
      </c>
      <c r="C1082" s="9">
        <f t="array" ref="C1082">COUNT(FIND("output",$D1082:$BY1082))</f>
        <v>0</v>
      </c>
    </row>
    <row r="1083" spans="1:3" x14ac:dyDescent="0.25">
      <c r="A1083" s="9" t="str">
        <f>IF(ISBLANK('Signal Definition'!J1083),"",'Signal Definition'!J1083)</f>
        <v/>
      </c>
      <c r="B1083" s="9">
        <f t="array" ref="B1083">COUNT(FIND("input",$D1083:$BY1083))</f>
        <v>0</v>
      </c>
      <c r="C1083" s="9">
        <f t="array" ref="C1083">COUNT(FIND("output",$D1083:$BY1083))</f>
        <v>0</v>
      </c>
    </row>
    <row r="1084" spans="1:3" x14ac:dyDescent="0.25">
      <c r="A1084" s="9" t="str">
        <f>IF(ISBLANK('Signal Definition'!J1084),"",'Signal Definition'!J1084)</f>
        <v/>
      </c>
      <c r="B1084" s="9">
        <f t="array" ref="B1084">COUNT(FIND("input",$D1084:$BY1084))</f>
        <v>0</v>
      </c>
      <c r="C1084" s="9">
        <f t="array" ref="C1084">COUNT(FIND("output",$D1084:$BY1084))</f>
        <v>0</v>
      </c>
    </row>
    <row r="1085" spans="1:3" x14ac:dyDescent="0.25">
      <c r="A1085" s="9" t="str">
        <f>IF(ISBLANK('Signal Definition'!J1085),"",'Signal Definition'!J1085)</f>
        <v/>
      </c>
      <c r="B1085" s="9">
        <f t="array" ref="B1085">COUNT(FIND("input",$D1085:$BY1085))</f>
        <v>0</v>
      </c>
      <c r="C1085" s="9">
        <f t="array" ref="C1085">COUNT(FIND("output",$D1085:$BY1085))</f>
        <v>0</v>
      </c>
    </row>
    <row r="1086" spans="1:3" x14ac:dyDescent="0.25">
      <c r="A1086" s="9" t="str">
        <f>IF(ISBLANK('Signal Definition'!J1086),"",'Signal Definition'!J1086)</f>
        <v/>
      </c>
      <c r="B1086" s="9">
        <f t="array" ref="B1086">COUNT(FIND("input",$D1086:$BY1086))</f>
        <v>0</v>
      </c>
      <c r="C1086" s="9">
        <f t="array" ref="C1086">COUNT(FIND("output",$D1086:$BY1086))</f>
        <v>0</v>
      </c>
    </row>
    <row r="1087" spans="1:3" x14ac:dyDescent="0.25">
      <c r="A1087" s="9" t="str">
        <f>IF(ISBLANK('Signal Definition'!J1087),"",'Signal Definition'!J1087)</f>
        <v/>
      </c>
      <c r="B1087" s="9">
        <f t="array" ref="B1087">COUNT(FIND("input",$D1087:$BY1087))</f>
        <v>0</v>
      </c>
      <c r="C1087" s="9">
        <f t="array" ref="C1087">COUNT(FIND("output",$D1087:$BY1087))</f>
        <v>0</v>
      </c>
    </row>
    <row r="1088" spans="1:3" x14ac:dyDescent="0.25">
      <c r="A1088" s="9" t="str">
        <f>IF(ISBLANK('Signal Definition'!J1088),"",'Signal Definition'!J1088)</f>
        <v/>
      </c>
      <c r="B1088" s="9">
        <f t="array" ref="B1088">COUNT(FIND("input",$D1088:$BY1088))</f>
        <v>0</v>
      </c>
      <c r="C1088" s="9">
        <f t="array" ref="C1088">COUNT(FIND("output",$D1088:$BY1088))</f>
        <v>0</v>
      </c>
    </row>
    <row r="1089" spans="1:3" x14ac:dyDescent="0.25">
      <c r="A1089" s="9" t="str">
        <f>IF(ISBLANK('Signal Definition'!J1089),"",'Signal Definition'!J1089)</f>
        <v/>
      </c>
      <c r="B1089" s="9">
        <f t="array" ref="B1089">COUNT(FIND("input",$D1089:$BY1089))</f>
        <v>0</v>
      </c>
      <c r="C1089" s="9">
        <f t="array" ref="C1089">COUNT(FIND("output",$D1089:$BY1089))</f>
        <v>0</v>
      </c>
    </row>
    <row r="1090" spans="1:3" x14ac:dyDescent="0.25">
      <c r="A1090" s="9" t="str">
        <f>IF(ISBLANK('Signal Definition'!J1090),"",'Signal Definition'!J1090)</f>
        <v/>
      </c>
      <c r="B1090" s="9">
        <f t="array" ref="B1090">COUNT(FIND("input",$D1090:$BY1090))</f>
        <v>0</v>
      </c>
      <c r="C1090" s="9">
        <f t="array" ref="C1090">COUNT(FIND("output",$D1090:$BY1090))</f>
        <v>0</v>
      </c>
    </row>
    <row r="1091" spans="1:3" x14ac:dyDescent="0.25">
      <c r="A1091" s="9" t="str">
        <f>IF(ISBLANK('Signal Definition'!J1091),"",'Signal Definition'!J1091)</f>
        <v/>
      </c>
      <c r="B1091" s="9">
        <f t="array" ref="B1091">COUNT(FIND("input",$D1091:$BY1091))</f>
        <v>0</v>
      </c>
      <c r="C1091" s="9">
        <f t="array" ref="C1091">COUNT(FIND("output",$D1091:$BY1091))</f>
        <v>0</v>
      </c>
    </row>
    <row r="1092" spans="1:3" x14ac:dyDescent="0.25">
      <c r="A1092" s="9" t="str">
        <f>IF(ISBLANK('Signal Definition'!J1092),"",'Signal Definition'!J1092)</f>
        <v/>
      </c>
      <c r="B1092" s="9">
        <f t="array" ref="B1092">COUNT(FIND("input",$D1092:$BY1092))</f>
        <v>0</v>
      </c>
      <c r="C1092" s="9">
        <f t="array" ref="C1092">COUNT(FIND("output",$D1092:$BY1092))</f>
        <v>0</v>
      </c>
    </row>
    <row r="1093" spans="1:3" x14ac:dyDescent="0.25">
      <c r="A1093" s="9" t="str">
        <f>IF(ISBLANK('Signal Definition'!J1093),"",'Signal Definition'!J1093)</f>
        <v/>
      </c>
      <c r="B1093" s="9">
        <f t="array" ref="B1093">COUNT(FIND("input",$D1093:$BY1093))</f>
        <v>0</v>
      </c>
      <c r="C1093" s="9">
        <f t="array" ref="C1093">COUNT(FIND("output",$D1093:$BY1093))</f>
        <v>0</v>
      </c>
    </row>
    <row r="1094" spans="1:3" x14ac:dyDescent="0.25">
      <c r="A1094" s="9" t="str">
        <f>IF(ISBLANK('Signal Definition'!J1094),"",'Signal Definition'!J1094)</f>
        <v/>
      </c>
      <c r="B1094" s="9">
        <f t="array" ref="B1094">COUNT(FIND("input",$D1094:$BY1094))</f>
        <v>0</v>
      </c>
      <c r="C1094" s="9">
        <f t="array" ref="C1094">COUNT(FIND("output",$D1094:$BY1094))</f>
        <v>0</v>
      </c>
    </row>
  </sheetData>
  <sheetProtection algorithmName="SHA-512" hashValue="bVV+1SwpgRCZlQkrBRSCSpnejOO5Qwol/gBpI5dAZfUkPPMw6bml+F5Ko/ZZL7eBMk+Voqkr1r5o/G6jP1LfLQ==" saltValue="bwEiYM7ZXfvpAZI/Q+v/tw==" spinCount="100000" sheet="1" objects="1" scenarios="1" autoFilter="0"/>
  <autoFilter ref="A2:BK109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66675</xdr:colOff>
                    <xdr:row>0</xdr:row>
                    <xdr:rowOff>66675</xdr:rowOff>
                  </from>
                  <to>
                    <xdr:col>0</xdr:col>
                    <xdr:colOff>942975</xdr:colOff>
                    <xdr:row>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zoomScale="80" zoomScaleNormal="80" workbookViewId="0">
      <selection activeCell="E37" sqref="E37"/>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sheetData>
  <sheetProtection algorithmName="SHA-512" hashValue="M83GZLwAq1DsnnQkXhrkRCf3GWm+KMgkL7dpExWb6wMA8BQy2UHszisr5E+JvPgfZORjBbRIP0ePa1AaCFca5Q==" saltValue="GvDJSGTf0b911eG70Ws7k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47625</xdr:colOff>
                    <xdr:row>0</xdr:row>
                    <xdr:rowOff>38100</xdr:rowOff>
                  </from>
                  <to>
                    <xdr:col>0</xdr:col>
                    <xdr:colOff>714375</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zoomScale="85" zoomScaleNormal="85" zoomScalePageLayoutView="85" workbookViewId="0">
      <selection activeCell="H24" sqref="H24"/>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3232</v>
      </c>
      <c r="E12" s="20" t="s">
        <v>3239</v>
      </c>
      <c r="H12" s="34" t="s">
        <v>50</v>
      </c>
      <c r="I12" s="30" t="s">
        <v>49</v>
      </c>
      <c r="J12" s="32" t="s">
        <v>51</v>
      </c>
      <c r="M12" s="58" t="s">
        <v>2797</v>
      </c>
      <c r="N12" s="61" t="s">
        <v>2836</v>
      </c>
    </row>
    <row r="13" spans="1:16" x14ac:dyDescent="0.25">
      <c r="A13" s="21" t="s">
        <v>159</v>
      </c>
      <c r="B13" s="21" t="s">
        <v>160</v>
      </c>
      <c r="C13" s="36"/>
      <c r="D13" s="19" t="s">
        <v>3115</v>
      </c>
      <c r="E13" s="20" t="s">
        <v>3240</v>
      </c>
      <c r="H13" s="34" t="s">
        <v>47</v>
      </c>
      <c r="I13" s="30" t="s">
        <v>46</v>
      </c>
      <c r="J13" s="32" t="s">
        <v>48</v>
      </c>
      <c r="M13" s="58" t="s">
        <v>2862</v>
      </c>
      <c r="N13" s="61" t="s">
        <v>2863</v>
      </c>
    </row>
    <row r="14" spans="1:16" x14ac:dyDescent="0.25">
      <c r="A14" s="21" t="s">
        <v>161</v>
      </c>
      <c r="B14" s="21" t="s">
        <v>162</v>
      </c>
      <c r="C14" s="36"/>
      <c r="D14" s="19" t="s">
        <v>3122</v>
      </c>
      <c r="E14" s="20" t="s">
        <v>3241</v>
      </c>
      <c r="H14" s="34" t="s">
        <v>84</v>
      </c>
      <c r="I14" s="30" t="s">
        <v>83</v>
      </c>
      <c r="J14" s="32" t="s">
        <v>85</v>
      </c>
      <c r="M14" s="58" t="s">
        <v>2625</v>
      </c>
      <c r="N14" s="61" t="s">
        <v>309</v>
      </c>
    </row>
    <row r="15" spans="1:16" x14ac:dyDescent="0.25">
      <c r="A15" s="21" t="s">
        <v>163</v>
      </c>
      <c r="B15" s="21" t="s">
        <v>164</v>
      </c>
      <c r="C15" s="36"/>
      <c r="D15" s="19" t="s">
        <v>3175</v>
      </c>
      <c r="E15" s="20" t="s">
        <v>3182</v>
      </c>
      <c r="H15" s="34" t="s">
        <v>52</v>
      </c>
      <c r="I15" s="30" t="s">
        <v>2607</v>
      </c>
      <c r="J15" s="32" t="s">
        <v>53</v>
      </c>
    </row>
    <row r="16" spans="1:16" x14ac:dyDescent="0.25">
      <c r="A16" s="21" t="s">
        <v>165</v>
      </c>
      <c r="B16" s="21" t="s">
        <v>166</v>
      </c>
      <c r="C16" s="36"/>
      <c r="D16" s="19" t="s">
        <v>3159</v>
      </c>
      <c r="E16" s="20" t="s">
        <v>3162</v>
      </c>
      <c r="H16" s="34" t="s">
        <v>55</v>
      </c>
      <c r="I16" s="30" t="s">
        <v>54</v>
      </c>
      <c r="J16" s="32" t="s">
        <v>56</v>
      </c>
    </row>
    <row r="17" spans="1:10" x14ac:dyDescent="0.25">
      <c r="A17" s="21" t="s">
        <v>167</v>
      </c>
      <c r="B17" s="21" t="s">
        <v>168</v>
      </c>
      <c r="C17" s="36"/>
      <c r="D17" s="19" t="s">
        <v>3137</v>
      </c>
      <c r="E17" s="20" t="s">
        <v>3138</v>
      </c>
      <c r="H17" s="34" t="s">
        <v>119</v>
      </c>
      <c r="I17" s="30" t="s">
        <v>118</v>
      </c>
      <c r="J17" s="32" t="s">
        <v>113</v>
      </c>
    </row>
    <row r="18" spans="1:10" x14ac:dyDescent="0.25">
      <c r="A18" s="21" t="s">
        <v>169</v>
      </c>
      <c r="B18" s="21" t="s">
        <v>170</v>
      </c>
      <c r="C18" s="36"/>
      <c r="D18" s="19" t="s">
        <v>3187</v>
      </c>
      <c r="E18" s="20" t="s">
        <v>3242</v>
      </c>
      <c r="H18" s="34" t="s">
        <v>63</v>
      </c>
      <c r="I18" s="30" t="s">
        <v>62</v>
      </c>
      <c r="J18" s="32" t="s">
        <v>64</v>
      </c>
    </row>
    <row r="19" spans="1:10" x14ac:dyDescent="0.25">
      <c r="A19" s="21" t="s">
        <v>171</v>
      </c>
      <c r="B19" s="21" t="s">
        <v>172</v>
      </c>
      <c r="C19" s="36"/>
      <c r="D19" s="19" t="s">
        <v>3355</v>
      </c>
      <c r="E19" s="20" t="s">
        <v>3356</v>
      </c>
      <c r="H19" s="34" t="s">
        <v>105</v>
      </c>
      <c r="I19" s="30" t="s">
        <v>104</v>
      </c>
      <c r="J19" s="32" t="s">
        <v>3059</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2599</v>
      </c>
    </row>
    <row r="22" spans="1:10" x14ac:dyDescent="0.25">
      <c r="A22" s="21" t="s">
        <v>177</v>
      </c>
      <c r="B22" s="21" t="s">
        <v>178</v>
      </c>
      <c r="C22" s="36"/>
      <c r="H22" s="34" t="s">
        <v>61</v>
      </c>
      <c r="I22" s="30" t="s">
        <v>60</v>
      </c>
      <c r="J22" s="32" t="s">
        <v>2605</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2935</v>
      </c>
      <c r="J27" s="32" t="s">
        <v>2899</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2601</v>
      </c>
    </row>
    <row r="36" spans="1:10" x14ac:dyDescent="0.25">
      <c r="A36" s="21" t="s">
        <v>2838</v>
      </c>
      <c r="B36" s="21" t="s">
        <v>2839</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2606</v>
      </c>
    </row>
    <row r="39" spans="1:10" x14ac:dyDescent="0.25">
      <c r="A39" s="21" t="s">
        <v>209</v>
      </c>
      <c r="B39" s="21" t="s">
        <v>209</v>
      </c>
      <c r="C39" s="36"/>
      <c r="H39" s="34" t="s">
        <v>2634</v>
      </c>
      <c r="I39" s="30" t="s">
        <v>2635</v>
      </c>
      <c r="J39" s="32" t="s">
        <v>2636</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3058</v>
      </c>
      <c r="I41" s="75" t="s">
        <v>3066</v>
      </c>
      <c r="J41" s="74" t="s">
        <v>3065</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3243</v>
      </c>
      <c r="B225" s="21" t="s">
        <v>3243</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3244</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2992</v>
      </c>
      <c r="B618" s="21" t="s">
        <v>2993</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2943</v>
      </c>
      <c r="B664" s="21" t="s">
        <v>2943</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2848</v>
      </c>
      <c r="B687" s="21" t="s">
        <v>2849</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3245</v>
      </c>
      <c r="B690" s="21" t="s">
        <v>3245</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3246</v>
      </c>
      <c r="B728" s="21" t="s">
        <v>3246</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2580</v>
      </c>
      <c r="B755" s="28" t="s">
        <v>2581</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2613</v>
      </c>
      <c r="B775" s="22" t="s">
        <v>2614</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2850</v>
      </c>
      <c r="B787" s="21" t="s">
        <v>51</v>
      </c>
      <c r="C787" s="36"/>
    </row>
    <row r="788" spans="1:3" x14ac:dyDescent="0.25">
      <c r="A788" s="21" t="s">
        <v>2851</v>
      </c>
      <c r="B788" s="21" t="s">
        <v>2805</v>
      </c>
      <c r="C788" s="36"/>
    </row>
    <row r="789" spans="1:3" x14ac:dyDescent="0.25">
      <c r="A789" s="21" t="s">
        <v>2852</v>
      </c>
      <c r="B789" s="21" t="s">
        <v>2803</v>
      </c>
      <c r="C789" s="36"/>
    </row>
    <row r="790" spans="1:3" x14ac:dyDescent="0.25">
      <c r="A790" s="21" t="s">
        <v>2802</v>
      </c>
      <c r="B790" s="21" t="s">
        <v>2803</v>
      </c>
      <c r="C790" s="36"/>
    </row>
    <row r="791" spans="1:3" x14ac:dyDescent="0.25">
      <c r="A791" s="21" t="s">
        <v>2804</v>
      </c>
      <c r="B791" s="21" t="s">
        <v>2805</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2592</v>
      </c>
      <c r="B820" s="21" t="s">
        <v>2593</v>
      </c>
      <c r="C820" s="36"/>
    </row>
    <row r="821" spans="1:3" x14ac:dyDescent="0.25">
      <c r="A821" s="21" t="s">
        <v>2780</v>
      </c>
      <c r="B821" s="21" t="s">
        <v>2705</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2584</v>
      </c>
      <c r="B826" s="21" t="s">
        <v>2585</v>
      </c>
      <c r="C826" s="36"/>
    </row>
    <row r="827" spans="1:3" x14ac:dyDescent="0.25">
      <c r="A827" s="21" t="s">
        <v>1624</v>
      </c>
      <c r="B827" s="21" t="s">
        <v>1625</v>
      </c>
      <c r="C827" s="36"/>
    </row>
    <row r="828" spans="1:3" x14ac:dyDescent="0.25">
      <c r="A828" s="21" t="s">
        <v>1626</v>
      </c>
      <c r="B828" s="21" t="s">
        <v>1627</v>
      </c>
      <c r="C828" s="36"/>
    </row>
    <row r="829" spans="1:3" x14ac:dyDescent="0.25">
      <c r="A829" s="21" t="s">
        <v>2582</v>
      </c>
      <c r="B829" s="21" t="s">
        <v>2583</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2853</v>
      </c>
      <c r="B848" s="21" t="s">
        <v>2854</v>
      </c>
      <c r="C848" s="36"/>
    </row>
    <row r="849" spans="1:3" x14ac:dyDescent="0.25">
      <c r="A849" s="21" t="s">
        <v>3247</v>
      </c>
      <c r="B849" s="21" t="s">
        <v>3248</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2855</v>
      </c>
      <c r="B858" s="21" t="s">
        <v>2811</v>
      </c>
      <c r="C858" s="36"/>
    </row>
    <row r="859" spans="1:3" x14ac:dyDescent="0.25">
      <c r="A859" s="21" t="s">
        <v>2810</v>
      </c>
      <c r="B859" s="21" t="s">
        <v>2811</v>
      </c>
      <c r="C859" s="36"/>
    </row>
    <row r="860" spans="1:3" x14ac:dyDescent="0.25">
      <c r="A860" s="21" t="s">
        <v>2814</v>
      </c>
      <c r="B860" s="21" t="s">
        <v>2815</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2781</v>
      </c>
      <c r="B886" s="21" t="s">
        <v>2782</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2576</v>
      </c>
      <c r="B912" s="21" t="s">
        <v>2579</v>
      </c>
      <c r="C912" s="36"/>
    </row>
    <row r="913" spans="1:3" x14ac:dyDescent="0.25">
      <c r="A913" s="22" t="s">
        <v>2577</v>
      </c>
      <c r="B913" s="22" t="s">
        <v>2578</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2594</v>
      </c>
      <c r="B925" s="21" t="s">
        <v>2595</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2621</v>
      </c>
      <c r="B940" s="22" t="s">
        <v>2622</v>
      </c>
      <c r="C940" s="37"/>
    </row>
    <row r="941" spans="1:3" x14ac:dyDescent="0.25">
      <c r="A941" s="22" t="s">
        <v>2623</v>
      </c>
      <c r="B941" s="22" t="s">
        <v>2624</v>
      </c>
      <c r="C941" s="37"/>
    </row>
    <row r="942" spans="1:3" x14ac:dyDescent="0.25">
      <c r="A942" s="21" t="s">
        <v>1815</v>
      </c>
      <c r="B942" s="21" t="s">
        <v>1815</v>
      </c>
      <c r="C942" s="36" t="s">
        <v>1816</v>
      </c>
    </row>
    <row r="943" spans="1:3" x14ac:dyDescent="0.25">
      <c r="A943" s="21" t="s">
        <v>2586</v>
      </c>
      <c r="B943" s="21" t="s">
        <v>2586</v>
      </c>
      <c r="C943" s="36" t="s">
        <v>2587</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2856</v>
      </c>
      <c r="B956" s="21" t="s">
        <v>2856</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2619</v>
      </c>
      <c r="B967" s="21" t="s">
        <v>2620</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2858</v>
      </c>
      <c r="B1069" s="22" t="s">
        <v>2858</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2857</v>
      </c>
      <c r="B1080" s="21" t="s">
        <v>2858</v>
      </c>
      <c r="C1080" s="36"/>
    </row>
    <row r="1081" spans="1:3" ht="30" x14ac:dyDescent="0.25">
      <c r="A1081" s="21" t="s">
        <v>2859</v>
      </c>
      <c r="B1081" s="21" t="s">
        <v>2858</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2860</v>
      </c>
      <c r="B1151" s="21" t="s">
        <v>2861</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2588</v>
      </c>
      <c r="B1185" s="21" t="s">
        <v>2589</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2630</v>
      </c>
      <c r="B1190" s="21" t="s">
        <v>2632</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2703</v>
      </c>
      <c r="B1208" s="21" t="s">
        <v>2703</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2783</v>
      </c>
      <c r="B1225" s="21" t="s">
        <v>2784</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2785</v>
      </c>
      <c r="B1272" s="21" t="s">
        <v>2786</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3046</v>
      </c>
      <c r="B1286" s="21" t="s">
        <v>3046</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2864</v>
      </c>
      <c r="B1301" s="21" t="s">
        <v>2864</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2631</v>
      </c>
      <c r="B1305" s="21" t="s">
        <v>2633</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2787</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4pvCZH4ne/3+O03wAVIqZW0/W3VUBgtrVl7V9TjbWb7pRv3vOOUkNVFbdV+Lmeg7HKrQq676POhs9ArVy6Pj3Q==" saltValue="5OrRXl6WzRV3/1xnU+SQKw=="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31" sqref="D31"/>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3380</v>
      </c>
      <c r="E1" s="52" t="s">
        <v>2626</v>
      </c>
      <c r="G1" s="11"/>
    </row>
    <row r="2" spans="1:7" x14ac:dyDescent="0.25">
      <c r="A2" s="11" t="s">
        <v>2295</v>
      </c>
      <c r="B2" s="47" t="s">
        <v>549</v>
      </c>
      <c r="C2" s="11" t="s">
        <v>2598</v>
      </c>
      <c r="D2" s="11" t="s">
        <v>3381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3232</v>
      </c>
      <c r="D13" t="s">
        <v>1901</v>
      </c>
      <c r="E13" s="54"/>
    </row>
    <row r="14" spans="1:7" x14ac:dyDescent="0.25">
      <c r="A14" t="s">
        <v>2405</v>
      </c>
      <c r="B14" s="17" t="s">
        <v>2625</v>
      </c>
      <c r="C14" t="s">
        <v>3115</v>
      </c>
      <c r="D14" t="s">
        <v>1901</v>
      </c>
      <c r="E14" s="54"/>
    </row>
    <row r="15" spans="1:7" x14ac:dyDescent="0.25">
      <c r="A15" t="s">
        <v>2405</v>
      </c>
      <c r="B15" s="17" t="s">
        <v>2625</v>
      </c>
      <c r="C15" t="s">
        <v>3122</v>
      </c>
      <c r="D15" t="s">
        <v>1901</v>
      </c>
      <c r="E15" s="54"/>
    </row>
    <row r="16" spans="1:7" x14ac:dyDescent="0.25">
      <c r="A16" t="s">
        <v>2405</v>
      </c>
      <c r="B16" s="17" t="s">
        <v>2625</v>
      </c>
      <c r="C16" t="s">
        <v>3175</v>
      </c>
      <c r="D16" t="s">
        <v>1901</v>
      </c>
      <c r="E16" s="54"/>
    </row>
    <row r="17" spans="1:5" x14ac:dyDescent="0.25">
      <c r="A17" t="s">
        <v>2405</v>
      </c>
      <c r="B17" s="17" t="s">
        <v>2625</v>
      </c>
      <c r="C17" t="s">
        <v>3159</v>
      </c>
      <c r="D17" t="s">
        <v>1901</v>
      </c>
      <c r="E17" s="54"/>
    </row>
    <row r="18" spans="1:5" x14ac:dyDescent="0.25">
      <c r="A18" t="s">
        <v>2405</v>
      </c>
      <c r="B18" s="17" t="s">
        <v>2625</v>
      </c>
      <c r="C18" t="s">
        <v>3137</v>
      </c>
      <c r="D18" t="s">
        <v>1901</v>
      </c>
      <c r="E18" s="54"/>
    </row>
    <row r="19" spans="1:5" x14ac:dyDescent="0.25">
      <c r="A19" t="s">
        <v>2405</v>
      </c>
      <c r="B19" s="17" t="s">
        <v>2625</v>
      </c>
      <c r="C19" t="s">
        <v>3187</v>
      </c>
      <c r="D19" t="s">
        <v>1901</v>
      </c>
      <c r="E19" s="54"/>
    </row>
    <row r="20" spans="1:5" x14ac:dyDescent="0.25">
      <c r="A20" t="s">
        <v>2405</v>
      </c>
      <c r="B20" s="17" t="s">
        <v>2722</v>
      </c>
      <c r="C20" t="s">
        <v>3355</v>
      </c>
      <c r="D20" t="s">
        <v>1901</v>
      </c>
      <c r="E20" s="54"/>
    </row>
    <row r="21" spans="1:5" x14ac:dyDescent="0.25">
      <c r="B21" s="17"/>
      <c r="E21" s="54"/>
    </row>
    <row r="22" spans="1:5" x14ac:dyDescent="0.25">
      <c r="B22" s="17"/>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OkG3vhdAiyjAB8CXX03EHvc/TlYxanL9q6Uu1GuMmSCSokcn421SZyzvZp36fPLOGFUD/LdtG259B4iOaJlBbw==" saltValue="+zpfB+sXsOQe1n2kxnWar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30" sqref="C30"/>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sheetData>
  <sheetProtection algorithmName="SHA-512" hashValue="TOEeMPIpCIZxrn3fOYheOhdfhMUCpuTl0DgLNrzBERnfqmhyigmUcgAtqRC859t6ysO8yrj7OL7ZRhhHbwxK2A==" saltValue="51UKpfqZfCmUZAL0sSDO3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Stamm von Baumgarten, Dr. Thorsten (TP-C)</cp:lastModifiedBy>
  <dcterms:created xsi:type="dcterms:W3CDTF">2017-07-19T08:46:20Z</dcterms:created>
  <dcterms:modified xsi:type="dcterms:W3CDTF">2018-03-14T10:24:40Z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