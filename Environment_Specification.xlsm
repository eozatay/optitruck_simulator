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307\optitruck_simulator-master\"/>
    </mc:Choice>
  </mc:AlternateContent>
  <bookViews>
    <workbookView xWindow="0" yWindow="0" windowWidth="28800" windowHeight="12300" tabRatio="73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BD2" i="3"/>
  <c r="D2" i="3"/>
  <c r="V2" i="3"/>
  <c r="AM2" i="3"/>
  <c r="H2" i="3"/>
  <c r="BK2" i="3"/>
  <c r="AY2" i="3"/>
  <c r="T2" i="3"/>
  <c r="BF2" i="3"/>
  <c r="AQ2" i="3"/>
  <c r="AL2" i="3"/>
  <c r="BG2" i="3"/>
  <c r="AT2" i="3"/>
  <c r="I2" i="3"/>
  <c r="E2" i="3"/>
  <c r="AE2" i="3"/>
  <c r="AW2" i="3"/>
  <c r="AP2" i="3"/>
  <c r="AC2" i="3"/>
  <c r="S2" i="3"/>
  <c r="G2" i="3"/>
  <c r="BH2" i="3"/>
  <c r="AF2" i="3"/>
  <c r="P2" i="3"/>
  <c r="R2" i="3"/>
  <c r="J2" i="3"/>
  <c r="BI2" i="3"/>
  <c r="BJ2" i="3"/>
  <c r="AU2" i="3"/>
  <c r="Q2" i="3"/>
  <c r="AG2" i="3"/>
  <c r="N2" i="3"/>
  <c r="O2" i="3"/>
  <c r="U2" i="3"/>
  <c r="AK2" i="3"/>
  <c r="AZ2" i="3"/>
  <c r="AJ2" i="3"/>
  <c r="AH2" i="3"/>
  <c r="F2" i="3"/>
  <c r="AR2" i="3"/>
  <c r="AV2" i="3"/>
  <c r="AA2" i="3"/>
  <c r="BA2" i="3"/>
  <c r="BB2" i="3"/>
  <c r="BE2" i="3"/>
  <c r="L2" i="3"/>
  <c r="AI2" i="3"/>
  <c r="M2" i="3"/>
  <c r="AB2" i="3"/>
  <c r="BC2" i="3"/>
  <c r="AS2" i="3"/>
  <c r="AO2" i="3"/>
  <c r="K2" i="3"/>
  <c r="AN2" i="3"/>
  <c r="Y2" i="3"/>
  <c r="AX2" i="3"/>
  <c r="X2" i="3"/>
  <c r="AD2" i="3"/>
  <c r="Z2" i="3"/>
  <c r="W2" i="3"/>
  <c r="F9" i="5" l="1"/>
  <c r="F3" i="5"/>
  <c r="F2" i="5"/>
  <c r="F6" i="5"/>
  <c r="F8" i="5"/>
  <c r="F4" i="5"/>
  <c r="F5" i="5"/>
  <c r="F7" i="5"/>
</calcChain>
</file>

<file path=xl/sharedStrings.xml><?xml version="1.0" encoding="utf-8"?>
<sst xmlns="http://schemas.openxmlformats.org/spreadsheetml/2006/main" count="11009" uniqueCount="4259">
  <si>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</si>
  <si>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</si>
  <si>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</si>
  <si>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</si>
  <si>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</si>
  <si>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</si>
  <si>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</si>
  <si>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</si>
  <si>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</si>
  <si>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</si>
  <si>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</si>
  <si>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</si>
  <si>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</si>
  <si>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</si>
  <si>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</si>
  <si>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</si>
  <si>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</si>
  <si>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</si>
  <si>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</si>
  <si>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</si>
  <si>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</si>
  <si>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</si>
  <si>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</si>
  <si>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</si>
  <si>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</si>
  <si>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</si>
  <si>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</si>
  <si>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</si>
  <si>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</si>
  <si>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</si>
  <si>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</si>
  <si>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</si>
  <si>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</si>
  <si>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</si>
  <si>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</si>
  <si>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</si>
  <si>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</si>
  <si>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</si>
  <si>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</si>
  <si>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</si>
  <si>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</si>
  <si>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</si>
  <si>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</si>
  <si>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</si>
  <si>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</si>
  <si>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</si>
  <si>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</si>
  <si>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</si>
  <si>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</si>
  <si>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</si>
  <si>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</si>
  <si>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</si>
  <si>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</si>
  <si>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</si>
  <si>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</si>
  <si>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</si>
  <si>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</si>
  <si>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</si>
  <si>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</si>
  <si>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</si>
  <si>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</si>
  <si>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</si>
  <si>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</si>
  <si>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</si>
  <si>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</si>
  <si>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</si>
  <si>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</si>
  <si>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</si>
  <si>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</si>
  <si>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</si>
  <si>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</si>
  <si>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</si>
  <si>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</si>
  <si>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</si>
  <si>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</si>
  <si>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</si>
  <si>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</si>
  <si>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</si>
  <si>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</si>
  <si>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</si>
  <si>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</si>
  <si>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</si>
  <si>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</si>
  <si>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</si>
  <si>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</si>
  <si>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</si>
  <si>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</si>
  <si>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</si>
  <si>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</si>
  <si>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</si>
  <si>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</si>
  <si>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</si>
  <si>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</si>
  <si>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</si>
  <si>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</si>
  <si>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</si>
  <si>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</si>
  <si>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</si>
  <si>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</si>
  <si>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</si>
  <si>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</si>
  <si>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</si>
  <si>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</si>
  <si>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</si>
  <si>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</si>
  <si>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</si>
  <si>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</si>
  <si>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</si>
  <si>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</si>
  <si>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</si>
  <si>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</si>
  <si>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</si>
  <si>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</si>
  <si>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</si>
  <si>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</si>
  <si>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</si>
  <si>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</si>
  <si>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</si>
  <si>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</si>
  <si>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</si>
  <si>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</si>
  <si>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</si>
  <si>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</si>
  <si>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</si>
  <si>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</si>
  <si>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</si>
  <si>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</si>
  <si>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</si>
  <si>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</si>
  <si>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</si>
  <si>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</si>
  <si>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</si>
  <si>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</si>
  <si>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</si>
  <si>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</si>
  <si>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</si>
  <si>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</si>
  <si>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</si>
  <si>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</si>
  <si>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</si>
  <si>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</si>
  <si>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</si>
  <si>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</si>
  <si>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</si>
  <si>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</si>
  <si>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</si>
  <si>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</si>
  <si>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</si>
  <si>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</si>
  <si>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</si>
  <si>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</si>
  <si>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</si>
  <si>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</si>
  <si>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</si>
  <si>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</si>
  <si>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</si>
  <si>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</si>
  <si>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</si>
  <si>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</si>
  <si>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</si>
  <si>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</si>
  <si>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</si>
  <si>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</si>
  <si>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</si>
  <si>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</si>
  <si>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</si>
  <si>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</si>
  <si>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</si>
  <si>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</si>
  <si>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</si>
  <si>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</si>
  <si>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</si>
  <si>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</si>
  <si>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</si>
  <si>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</si>
  <si>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</si>
  <si>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</si>
  <si>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</si>
  <si>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</si>
  <si>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</si>
  <si>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</si>
  <si>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</si>
  <si>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</si>
  <si>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</si>
  <si>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</si>
  <si>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</si>
  <si>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</si>
  <si>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</si>
  <si>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</si>
  <si>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</si>
  <si>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</si>
  <si>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</si>
  <si>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</si>
  <si>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</si>
  <si>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</si>
  <si>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</si>
  <si>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</si>
  <si>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</si>
  <si>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</si>
  <si>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</si>
  <si>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</si>
  <si>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</si>
  <si>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</si>
  <si>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</si>
  <si>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</si>
  <si>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</si>
  <si>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</si>
  <si>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</si>
  <si>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</si>
  <si>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</si>
  <si>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</si>
  <si>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</si>
  <si>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</si>
  <si>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</si>
  <si>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</si>
  <si>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</si>
  <si>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</si>
  <si>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</si>
  <si>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</si>
  <si>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</si>
  <si>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</si>
  <si>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</si>
  <si>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</si>
  <si>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</si>
  <si>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</si>
  <si>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</si>
  <si>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</si>
  <si>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</si>
  <si>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</si>
  <si>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</si>
  <si>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</si>
  <si>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</si>
  <si>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</si>
  <si>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</si>
  <si>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</si>
  <si>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</si>
  <si>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</si>
  <si>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</si>
  <si>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</si>
  <si>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</si>
  <si>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</si>
  <si>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</si>
  <si>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</si>
  <si>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</si>
  <si>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</si>
  <si>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</si>
  <si>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</si>
  <si>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</si>
  <si>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</si>
  <si>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</si>
  <si>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</si>
  <si>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</si>
  <si>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</si>
  <si>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</si>
  <si>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</si>
  <si>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</si>
  <si>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</si>
  <si>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</si>
  <si>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</si>
  <si>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</si>
  <si>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</si>
  <si>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</si>
  <si>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</si>
  <si>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</si>
  <si>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</si>
  <si>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</si>
  <si>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</si>
  <si>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</si>
  <si>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</si>
  <si>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</si>
  <si>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</si>
  <si>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</si>
  <si>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</si>
  <si>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</si>
  <si>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</si>
  <si>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</si>
  <si>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</si>
  <si>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</si>
  <si>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</si>
  <si>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</si>
  <si>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</si>
  <si>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</si>
  <si>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</si>
  <si>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</si>
  <si>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</si>
  <si>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</si>
  <si>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</si>
  <si>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</si>
  <si>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</si>
  <si>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</si>
  <si>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</si>
  <si>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</si>
  <si>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</si>
  <si>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</si>
  <si>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</si>
  <si>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</si>
  <si>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</si>
  <si>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</si>
  <si>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</si>
  <si>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</si>
  <si>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</si>
  <si>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</si>
  <si>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</si>
  <si>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</si>
  <si>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</si>
  <si>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</si>
  <si>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</si>
  <si>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</si>
  <si>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</si>
  <si>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</si>
  <si>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</si>
  <si>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</si>
  <si>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</si>
  <si>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</si>
  <si>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</si>
  <si>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</si>
  <si>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</si>
  <si>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</si>
  <si>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</si>
  <si>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</si>
  <si>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</si>
  <si>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</si>
  <si>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</si>
  <si>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</si>
  <si>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</si>
  <si>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</si>
  <si>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</si>
  <si>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</si>
  <si>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</si>
  <si>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</si>
  <si>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</si>
  <si>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</si>
  <si>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</si>
  <si>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</si>
  <si>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</si>
  <si>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</si>
  <si>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</si>
  <si>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</si>
  <si>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</si>
  <si>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</si>
  <si>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</si>
  <si>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</si>
  <si>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</si>
  <si>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</si>
  <si>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</si>
  <si>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</si>
  <si>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</si>
  <si>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</si>
  <si>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</si>
  <si>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</si>
  <si>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</si>
  <si>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</si>
  <si>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</si>
  <si>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</si>
  <si>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</si>
  <si>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</si>
  <si>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</si>
  <si>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</si>
  <si>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</si>
  <si>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</si>
  <si>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</si>
  <si>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</si>
  <si>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</si>
  <si>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</si>
  <si>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</si>
  <si>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</si>
  <si>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</si>
  <si>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</si>
  <si>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</si>
  <si>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</si>
  <si>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</si>
  <si>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</si>
  <si>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</si>
  <si>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</si>
  <si>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</si>
  <si>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</si>
  <si>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</si>
  <si>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</si>
  <si>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</si>
  <si>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</si>
  <si>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</si>
  <si>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</si>
  <si>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</si>
  <si>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</si>
  <si>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</si>
  <si>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</si>
  <si>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</si>
  <si>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</si>
  <si>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</si>
  <si>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</si>
  <si>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</si>
  <si>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</si>
  <si>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</si>
  <si>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</si>
  <si>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</si>
  <si>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</si>
  <si>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</si>
  <si>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</si>
  <si>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</si>
  <si>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</si>
  <si>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</si>
  <si>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</si>
  <si>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</si>
  <si>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</si>
  <si>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</si>
  <si>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</si>
  <si>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</si>
  <si>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</si>
  <si>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</si>
  <si>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</si>
  <si>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</si>
  <si>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</si>
  <si>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</si>
  <si>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</si>
  <si>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</si>
  <si>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</si>
  <si>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</si>
  <si>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</si>
  <si>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</si>
  <si>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</si>
  <si>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</si>
  <si>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</si>
  <si>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</si>
  <si>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</si>
  <si>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</si>
  <si>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</si>
  <si>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</si>
  <si>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</si>
  <si>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</si>
  <si>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</si>
  <si>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</si>
  <si>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</si>
  <si>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</si>
  <si>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</si>
  <si>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</si>
  <si>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</si>
  <si>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</si>
  <si>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</si>
  <si>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</si>
  <si>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</si>
  <si>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</si>
  <si>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</si>
  <si>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</si>
  <si>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</si>
  <si>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</si>
  <si>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</si>
  <si>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</si>
  <si>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</si>
  <si>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</si>
  <si>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</si>
  <si>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</si>
  <si>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</si>
  <si>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</si>
  <si>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</si>
  <si>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</si>
  <si>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</si>
  <si>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</si>
  <si>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</si>
  <si>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</si>
  <si>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</si>
  <si>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</si>
  <si>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</si>
  <si>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</si>
  <si>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</si>
  <si>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</si>
  <si>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</si>
  <si>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</si>
  <si>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</si>
  <si>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</si>
  <si>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</si>
  <si>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</si>
  <si>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</si>
  <si>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</si>
  <si>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</si>
  <si>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</si>
  <si>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</si>
  <si>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</si>
  <si>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</si>
  <si>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</si>
  <si>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</si>
  <si>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</si>
  <si>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</si>
  <si>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</si>
  <si>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</si>
  <si>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</si>
  <si>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</si>
  <si>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</si>
  <si>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</si>
  <si>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</si>
  <si>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</si>
  <si>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</si>
  <si>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</si>
  <si>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</si>
  <si>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</si>
  <si>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</si>
  <si>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</si>
  <si>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</si>
  <si>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</si>
  <si>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</si>
  <si>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</si>
  <si>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</si>
  <si>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</si>
  <si>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</si>
  <si>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</si>
  <si>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</si>
  <si>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</si>
  <si>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</si>
  <si>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</si>
  <si>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</si>
  <si>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</si>
  <si>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</si>
  <si>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</si>
  <si>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</si>
  <si>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</si>
  <si>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</si>
  <si>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</si>
  <si>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</si>
  <si>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</si>
  <si>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</si>
  <si>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</si>
  <si>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</si>
  <si>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</si>
  <si>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</si>
  <si>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</si>
  <si>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</si>
  <si>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</si>
  <si>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</si>
  <si>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</si>
  <si>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</si>
  <si>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</si>
  <si>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</si>
  <si>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</si>
  <si>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</si>
  <si>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</si>
  <si>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</si>
  <si>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</si>
  <si>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</si>
  <si>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</si>
  <si>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</si>
  <si>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</si>
  <si>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</si>
  <si>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</si>
  <si>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</si>
  <si>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</si>
  <si>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</si>
  <si>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</si>
  <si>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</si>
  <si>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</si>
  <si>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</si>
  <si>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</si>
  <si>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</si>
  <si>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</si>
  <si>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</si>
  <si>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</si>
  <si>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</si>
  <si>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</si>
  <si>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</si>
  <si>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</si>
  <si>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</si>
  <si>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</si>
  <si>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</si>
  <si>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</si>
  <si>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</si>
  <si>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</si>
  <si>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</si>
  <si>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</si>
  <si>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</si>
  <si>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</si>
  <si>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</si>
  <si>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</si>
  <si>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</si>
  <si>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</si>
  <si>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</si>
  <si>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</si>
  <si>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</si>
  <si>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</si>
  <si>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</si>
  <si>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</si>
  <si>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</si>
  <si>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</si>
  <si>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</si>
  <si>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</si>
  <si>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</si>
  <si>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</si>
  <si>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</si>
  <si>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</si>
  <si>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</si>
  <si>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</si>
  <si>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</si>
  <si>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</si>
  <si>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</si>
  <si>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</si>
  <si>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</si>
  <si>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</si>
  <si>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</si>
  <si>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</si>
  <si>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</si>
  <si>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</si>
  <si>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</si>
  <si>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</si>
  <si>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</si>
  <si>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</si>
  <si>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</si>
  <si>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</si>
  <si>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</si>
  <si>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</si>
  <si>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</si>
  <si>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</si>
  <si>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</si>
  <si>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</si>
  <si>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</si>
  <si>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</si>
  <si>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</si>
  <si>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</si>
  <si>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</si>
  <si>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</si>
  <si>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</si>
  <si>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</si>
  <si>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</si>
  <si>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</si>
  <si>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</si>
  <si>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</si>
  <si>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</si>
  <si>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</si>
  <si>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</si>
  <si>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</si>
  <si>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</si>
  <si>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</si>
  <si>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</si>
  <si>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</si>
  <si>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</si>
  <si>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</si>
  <si>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</si>
  <si>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</si>
  <si>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</si>
  <si>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</si>
  <si>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</si>
  <si>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</si>
  <si>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</si>
  <si>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</si>
  <si>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</si>
  <si>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</si>
  <si>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</si>
  <si>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</si>
  <si>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</si>
  <si>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</si>
  <si>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</si>
  <si>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</si>
  <si>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</si>
  <si>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</si>
  <si>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</si>
  <si>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</si>
  <si>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</si>
  <si>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</si>
  <si>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</si>
  <si>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</si>
  <si>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</si>
  <si>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</si>
  <si>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</si>
  <si>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</si>
  <si>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</si>
  <si>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</si>
  <si>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</si>
  <si>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</si>
  <si>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</si>
  <si>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</si>
  <si>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</si>
  <si>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</si>
  <si>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</si>
  <si>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</si>
  <si>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</si>
  <si>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</si>
  <si>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</si>
  <si>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</si>
  <si>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</si>
  <si>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</si>
  <si>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</si>
  <si>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</si>
  <si>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</si>
  <si>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</si>
  <si>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</si>
  <si>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</si>
  <si>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</si>
  <si>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</si>
  <si>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</si>
  <si>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</si>
  <si>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</si>
  <si>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</si>
  <si>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</si>
  <si>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</si>
  <si>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</si>
  <si>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</si>
  <si>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</si>
  <si>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</si>
  <si>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</si>
  <si>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</si>
  <si>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</si>
  <si>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</si>
  <si>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</si>
  <si>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</si>
  <si>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</si>
  <si>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</si>
  <si>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</si>
  <si>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</si>
  <si>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</si>
  <si>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</si>
  <si>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</si>
  <si>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</si>
  <si>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</si>
  <si>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</si>
  <si>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</si>
  <si>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</si>
  <si>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</si>
  <si>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</si>
  <si>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</si>
  <si>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</si>
  <si>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</si>
  <si>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</si>
  <si>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</si>
  <si>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</si>
  <si>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</si>
  <si>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</si>
  <si>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</si>
  <si>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</si>
  <si>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</si>
  <si>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</si>
  <si>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</si>
  <si>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</si>
  <si>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</si>
  <si>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</si>
  <si>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</si>
  <si>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</si>
  <si>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</si>
  <si>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</si>
  <si>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</si>
  <si>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</si>
  <si>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</si>
  <si>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</si>
  <si>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</si>
  <si>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</si>
  <si>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</si>
  <si>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</si>
  <si>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</si>
  <si>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</si>
  <si>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</si>
  <si>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</si>
  <si>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</si>
  <si>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</si>
  <si>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</si>
  <si>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</si>
  <si>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</si>
  <si>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</si>
  <si>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</si>
  <si>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</si>
  <si>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</si>
  <si>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</si>
  <si>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</si>
  <si>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</si>
  <si>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</si>
  <si>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</si>
  <si>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</si>
  <si>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</si>
  <si>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</si>
  <si>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</si>
  <si>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</si>
  <si>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</si>
  <si>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</si>
  <si>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</si>
  <si>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</si>
  <si>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</si>
  <si>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</si>
  <si>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</si>
  <si>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</si>
  <si>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</si>
  <si>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</si>
  <si>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</si>
  <si>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</si>
  <si>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</si>
  <si>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</si>
  <si>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</si>
  <si>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</si>
  <si>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</si>
  <si>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</si>
  <si>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</si>
  <si>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</si>
  <si>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</si>
  <si>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</si>
  <si>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</si>
  <si>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</si>
  <si>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</si>
  <si>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</si>
  <si>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</si>
  <si>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</si>
  <si>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</si>
  <si>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</si>
  <si>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</si>
  <si>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</si>
  <si>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</si>
  <si>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</si>
  <si>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</si>
  <si>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</si>
  <si>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</si>
  <si>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</si>
  <si>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</si>
  <si>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</si>
  <si>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</si>
  <si>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</si>
  <si>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</si>
  <si>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</si>
  <si>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</si>
  <si>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</si>
  <si>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</si>
  <si>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</si>
  <si>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</si>
  <si>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</si>
  <si>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</si>
  <si>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</si>
  <si>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</si>
  <si>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</si>
  <si>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</si>
  <si>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</si>
  <si>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</si>
  <si>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</si>
  <si>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</si>
  <si>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</si>
  <si>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</si>
  <si>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</si>
  <si>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</si>
  <si>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</si>
  <si>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</si>
  <si>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</si>
  <si>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</si>
  <si>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</si>
  <si>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</si>
  <si>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</si>
  <si>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</si>
  <si>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</si>
  <si>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</si>
  <si>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</si>
  <si>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</si>
  <si>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</si>
  <si>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</si>
  <si>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</si>
  <si>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</si>
  <si>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</si>
  <si>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</si>
  <si>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</si>
  <si>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</si>
  <si>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</si>
  <si>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</si>
  <si>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</si>
  <si>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</si>
  <si>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</si>
  <si>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</si>
  <si>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</si>
  <si>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</si>
  <si>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</si>
  <si>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</si>
  <si>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</si>
  <si>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</si>
  <si>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</si>
  <si>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</si>
  <si>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</si>
  <si>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</si>
  <si>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</si>
  <si>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</si>
  <si>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</si>
  <si>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</si>
  <si>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</si>
  <si>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</si>
  <si>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</si>
  <si>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</si>
  <si>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</si>
  <si>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</si>
  <si>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</si>
  <si>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</si>
  <si>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</si>
  <si>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</si>
  <si>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</si>
  <si>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</si>
  <si>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</si>
  <si>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</si>
  <si>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</si>
  <si>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</si>
  <si>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</si>
  <si>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</si>
  <si>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</si>
  <si>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</si>
  <si>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</si>
  <si>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</si>
  <si>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</si>
  <si>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</si>
  <si>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</si>
  <si>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</si>
  <si>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</si>
  <si>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</si>
  <si>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</si>
  <si>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</si>
  <si>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</si>
  <si>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</si>
  <si>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</si>
  <si>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</si>
  <si>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</si>
  <si>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</si>
  <si>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</si>
  <si>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</si>
  <si>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</si>
  <si>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</si>
  <si>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</si>
  <si>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</si>
  <si>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</si>
  <si>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</si>
  <si>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</si>
  <si>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</si>
  <si>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</si>
  <si>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</si>
  <si>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</si>
  <si>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</si>
  <si>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</si>
  <si>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</si>
  <si>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</si>
  <si>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</si>
  <si>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</si>
  <si>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</si>
  <si>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</si>
  <si>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</si>
  <si>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</si>
  <si>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</si>
  <si>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</si>
  <si>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</si>
  <si>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</si>
  <si>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</si>
  <si>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</si>
  <si>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</si>
  <si>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</si>
  <si>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</si>
  <si>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</si>
  <si>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</si>
  <si>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</si>
  <si>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</si>
  <si>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</si>
  <si>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</si>
  <si>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</si>
  <si>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</si>
  <si>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</si>
  <si>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</si>
  <si>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</si>
  <si>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</si>
  <si>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</si>
  <si>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</si>
  <si>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</si>
  <si>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</si>
  <si>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</si>
  <si>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</si>
  <si>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</si>
  <si>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</si>
  <si>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</si>
  <si>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</si>
  <si>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</si>
  <si>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</si>
  <si>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</si>
  <si>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</si>
  <si>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</si>
  <si>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</si>
  <si>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</si>
  <si>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</si>
  <si>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</si>
  <si>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</si>
  <si>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</si>
  <si>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</si>
  <si>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</si>
  <si>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</si>
  <si>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</si>
  <si>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</si>
  <si>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</si>
  <si>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</si>
  <si>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</si>
  <si>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</si>
  <si>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</si>
  <si>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</si>
  <si>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</si>
  <si>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</si>
  <si>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</si>
  <si>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</si>
  <si>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</si>
  <si>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</si>
  <si>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</si>
  <si>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</si>
  <si>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</si>
  <si>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</si>
  <si>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</si>
  <si>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</si>
  <si>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</si>
  <si>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</si>
  <si>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</si>
  <si>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</si>
  <si>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</si>
  <si>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</si>
  <si>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</si>
  <si>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</si>
  <si>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</si>
  <si>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</si>
  <si>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</si>
  <si>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</si>
  <si>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</si>
  <si>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</si>
  <si>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</si>
  <si>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</si>
  <si>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</si>
  <si>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</si>
  <si>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</si>
  <si>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</si>
  <si>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</si>
  <si>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</si>
  <si>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</si>
  <si>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</si>
  <si>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</si>
  <si>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</si>
  <si>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</si>
  <si>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</si>
  <si>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</si>
  <si>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</si>
  <si>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</si>
  <si>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</si>
  <si>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</si>
  <si>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</si>
  <si>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</si>
  <si>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</si>
  <si>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</si>
  <si>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</si>
  <si>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</si>
  <si>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</si>
  <si>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</si>
  <si>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</si>
  <si>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</si>
  <si>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</si>
  <si>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</si>
  <si>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</si>
  <si>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</si>
  <si>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</si>
  <si>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</si>
  <si>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</si>
  <si>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</si>
  <si>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</si>
  <si>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</si>
  <si>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</si>
  <si>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</si>
  <si>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</si>
  <si>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</si>
  <si>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</si>
  <si>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</si>
  <si>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</si>
  <si>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</si>
  <si>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</si>
  <si>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</si>
  <si>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</si>
  <si>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</si>
  <si>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</si>
  <si>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</si>
  <si>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</si>
  <si>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</si>
  <si>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</si>
  <si>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</si>
  <si>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</si>
  <si>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</si>
  <si>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</si>
  <si>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</si>
  <si>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</si>
  <si>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</si>
  <si>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</si>
  <si>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</si>
  <si>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</si>
  <si>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</si>
  <si>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</si>
  <si>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</si>
  <si>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</si>
  <si>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</si>
  <si>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</si>
  <si>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</si>
  <si>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</si>
  <si>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</si>
  <si>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</si>
  <si>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</si>
  <si>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</si>
  <si>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</si>
  <si>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</si>
  <si>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</si>
  <si>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</si>
  <si>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</si>
  <si>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</si>
  <si>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</si>
  <si>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</si>
  <si>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</si>
  <si>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</si>
  <si>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</si>
  <si>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</si>
  <si>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</si>
  <si>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</si>
  <si>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</si>
  <si>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</si>
  <si>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</si>
  <si>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</si>
  <si>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</si>
  <si>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</si>
  <si>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</si>
  <si>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</si>
  <si>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</si>
  <si>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</si>
  <si>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</si>
  <si>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</si>
  <si>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</si>
  <si>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</si>
  <si>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</si>
  <si>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</si>
  <si>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</si>
  <si>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</si>
  <si>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</si>
  <si>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</si>
  <si>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</si>
  <si>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</si>
  <si>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</si>
  <si>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</si>
  <si>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</si>
  <si>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</si>
  <si>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</si>
  <si>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</si>
  <si>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</si>
  <si>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</si>
  <si>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</si>
  <si>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</si>
  <si>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</si>
  <si>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</si>
  <si>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</si>
  <si>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</si>
  <si>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</si>
  <si>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</si>
  <si>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</si>
  <si>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</si>
  <si>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</si>
  <si>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</si>
  <si>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</si>
  <si>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</si>
  <si>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</si>
  <si>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</si>
  <si>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</si>
  <si>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</si>
  <si>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</si>
  <si>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</si>
  <si>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</si>
  <si>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</si>
  <si>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</si>
  <si>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</si>
  <si>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</si>
  <si>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</si>
  <si>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</si>
  <si>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</si>
  <si>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</si>
  <si>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</si>
  <si>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</si>
  <si>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</si>
  <si>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</si>
  <si>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</si>
  <si>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</si>
  <si>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</si>
  <si>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</si>
  <si>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</si>
  <si>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</si>
  <si>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</si>
  <si>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</si>
  <si>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</si>
  <si>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</si>
  <si>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</si>
  <si>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</si>
  <si>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</si>
  <si>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</si>
  <si>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</si>
  <si>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</si>
  <si>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</si>
  <si>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</si>
  <si>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</si>
  <si>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</si>
  <si>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</si>
  <si>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</si>
  <si>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</si>
  <si>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</si>
  <si>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</si>
  <si>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</si>
  <si>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</si>
  <si>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</si>
  <si>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</si>
  <si>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</si>
  <si>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</si>
  <si>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</si>
  <si>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</si>
  <si>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</si>
  <si>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</si>
  <si>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</si>
  <si>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</si>
  <si>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</si>
  <si>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</si>
  <si>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</si>
  <si>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</si>
  <si>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</si>
  <si>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</si>
  <si>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</si>
  <si>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</si>
  <si>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</si>
  <si>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</si>
  <si>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</si>
  <si>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</si>
  <si>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</si>
  <si>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</si>
  <si>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</si>
  <si>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</si>
  <si>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</si>
  <si>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</si>
  <si>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</si>
  <si>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</si>
  <si>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</si>
  <si>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</si>
  <si>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</si>
  <si>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</si>
  <si>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</si>
  <si>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</si>
  <si>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</si>
  <si>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</si>
  <si>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</si>
  <si>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</si>
  <si>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</si>
  <si>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</si>
  <si>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</si>
  <si>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</si>
  <si>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</si>
  <si>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</si>
  <si>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</si>
  <si>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</si>
  <si>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</si>
  <si>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</si>
  <si>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</si>
  <si>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</si>
  <si>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</si>
  <si>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</si>
  <si>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</si>
  <si>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</si>
  <si>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</si>
  <si>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</si>
  <si>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</si>
  <si>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</si>
  <si>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</si>
  <si>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</si>
  <si>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</si>
  <si>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</si>
  <si>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</si>
  <si>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</si>
  <si>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</si>
  <si>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</si>
  <si>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</si>
  <si>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</si>
  <si>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</si>
  <si>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</si>
  <si>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</si>
  <si>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</si>
  <si>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</si>
  <si>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</si>
  <si>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</si>
  <si>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</si>
  <si>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</si>
  <si>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</si>
  <si>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</si>
  <si>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</si>
  <si>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</si>
  <si>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</si>
  <si>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</si>
  <si>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</si>
  <si>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</si>
  <si>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</si>
  <si>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</si>
  <si>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</si>
  <si>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</si>
  <si>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</si>
  <si>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</si>
  <si>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</si>
  <si>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</si>
  <si>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</si>
  <si>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</si>
  <si>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</si>
  <si>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</si>
  <si>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</si>
  <si>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</si>
  <si>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</si>
  <si>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</si>
  <si>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</si>
  <si>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</si>
  <si>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</si>
  <si>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</si>
  <si>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</si>
  <si>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</si>
  <si>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</si>
  <si>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</si>
  <si>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</si>
  <si>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</si>
  <si>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</si>
  <si>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</si>
  <si>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</si>
  <si>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</si>
  <si>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</si>
  <si>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</si>
  <si>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</si>
  <si>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</si>
  <si>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</si>
  <si>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</si>
  <si>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</si>
  <si>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</si>
  <si>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</si>
  <si>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</si>
  <si>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</si>
  <si>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</si>
  <si>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</si>
  <si>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</si>
  <si>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</si>
  <si>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</si>
  <si>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</si>
  <si>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</si>
  <si>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</si>
  <si>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</si>
  <si>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</si>
  <si>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</si>
  <si>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</si>
  <si>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</si>
  <si>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</si>
  <si>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</si>
  <si>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</si>
  <si>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</si>
  <si>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</si>
  <si>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</si>
  <si>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</si>
  <si>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</si>
  <si>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</si>
  <si>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</si>
  <si>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</si>
  <si>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</si>
  <si>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</si>
  <si>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</si>
  <si>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</si>
  <si>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</si>
  <si>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</si>
  <si>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</si>
  <si>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</si>
  <si>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</si>
  <si>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</si>
  <si>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</si>
  <si>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</si>
  <si>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</si>
  <si>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</si>
  <si>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</si>
  <si>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</si>
  <si>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</si>
  <si>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</si>
  <si>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</si>
  <si>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</si>
  <si>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</si>
  <si>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</si>
  <si>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</si>
  <si>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</si>
  <si>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</si>
  <si>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</si>
  <si>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</si>
  <si>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</si>
  <si>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</si>
  <si>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</si>
  <si>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</si>
  <si>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</si>
  <si>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</si>
  <si>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</si>
  <si>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</si>
  <si>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</si>
  <si>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</si>
  <si>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</si>
  <si>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</si>
  <si>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</si>
  <si>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</si>
  <si>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</si>
  <si>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</si>
  <si>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</si>
  <si>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</si>
  <si>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</si>
  <si>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</si>
  <si>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</si>
  <si>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</si>
  <si>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</si>
  <si>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</si>
  <si>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</si>
  <si>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</si>
  <si>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</si>
  <si>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</si>
  <si>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</si>
  <si>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</si>
  <si>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</si>
  <si>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</si>
  <si>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</si>
  <si>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</si>
  <si>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</si>
  <si>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</si>
  <si>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</si>
  <si>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</si>
  <si>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</si>
  <si>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</si>
  <si>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</si>
  <si>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</si>
  <si>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</si>
  <si>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</si>
  <si>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</si>
  <si>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</si>
  <si>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</si>
  <si>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</si>
  <si>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</si>
  <si>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</si>
  <si>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</si>
  <si>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</si>
  <si>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</si>
  <si>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</si>
  <si>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</si>
  <si>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</si>
  <si>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</si>
  <si>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</si>
  <si>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</si>
  <si>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</si>
  <si>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</si>
  <si>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</si>
  <si>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</si>
  <si>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</si>
  <si>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</si>
  <si>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</si>
  <si>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</si>
  <si>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</si>
  <si>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</si>
  <si>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</si>
  <si>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</si>
  <si>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</si>
  <si>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</si>
  <si>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</si>
  <si>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</si>
  <si>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</si>
  <si>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</si>
  <si>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</si>
  <si>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</si>
  <si>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</si>
  <si>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</si>
  <si>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</si>
  <si>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</si>
  <si>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</si>
  <si>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</si>
  <si>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</si>
  <si>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</si>
  <si>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</si>
  <si>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</si>
  <si>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</si>
  <si>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</si>
  <si>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</si>
  <si>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</si>
  <si>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</si>
  <si>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</si>
  <si>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</si>
  <si>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</si>
  <si>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</si>
  <si>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</si>
  <si>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</si>
  <si>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</si>
  <si>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</si>
  <si>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</si>
  <si>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</si>
  <si>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</si>
  <si>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</si>
  <si>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</si>
  <si>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</si>
  <si>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</si>
  <si>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</si>
  <si>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</si>
  <si>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</si>
  <si>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</si>
  <si>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</si>
  <si>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</si>
  <si>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</si>
  <si>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</si>
  <si>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</si>
  <si>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</si>
  <si>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</si>
  <si>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</si>
  <si>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</si>
  <si>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</si>
  <si>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</si>
  <si>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</si>
  <si>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</si>
  <si>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</si>
  <si>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</si>
  <si>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</si>
  <si>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</si>
  <si>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</si>
  <si>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</si>
  <si>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</si>
  <si>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</si>
  <si>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</si>
  <si>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</si>
  <si>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</si>
  <si>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</si>
  <si>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</si>
  <si>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</si>
  <si>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</si>
  <si>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</si>
  <si>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</si>
  <si>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</si>
  <si>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</si>
  <si>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</si>
  <si>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</si>
  <si>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</si>
  <si>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</si>
  <si>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</si>
  <si>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</si>
  <si>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</si>
  <si>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</si>
  <si>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</si>
  <si>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</si>
  <si>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</si>
  <si>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</si>
  <si>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</si>
  <si>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</si>
  <si>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</si>
  <si>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</si>
  <si>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</si>
  <si>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</si>
  <si>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</si>
  <si>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</si>
  <si>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</si>
  <si>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</si>
  <si>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</si>
  <si>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</si>
  <si>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</si>
  <si>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</si>
  <si>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</si>
  <si>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</si>
  <si>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</si>
  <si>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</si>
  <si>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</si>
  <si>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</si>
  <si>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</si>
  <si>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</si>
  <si>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</si>
  <si>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</si>
  <si>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</si>
  <si>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</si>
  <si>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</si>
  <si>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</si>
  <si>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</si>
  <si>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</si>
  <si>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</si>
  <si>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</si>
  <si>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</si>
  <si>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</si>
  <si>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</si>
  <si>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</si>
  <si>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</si>
  <si>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</si>
  <si>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</si>
  <si>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</si>
  <si>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</si>
  <si>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</si>
  <si>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</si>
  <si>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</si>
  <si>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</si>
  <si>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</si>
  <si>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</si>
  <si>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</si>
  <si>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</si>
  <si>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</si>
  <si>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</si>
  <si>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</si>
  <si>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</si>
  <si>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</si>
  <si>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</si>
  <si>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</si>
  <si>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</si>
  <si>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</si>
  <si>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</si>
  <si>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</si>
  <si>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</si>
  <si>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</si>
  <si>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</si>
  <si>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</si>
  <si>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</si>
  <si>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</si>
  <si>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</si>
  <si>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</si>
  <si>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</si>
  <si>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</si>
  <si>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</si>
  <si>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</si>
  <si>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</si>
  <si>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</si>
  <si>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</si>
  <si>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</si>
  <si>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</si>
  <si>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</si>
  <si>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</si>
  <si>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</si>
  <si>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</si>
  <si>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</si>
  <si>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</si>
  <si>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</si>
  <si>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</si>
  <si>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</si>
  <si>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</si>
  <si>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</si>
  <si>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</si>
  <si>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</si>
  <si>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</si>
  <si>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</si>
  <si>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</si>
  <si>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</si>
  <si>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</si>
  <si>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</si>
  <si>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</si>
  <si>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</si>
  <si>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</si>
  <si>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</si>
  <si>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</si>
  <si>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</si>
  <si>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</si>
  <si>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</si>
  <si>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</si>
  <si>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</si>
  <si>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</si>
  <si>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</si>
  <si>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</si>
  <si>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</si>
  <si>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</si>
  <si>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</si>
  <si>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</si>
  <si>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</si>
  <si>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</si>
  <si>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</si>
  <si>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</si>
  <si>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</si>
  <si>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</si>
  <si>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</si>
  <si>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</si>
  <si>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</si>
  <si>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</si>
  <si>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</si>
  <si>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</si>
  <si>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</si>
  <si>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</si>
  <si>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</si>
  <si>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</si>
  <si>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</si>
  <si>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</si>
  <si>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</si>
  <si>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</si>
  <si>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</si>
  <si>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</si>
  <si>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</si>
  <si>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</si>
  <si>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</si>
  <si>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</si>
  <si>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</si>
  <si>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</si>
  <si>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</si>
  <si>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</si>
  <si>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</si>
  <si>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</si>
  <si>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</si>
  <si>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</si>
  <si>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</si>
  <si>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</si>
  <si>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</si>
  <si>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</si>
  <si>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</si>
  <si>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</si>
  <si>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</si>
  <si>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</si>
  <si>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</si>
  <si>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</si>
  <si>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</si>
  <si>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</si>
  <si>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</si>
  <si>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</si>
  <si>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</si>
  <si>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</si>
  <si>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</si>
  <si>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</si>
  <si>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</si>
  <si>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</si>
  <si>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</si>
  <si>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</si>
  <si>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</si>
  <si>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</si>
  <si>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</si>
  <si>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</si>
  <si>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</si>
  <si>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</si>
  <si>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</si>
  <si>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</si>
  <si>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</si>
  <si>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</si>
  <si>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</si>
  <si>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</si>
  <si>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</si>
  <si>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</si>
  <si>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</si>
  <si>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</si>
  <si>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</si>
  <si>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</si>
  <si>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</si>
  <si>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</si>
  <si>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</si>
  <si>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</si>
  <si>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</si>
  <si>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</si>
  <si>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</si>
  <si>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</si>
  <si>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</si>
  <si>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</si>
  <si>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</si>
  <si>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</si>
  <si>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</si>
  <si>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</si>
  <si>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</si>
  <si>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</si>
  <si>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</si>
  <si>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</si>
  <si>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</si>
  <si>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</si>
  <si>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</si>
  <si>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</si>
  <si>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</si>
  <si>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</si>
  <si>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</si>
  <si>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</si>
  <si>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</si>
  <si>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</si>
  <si>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</si>
  <si>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</si>
  <si>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</si>
  <si>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</si>
  <si>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</si>
  <si>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</si>
  <si>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</si>
  <si>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</si>
  <si>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</si>
  <si>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</si>
  <si>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</si>
  <si>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</si>
  <si>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</si>
  <si>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</si>
  <si>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</si>
  <si>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</si>
  <si>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</si>
  <si>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</si>
  <si>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</si>
  <si>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</si>
  <si>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</si>
  <si>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</si>
  <si>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</si>
  <si>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</si>
  <si>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</si>
  <si>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</si>
  <si>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</si>
  <si>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</si>
  <si>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</si>
  <si>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</si>
  <si>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</si>
  <si>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</si>
  <si>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</si>
  <si>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</si>
  <si>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</si>
  <si>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</si>
  <si>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</si>
  <si>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</si>
  <si>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</si>
  <si>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</si>
  <si>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</si>
  <si>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</si>
  <si>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</si>
  <si>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</si>
  <si>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</si>
  <si>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</si>
  <si>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</si>
  <si>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</si>
  <si>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</si>
  <si>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</si>
  <si>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</si>
  <si>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</si>
  <si>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</si>
  <si>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</si>
  <si>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</si>
  <si>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</si>
  <si>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</si>
  <si>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</si>
  <si>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</si>
  <si>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</si>
  <si>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</si>
  <si>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</si>
  <si>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</si>
  <si>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</si>
  <si>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</si>
  <si>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</si>
  <si>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</si>
  <si>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</si>
  <si>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</si>
  <si>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</si>
  <si>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</si>
  <si>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</si>
  <si>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</si>
  <si>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</si>
  <si>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</si>
  <si>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</si>
  <si>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</si>
  <si>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</si>
  <si>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</si>
  <si>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</si>
  <si>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</si>
  <si>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</si>
  <si>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</si>
  <si>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</si>
  <si>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</si>
  <si>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</si>
  <si>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</si>
  <si>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</si>
  <si>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</si>
  <si>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</si>
  <si>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</si>
  <si>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</si>
  <si>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</si>
  <si>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</si>
  <si>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</si>
  <si>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</si>
  <si>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</si>
  <si>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</si>
  <si>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</si>
  <si>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</si>
  <si>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</si>
  <si>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</si>
  <si>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</si>
  <si>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</si>
  <si>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</si>
  <si>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</si>
  <si>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</si>
  <si>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</si>
  <si>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</si>
  <si>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</si>
  <si>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</si>
  <si>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</si>
  <si>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</si>
  <si>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</si>
  <si>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</si>
  <si>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</si>
  <si>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</si>
  <si>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</si>
  <si>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</si>
  <si>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</si>
  <si>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</si>
  <si>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</si>
  <si>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</si>
  <si>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</si>
  <si>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</si>
  <si>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</si>
  <si>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</si>
  <si>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</si>
  <si>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</si>
  <si>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</si>
  <si>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</si>
  <si>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</si>
  <si>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</si>
  <si>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</si>
  <si>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</si>
  <si>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</si>
  <si>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</si>
  <si>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</si>
  <si>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</si>
  <si>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</si>
  <si>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</si>
  <si>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</si>
  <si>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</si>
  <si>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</si>
  <si>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</si>
  <si>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</si>
  <si>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</si>
  <si>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</si>
  <si>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</si>
  <si>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</si>
  <si>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</si>
  <si>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</si>
  <si>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</si>
  <si>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</si>
  <si>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</si>
  <si>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</si>
  <si>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</si>
  <si>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</si>
  <si>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</si>
  <si>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</si>
  <si>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</si>
  <si>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</si>
  <si>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</si>
  <si>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</si>
  <si>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</si>
  <si>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</si>
  <si>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</si>
  <si>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</si>
  <si>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</si>
  <si>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</si>
  <si>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</si>
  <si>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</si>
  <si>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</si>
  <si>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</si>
  <si>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</si>
  <si>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</si>
  <si>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</si>
  <si>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</si>
  <si>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</si>
  <si>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</si>
  <si>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</si>
  <si>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</si>
  <si>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</si>
  <si>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</si>
  <si>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</si>
  <si>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</si>
  <si>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</si>
  <si>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</si>
  <si>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</si>
  <si>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</si>
  <si>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</si>
  <si>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</si>
  <si>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</si>
  <si>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</si>
  <si>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</si>
  <si>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</si>
  <si>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</si>
  <si>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</si>
  <si>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</si>
  <si>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</si>
  <si>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</si>
  <si>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</si>
  <si>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</si>
  <si>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</si>
  <si>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</si>
  <si>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</si>
  <si>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</si>
  <si>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</si>
  <si>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</si>
  <si>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</si>
  <si>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</si>
  <si>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</si>
  <si>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</si>
  <si>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</si>
  <si>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</si>
  <si>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</si>
  <si>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</si>
  <si>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</si>
  <si>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</si>
  <si>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</si>
  <si>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</si>
  <si>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</si>
  <si>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</si>
  <si>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</si>
  <si>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</si>
  <si>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</si>
  <si>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</si>
  <si>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</si>
  <si>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</si>
  <si>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</si>
  <si>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</si>
  <si>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</si>
  <si>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</si>
  <si>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</si>
  <si>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</si>
  <si>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</si>
  <si>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</si>
  <si>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</si>
  <si>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</si>
  <si>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</si>
  <si>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</si>
  <si>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</si>
  <si>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</si>
  <si>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</si>
  <si>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</si>
  <si>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</si>
  <si>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</si>
  <si>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</si>
  <si>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</si>
  <si>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</si>
  <si>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</si>
  <si>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</si>
  <si>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</si>
  <si>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</si>
  <si>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</si>
  <si>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</si>
  <si>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</si>
  <si>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</si>
  <si>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</si>
  <si>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</si>
  <si>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</si>
  <si>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</si>
  <si>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</si>
  <si>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</si>
  <si>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</si>
  <si>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</si>
  <si>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</si>
  <si>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</si>
  <si>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</si>
  <si>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</si>
  <si>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</si>
  <si>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</si>
  <si>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</si>
  <si>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</si>
  <si>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</si>
  <si>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</si>
  <si>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</si>
  <si>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</si>
  <si>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</si>
  <si>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</si>
  <si>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</si>
  <si>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</si>
  <si>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</si>
  <si>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</si>
  <si>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</si>
  <si>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</si>
  <si>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</si>
  <si>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</si>
  <si>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</si>
  <si>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</si>
  <si>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</si>
  <si>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</si>
  <si>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</si>
  <si>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</si>
  <si>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</si>
  <si>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</si>
  <si>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</si>
  <si>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</si>
  <si>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</si>
  <si>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</si>
  <si>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</si>
  <si>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</si>
  <si>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</si>
  <si>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</si>
  <si>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</si>
  <si>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</si>
  <si>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</si>
  <si>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</si>
  <si>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</si>
  <si>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</si>
  <si>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</si>
  <si>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</si>
  <si>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</si>
  <si>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</si>
  <si>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</si>
  <si>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</si>
  <si>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</si>
  <si>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</si>
  <si>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</si>
  <si>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</si>
  <si>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</si>
  <si>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</si>
  <si>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</si>
  <si>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</si>
  <si>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</si>
  <si>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</si>
  <si>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</si>
  <si>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</si>
  <si>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</si>
  <si>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</si>
  <si>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</si>
  <si>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</si>
  <si>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</si>
  <si>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</si>
  <si>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</si>
  <si>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</si>
  <si>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</si>
  <si>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</si>
  <si>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</si>
  <si>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</si>
  <si>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</si>
  <si>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</si>
  <si>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</si>
  <si>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</si>
  <si>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</si>
  <si>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</si>
  <si>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</si>
  <si>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</si>
  <si>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</si>
  <si>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</si>
  <si>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</si>
  <si>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</si>
  <si>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</si>
  <si>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</si>
  <si>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</si>
  <si>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</si>
  <si>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</si>
  <si>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</si>
  <si>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</si>
  <si>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</si>
  <si>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</si>
  <si>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</si>
  <si>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</si>
  <si>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</si>
  <si>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</si>
  <si>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</si>
  <si>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</si>
  <si>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</si>
  <si>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</si>
  <si>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</si>
  <si>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</si>
  <si>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</si>
  <si>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</si>
  <si>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</si>
  <si>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</si>
  <si>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</si>
  <si>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</si>
  <si>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</si>
  <si>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</si>
  <si>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</si>
  <si>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</si>
  <si>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</si>
  <si>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</si>
  <si>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</si>
  <si>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</si>
  <si>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</si>
  <si>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</si>
  <si>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</si>
  <si>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</si>
  <si>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</si>
  <si>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</si>
  <si>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</si>
  <si>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</si>
  <si>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</si>
  <si>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</si>
  <si>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</si>
  <si>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</si>
  <si>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</si>
  <si>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</si>
  <si>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</si>
  <si>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</si>
  <si>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</si>
  <si>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</si>
  <si>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</si>
  <si>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</si>
  <si>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</si>
  <si>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</si>
  <si>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</si>
  <si>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</si>
  <si>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</si>
  <si>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</si>
  <si>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</si>
  <si>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</si>
  <si>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</si>
  <si>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</si>
  <si>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</si>
  <si>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</si>
  <si>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</si>
  <si>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</si>
  <si>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</si>
  <si>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</si>
  <si>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</si>
  <si>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</si>
  <si>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</si>
  <si>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</si>
  <si>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</si>
  <si>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</si>
  <si>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</si>
  <si>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</si>
  <si>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</si>
  <si>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</si>
  <si>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</si>
  <si>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</si>
  <si>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</si>
  <si>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</si>
  <si>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</si>
  <si>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</si>
  <si>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</si>
  <si>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</si>
  <si>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</si>
  <si>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</si>
  <si>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</si>
  <si>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</si>
  <si>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</si>
  <si>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</si>
  <si>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</si>
  <si>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</si>
  <si>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</si>
  <si>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</si>
  <si>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</si>
  <si>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</si>
  <si>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</si>
  <si>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</si>
  <si>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</si>
  <si>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</si>
  <si>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</si>
  <si>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</si>
  <si>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</si>
  <si>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</si>
  <si>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</si>
  <si>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</si>
  <si>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</si>
  <si>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</si>
  <si>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</si>
  <si>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</si>
  <si>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</si>
  <si>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</si>
  <si>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</si>
  <si>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</si>
  <si>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</si>
  <si>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</si>
  <si>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</si>
  <si>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</si>
  <si>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</si>
  <si>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</si>
  <si>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</si>
  <si>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</si>
  <si>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</si>
  <si>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</si>
  <si>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</si>
  <si>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</si>
  <si>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</si>
  <si>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</si>
  <si>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</si>
  <si>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</si>
  <si>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</si>
  <si>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</si>
  <si>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</si>
  <si>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</si>
  <si>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</si>
  <si>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</si>
  <si>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</si>
  <si>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</si>
  <si>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</si>
  <si>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</si>
  <si>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</si>
  <si>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</si>
  <si>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</si>
  <si>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</si>
  <si>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</si>
  <si>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</si>
  <si>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</si>
  <si>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</si>
  <si>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</si>
  <si>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</si>
  <si>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</si>
  <si>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</si>
  <si>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</si>
  <si>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</si>
  <si>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</si>
  <si>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</si>
  <si>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</si>
  <si>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</si>
  <si>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</si>
  <si>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</si>
  <si>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</si>
  <si>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</si>
  <si>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</si>
  <si>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</si>
  <si>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</si>
  <si>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</si>
  <si>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</si>
  <si>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</si>
  <si>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</si>
  <si>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</si>
  <si>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</si>
  <si>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</si>
  <si>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</si>
  <si>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</si>
  <si>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</si>
  <si>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</si>
  <si>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</si>
  <si>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</si>
  <si>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</si>
  <si>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</si>
  <si>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</si>
  <si>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</si>
  <si>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</si>
  <si>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</si>
  <si>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</si>
  <si>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</si>
  <si>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</si>
  <si>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</si>
  <si>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</si>
  <si>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</si>
  <si>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</si>
  <si>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</si>
  <si>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</si>
  <si>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</si>
  <si>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</si>
  <si>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</si>
  <si>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</si>
  <si>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</si>
  <si>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</si>
  <si>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</si>
  <si>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</si>
  <si>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</si>
  <si>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</si>
  <si>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</si>
  <si>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</si>
  <si>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</si>
  <si>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</si>
  <si>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</si>
  <si>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</si>
  <si>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</si>
  <si>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</si>
  <si>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</si>
  <si>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</si>
  <si>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</si>
  <si>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</si>
  <si>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</si>
  <si>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</si>
  <si>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</si>
  <si>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</si>
  <si>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</si>
  <si>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</si>
  <si>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</si>
  <si>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</si>
  <si>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</si>
  <si>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</si>
  <si>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</si>
  <si>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</si>
  <si>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</si>
  <si>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</si>
  <si>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</si>
  <si>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</si>
  <si>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</si>
  <si>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</si>
  <si>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</si>
  <si>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</si>
  <si>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</si>
  <si>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</si>
  <si>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</si>
  <si>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</si>
  <si>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</si>
  <si>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</si>
  <si>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</si>
  <si>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</si>
  <si>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</si>
  <si>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</si>
  <si>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</si>
  <si>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</si>
  <si>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</si>
  <si>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</si>
  <si>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</si>
  <si>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</si>
  <si>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</si>
  <si>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</si>
  <si>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</si>
  <si>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</si>
  <si>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</si>
  <si>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</si>
  <si>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</si>
  <si>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</si>
  <si>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</si>
  <si>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</si>
  <si>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</si>
  <si>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</si>
  <si>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</si>
  <si>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</si>
  <si>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</si>
  <si>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</si>
  <si>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</si>
  <si>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</si>
  <si>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</si>
  <si>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</si>
  <si>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</si>
  <si>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</si>
  <si>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</si>
  <si>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</si>
  <si>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</si>
  <si>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</si>
  <si>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</si>
  <si>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</si>
  <si>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</si>
  <si>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</si>
  <si>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</si>
  <si>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</si>
  <si>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</si>
  <si>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</si>
  <si>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</si>
  <si>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</si>
  <si>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</si>
  <si>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</si>
  <si>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</si>
  <si>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</si>
  <si>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</si>
  <si>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</si>
  <si>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</si>
  <si>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</si>
  <si>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</si>
  <si>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</si>
  <si>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</si>
  <si>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</si>
  <si>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</si>
  <si>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</si>
  <si>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</si>
  <si>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</si>
  <si>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</si>
  <si>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</si>
  <si>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</si>
  <si>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</si>
  <si>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</si>
  <si>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</si>
  <si>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</si>
  <si>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</si>
  <si>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</si>
  <si>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</si>
  <si>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</si>
  <si>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</si>
  <si>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</si>
  <si>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</si>
  <si>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</si>
  <si>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</si>
  <si>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</si>
  <si>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</si>
  <si>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</si>
  <si>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</si>
  <si>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</si>
  <si>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</si>
  <si>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</si>
  <si>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</si>
  <si>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</si>
  <si>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</si>
  <si>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</si>
  <si>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</si>
  <si>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</si>
  <si>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</si>
  <si>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</si>
  <si>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</si>
  <si>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</si>
  <si>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</si>
  <si>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</si>
  <si>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</si>
  <si>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</si>
  <si>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</si>
  <si>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</si>
  <si>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</si>
  <si>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</si>
  <si>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</si>
  <si>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</si>
  <si>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</si>
  <si>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</si>
  <si>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</si>
  <si>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</si>
  <si>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</si>
  <si>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</si>
  <si>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</si>
  <si>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</si>
  <si>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</si>
  <si>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</si>
  <si>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</si>
  <si>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</si>
  <si>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</si>
  <si>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</si>
  <si>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</si>
  <si>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</si>
  <si>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</si>
  <si>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</si>
  <si>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</si>
  <si>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</si>
  <si>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</si>
  <si>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</si>
  <si>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</si>
  <si>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</si>
  <si>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</si>
  <si>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</si>
  <si>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</si>
  <si>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</si>
  <si>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</si>
  <si>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</si>
  <si>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</si>
  <si>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</si>
  <si>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</si>
  <si>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</si>
  <si>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</si>
  <si>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</si>
  <si>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</si>
  <si>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</si>
  <si>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</si>
  <si>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</si>
  <si>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</si>
  <si>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</si>
  <si>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</si>
  <si>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</si>
  <si>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</si>
  <si>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</si>
  <si>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</si>
  <si>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</si>
  <si>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</si>
  <si>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</si>
  <si>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</si>
  <si>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</si>
  <si>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</si>
  <si>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</si>
  <si>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</si>
  <si>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</si>
  <si>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</si>
  <si>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</si>
  <si>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</si>
  <si>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</si>
  <si>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</si>
  <si>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</si>
  <si>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</si>
  <si>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</si>
  <si>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</si>
  <si>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</si>
  <si>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</si>
  <si>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</si>
  <si>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</si>
  <si>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</si>
  <si>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</si>
  <si>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</si>
  <si>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</si>
  <si>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</si>
  <si>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</si>
  <si>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</si>
  <si>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</si>
  <si>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</si>
  <si>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</si>
  <si>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</si>
  <si>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</si>
  <si>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</si>
  <si>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</si>
  <si>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</si>
  <si>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</si>
  <si>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</si>
  <si>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</si>
  <si>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</si>
  <si>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</si>
  <si>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</si>
  <si>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</si>
  <si>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</si>
  <si>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</si>
  <si>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</si>
  <si>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</si>
  <si>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</si>
  <si>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</si>
  <si>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</si>
  <si>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</si>
  <si>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</si>
  <si>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</si>
  <si>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</si>
  <si>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</si>
  <si>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</si>
  <si>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</si>
  <si>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</si>
  <si>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</si>
  <si>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</si>
  <si>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</si>
  <si>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</si>
  <si>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</si>
  <si>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</si>
  <si>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</si>
  <si>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</si>
  <si>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</si>
  <si>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</si>
  <si>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</si>
  <si>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</si>
  <si>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</si>
  <si>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</si>
  <si>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</si>
  <si>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</si>
  <si>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</si>
  <si>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</si>
  <si>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</si>
  <si>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</si>
  <si>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</si>
  <si>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</si>
  <si>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</si>
  <si>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</si>
  <si>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</si>
  <si>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</si>
  <si>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</si>
  <si>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</si>
  <si>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</si>
  <si>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</si>
  <si>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</si>
  <si>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</si>
  <si>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</si>
  <si>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</si>
  <si>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</si>
  <si>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</si>
  <si>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</si>
  <si>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</si>
  <si>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</si>
  <si>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</si>
  <si>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</si>
  <si>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</si>
  <si>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</si>
  <si>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</si>
  <si>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</si>
  <si>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</si>
  <si>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</si>
  <si>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</si>
  <si>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</si>
  <si>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</si>
  <si>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</si>
  <si>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</si>
  <si>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</si>
  <si>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</si>
  <si>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</si>
  <si>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</si>
  <si>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</si>
  <si>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</si>
  <si>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</si>
  <si>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</si>
  <si>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</si>
  <si>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</si>
  <si>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</si>
  <si>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</si>
  <si>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</si>
  <si>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</si>
  <si>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</si>
  <si>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</si>
  <si>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</si>
  <si>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</si>
  <si>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</si>
  <si>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</si>
  <si>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</si>
  <si>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</si>
  <si>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</si>
  <si>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</si>
  <si>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</si>
  <si>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</si>
  <si>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</si>
  <si>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</si>
  <si>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</si>
  <si>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</si>
  <si>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</si>
  <si>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</si>
  <si>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</si>
  <si>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</si>
  <si>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</si>
  <si>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</si>
  <si>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</si>
  <si>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</si>
  <si>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</si>
  <si>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</si>
  <si>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</si>
  <si>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</si>
  <si>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</si>
  <si>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</si>
  <si>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</si>
  <si>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</si>
  <si>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</si>
  <si>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</si>
  <si>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</si>
  <si>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</si>
  <si>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</si>
  <si>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</si>
  <si>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</si>
  <si>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</si>
  <si>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</si>
  <si>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</si>
  <si>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</si>
  <si>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</si>
  <si>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</si>
  <si>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</si>
  <si>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</si>
  <si>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</si>
  <si>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</si>
  <si>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</si>
  <si>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</si>
  <si>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</si>
  <si>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</si>
  <si>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</si>
  <si>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</si>
  <si>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</si>
  <si>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</si>
  <si>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</si>
  <si>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</si>
  <si>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</si>
  <si>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</si>
  <si>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</si>
  <si>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</si>
  <si>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</si>
  <si>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</si>
  <si>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</si>
  <si>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</si>
  <si>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</si>
  <si>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</si>
  <si>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</si>
  <si>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</si>
  <si>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</si>
  <si>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</si>
  <si>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</si>
  <si>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</si>
  <si>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</si>
  <si>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</si>
  <si>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</si>
  <si>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</si>
  <si>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</si>
  <si>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</si>
  <si>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</si>
  <si>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</si>
  <si>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</si>
  <si>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</si>
  <si>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</si>
  <si>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</si>
  <si>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</si>
  <si>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</si>
  <si>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</si>
  <si>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</si>
  <si>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</si>
  <si>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</si>
  <si>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</si>
  <si>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</si>
  <si>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</si>
  <si>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</si>
  <si>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</si>
  <si>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</si>
  <si>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</si>
  <si>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</si>
  <si>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</si>
  <si>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</si>
  <si>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</si>
  <si>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</si>
  <si>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</si>
  <si>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</si>
  <si>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</si>
  <si>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</si>
  <si>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</si>
  <si>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</si>
  <si>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</si>
  <si>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</si>
  <si>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</si>
  <si>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</si>
  <si>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</si>
  <si>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</si>
  <si>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</si>
  <si>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</si>
  <si>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</si>
  <si>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</si>
  <si>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</si>
  <si>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</si>
  <si>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</si>
  <si>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</si>
  <si>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</si>
  <si>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</si>
  <si>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</si>
  <si>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</si>
  <si>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</si>
  <si>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</si>
  <si>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</si>
  <si>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</si>
  <si>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</si>
  <si>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</si>
  <si>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</si>
  <si>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</si>
  <si>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</si>
  <si>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</si>
  <si>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</si>
  <si>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</si>
  <si>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</si>
  <si>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</si>
  <si>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</si>
  <si>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</si>
  <si>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</si>
  <si>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</si>
  <si>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</si>
  <si>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</si>
  <si>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</si>
  <si>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</si>
  <si>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</si>
  <si>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</si>
  <si>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</si>
  <si>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</si>
  <si>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</si>
  <si>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</si>
  <si>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</si>
  <si>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</si>
  <si>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</si>
  <si>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</si>
  <si>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</si>
  <si>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</si>
  <si>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</si>
  <si>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</si>
  <si>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</si>
  <si>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</si>
  <si>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</si>
  <si>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</si>
  <si>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</si>
  <si>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</si>
  <si>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</si>
  <si>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</si>
  <si>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</si>
  <si>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</si>
  <si>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</si>
  <si>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</si>
  <si>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</si>
  <si>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</si>
  <si>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</si>
  <si>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</si>
  <si>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</si>
  <si>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</si>
  <si>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</si>
  <si>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</si>
  <si>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</si>
  <si>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</si>
  <si>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</si>
  <si>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</si>
  <si>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</si>
  <si>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</si>
  <si>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</si>
  <si>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</si>
  <si>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</si>
  <si>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</si>
  <si>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</si>
  <si>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</si>
  <si>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</si>
  <si>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</si>
  <si>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</si>
  <si>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</si>
  <si>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</si>
  <si>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</si>
  <si>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</si>
  <si>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</si>
  <si>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</si>
  <si>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</si>
  <si>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</si>
  <si>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</si>
  <si>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</si>
  <si>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</si>
  <si>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</si>
  <si>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</si>
  <si>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</si>
  <si>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</si>
  <si>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</si>
  <si>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</si>
  <si>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</si>
  <si>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</si>
  <si>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</si>
  <si>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</si>
  <si>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</si>
  <si>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</si>
  <si>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</si>
  <si>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</si>
  <si>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</si>
  <si>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</si>
  <si>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</si>
  <si>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</si>
  <si>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</si>
  <si>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</si>
  <si>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</si>
  <si>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</si>
  <si>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</si>
  <si>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</si>
  <si>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</si>
  <si>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</si>
  <si>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</si>
  <si>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</si>
  <si>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</si>
  <si>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</si>
  <si>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</si>
  <si>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</si>
  <si>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</si>
  <si>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</si>
  <si>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</si>
  <si>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</si>
  <si>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</si>
  <si>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</si>
  <si>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</si>
  <si>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</si>
  <si>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</si>
  <si>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</si>
  <si>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</si>
  <si>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</si>
  <si>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</si>
  <si>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</si>
  <si>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</si>
  <si>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</si>
  <si>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</si>
  <si>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</si>
  <si>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</si>
  <si>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</si>
  <si>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</si>
  <si>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</si>
  <si>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</si>
  <si>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</si>
  <si>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</si>
  <si>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</si>
  <si>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</si>
  <si>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</si>
  <si>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</si>
  <si>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</si>
  <si>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</si>
  <si>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</si>
  <si>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</si>
  <si>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</si>
  <si>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</si>
  <si>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</si>
  <si>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</si>
  <si>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</si>
  <si>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</si>
  <si>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</si>
  <si>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</si>
  <si>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</si>
  <si>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</si>
  <si>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</si>
  <si>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</si>
  <si>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</si>
  <si>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</si>
  <si>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</si>
  <si>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</si>
  <si>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</si>
  <si>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</si>
  <si>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</si>
  <si>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</si>
  <si>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</si>
  <si>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</si>
  <si>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</si>
  <si>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</si>
  <si>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</si>
  <si>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</si>
  <si>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</si>
  <si>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</si>
  <si>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</si>
  <si>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</si>
  <si>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</si>
  <si>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</si>
  <si>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</si>
  <si>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</si>
  <si>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</si>
  <si>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</si>
  <si>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</si>
  <si>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</si>
  <si>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</si>
  <si>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</si>
  <si>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</si>
  <si>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</si>
  <si>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</si>
  <si>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</si>
  <si>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</si>
  <si>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</si>
  <si>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</si>
  <si>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</si>
  <si>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</si>
  <si>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</si>
  <si>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</si>
  <si>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</si>
  <si>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</si>
  <si>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</si>
  <si>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</si>
  <si>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</si>
  <si>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</si>
  <si>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</si>
  <si>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</si>
  <si>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</si>
  <si>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</si>
  <si>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</si>
  <si>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</si>
  <si>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</si>
  <si>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</si>
  <si>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</si>
  <si>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</si>
  <si>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</si>
  <si>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</si>
  <si>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</si>
  <si>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</si>
  <si>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</si>
  <si>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</si>
  <si>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</si>
  <si>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</si>
  <si>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</si>
  <si>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</si>
  <si>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</si>
  <si>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</si>
  <si>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</si>
  <si>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</si>
  <si>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</si>
  <si>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</si>
  <si>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</si>
  <si>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</si>
  <si>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</si>
  <si>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</si>
  <si>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</si>
  <si>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</si>
  <si>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</si>
  <si>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</si>
  <si>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</si>
  <si>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</si>
  <si>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</si>
  <si>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</si>
  <si>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</si>
  <si>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</si>
  <si>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</si>
  <si>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</si>
  <si>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</si>
  <si>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</si>
  <si>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</si>
  <si>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</si>
  <si>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</si>
  <si>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</si>
  <si>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</si>
  <si>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</si>
  <si>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</si>
  <si>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</si>
  <si>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</si>
  <si>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</si>
  <si>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</si>
  <si>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</si>
  <si>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</si>
  <si>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</si>
  <si>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</si>
  <si>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</si>
  <si>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</si>
  <si>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</si>
  <si>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</si>
  <si>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</si>
  <si>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</si>
  <si>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</si>
  <si>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</si>
  <si>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</si>
  <si>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</si>
  <si>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</si>
  <si>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</si>
  <si>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</si>
  <si>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</si>
  <si>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</si>
  <si>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</si>
  <si>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</si>
  <si>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</si>
  <si>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</si>
  <si>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</si>
  <si>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</si>
  <si>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</si>
  <si>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</si>
  <si>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</si>
  <si>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</si>
  <si>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</si>
  <si>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</si>
  <si>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</si>
  <si>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</si>
  <si>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</si>
  <si>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</si>
  <si>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</si>
  <si>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</si>
  <si>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</si>
  <si>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</si>
  <si>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</si>
  <si>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</si>
  <si>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</si>
  <si>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</si>
  <si>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</si>
  <si>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</si>
  <si>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</si>
  <si>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</si>
  <si>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</si>
  <si>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</si>
  <si>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</si>
  <si>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</si>
  <si>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</si>
  <si>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</si>
  <si>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</si>
  <si>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</si>
  <si>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</si>
  <si>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</si>
  <si>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</si>
  <si>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</si>
  <si>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</si>
  <si>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</si>
  <si>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</si>
  <si>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</si>
  <si>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</si>
  <si>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</si>
  <si>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</si>
  <si>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</si>
  <si>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</si>
  <si>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</si>
  <si>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</si>
  <si>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</si>
  <si>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</si>
  <si>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</si>
  <si>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</si>
  <si>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</si>
  <si>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</si>
  <si>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</si>
  <si>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</si>
  <si>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</si>
  <si>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</si>
  <si>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</si>
  <si>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</si>
  <si>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</si>
  <si>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</si>
  <si>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</si>
  <si>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</si>
  <si>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</si>
  <si>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</si>
  <si>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</si>
  <si>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</si>
  <si>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</si>
  <si>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</si>
  <si>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</si>
  <si>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</si>
  <si>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</si>
  <si>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</si>
  <si>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</si>
  <si>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</si>
  <si>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</si>
  <si>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</si>
  <si>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</si>
  <si>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</si>
  <si>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</si>
  <si>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</si>
  <si>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</si>
  <si>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</si>
  <si>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</si>
  <si>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</si>
  <si>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</si>
  <si>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</si>
  <si>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</si>
  <si>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</si>
  <si>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</si>
  <si>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</si>
  <si>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</si>
  <si>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</si>
  <si>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</si>
  <si>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</si>
  <si>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</si>
  <si>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</si>
  <si>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</si>
  <si>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</si>
  <si>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</si>
  <si>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</si>
  <si>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</si>
  <si>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</si>
  <si>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</si>
  <si>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</si>
  <si>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</si>
  <si>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</si>
  <si>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</si>
  <si>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</si>
  <si>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</si>
  <si>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</si>
  <si>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</si>
  <si>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</si>
  <si>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</si>
  <si>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</si>
  <si>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</si>
  <si>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</si>
  <si>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</si>
  <si>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</si>
  <si>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</si>
  <si>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</si>
  <si>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</si>
  <si>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</si>
  <si>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</si>
  <si>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</si>
  <si>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</si>
  <si>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</si>
  <si>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</si>
  <si>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</si>
  <si>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</si>
  <si>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</si>
  <si>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</si>
  <si>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</si>
  <si>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</si>
  <si>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</si>
  <si>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</si>
  <si>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</si>
  <si>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</si>
  <si>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</si>
  <si>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</si>
  <si>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</si>
  <si>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</si>
  <si>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</si>
  <si>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</si>
  <si>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</si>
  <si>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</si>
  <si>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</si>
  <si>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</si>
  <si>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</si>
  <si>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</si>
  <si>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</si>
  <si>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</si>
  <si>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</si>
  <si>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</si>
  <si>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</si>
  <si>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</si>
  <si>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</si>
  <si>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</si>
  <si>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</si>
  <si>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</si>
  <si>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</si>
  <si>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</si>
  <si>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</si>
  <si>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</si>
  <si>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</si>
  <si>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</si>
  <si>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</si>
  <si>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</si>
  <si>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</si>
  <si>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</si>
  <si>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</si>
  <si>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</si>
  <si>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</si>
  <si>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</si>
  <si>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</si>
  <si>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</si>
  <si>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</si>
  <si>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</si>
  <si>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</si>
  <si>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</si>
  <si>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</si>
  <si>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</si>
  <si>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</si>
  <si>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</si>
  <si>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</si>
  <si>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</si>
  <si>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</si>
  <si>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</si>
  <si>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</si>
  <si>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</si>
  <si>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</si>
  <si>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</si>
  <si>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</si>
  <si>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</si>
  <si>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</si>
  <si>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</si>
  <si>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</si>
  <si>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</si>
  <si>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</si>
  <si>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</si>
  <si>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</si>
  <si>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</si>
  <si>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</si>
  <si>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</si>
  <si>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</si>
  <si>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</si>
  <si>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</si>
  <si>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</si>
  <si>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</si>
  <si>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</si>
  <si>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</si>
  <si>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</si>
  <si>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</si>
  <si>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</si>
  <si>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</si>
  <si>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</si>
  <si>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</si>
  <si>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</si>
  <si>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</si>
  <si>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</si>
  <si>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</si>
  <si>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</si>
  <si>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</si>
  <si>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</si>
  <si>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</si>
  <si>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</si>
  <si>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</si>
  <si>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</si>
  <si>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</si>
  <si>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</si>
  <si>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</si>
  <si>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</si>
  <si>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</si>
  <si>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</si>
  <si>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</si>
  <si>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</si>
  <si>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</si>
  <si>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</si>
  <si>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</si>
  <si>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</si>
  <si>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</si>
  <si>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</si>
  <si>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</si>
  <si>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</si>
  <si>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</si>
  <si>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</si>
  <si>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</si>
  <si>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</si>
  <si>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</si>
  <si>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</si>
  <si>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</si>
  <si>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</si>
  <si>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</si>
  <si>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</si>
  <si>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</si>
  <si>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</si>
  <si>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</si>
  <si>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</si>
  <si>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</si>
  <si>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</si>
  <si>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</si>
  <si>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</si>
  <si>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</si>
  <si>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</si>
  <si>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</si>
  <si>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</si>
  <si>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</si>
  <si>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</si>
  <si>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</si>
  <si>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</si>
  <si>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</si>
  <si>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</si>
  <si>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</si>
  <si>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</si>
  <si>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</si>
  <si>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</si>
  <si>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</si>
  <si>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</si>
  <si>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</si>
  <si>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</si>
  <si>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</si>
  <si>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</si>
  <si>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</si>
  <si>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</si>
  <si>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</si>
  <si>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</si>
  <si>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</si>
  <si>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</si>
  <si>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</si>
  <si>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</si>
  <si>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</si>
  <si>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</si>
  <si>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</si>
  <si>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</si>
  <si>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</si>
  <si>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</si>
  <si>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</si>
  <si>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</si>
  <si>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</si>
  <si>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</si>
  <si>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</si>
  <si>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</si>
  <si>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</si>
  <si>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</si>
  <si>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</si>
  <si>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</si>
  <si>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</si>
  <si>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</si>
  <si>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</si>
  <si>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</si>
  <si>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</si>
  <si>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</si>
  <si>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</si>
  <si>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</si>
  <si>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</si>
  <si>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</si>
  <si>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</si>
  <si>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</si>
  <si>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</si>
  <si>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</si>
  <si>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</si>
  <si>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</si>
  <si>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</si>
  <si>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</si>
  <si>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</si>
  <si>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</si>
  <si>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</si>
  <si>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</si>
  <si>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</si>
  <si>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</si>
  <si>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</si>
  <si>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</si>
  <si>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</si>
  <si>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</si>
  <si>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</si>
  <si>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</si>
  <si>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</si>
  <si>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</si>
  <si>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</si>
  <si>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</si>
  <si>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</si>
  <si>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</si>
  <si>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</si>
  <si>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</si>
  <si>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</si>
  <si>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</si>
  <si>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</si>
  <si>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</si>
  <si>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</si>
  <si>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</si>
  <si>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</si>
  <si>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</si>
  <si>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</si>
  <si>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</si>
  <si>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</si>
  <si>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</si>
  <si>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</si>
  <si>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</si>
  <si>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</si>
  <si>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</si>
  <si>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</si>
  <si>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</si>
  <si>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</si>
  <si>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</si>
  <si>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</si>
  <si>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</si>
  <si>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</si>
  <si>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</si>
  <si>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</si>
  <si>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</si>
  <si>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</si>
  <si>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</si>
  <si>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</si>
  <si>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</si>
  <si>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</si>
  <si>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</si>
  <si>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</si>
  <si>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</si>
  <si>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</si>
  <si>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</si>
  <si>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</si>
  <si>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</si>
  <si>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</si>
  <si>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</si>
  <si>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</si>
  <si>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</si>
  <si>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</si>
  <si>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</si>
  <si>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</si>
  <si>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</si>
  <si>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</si>
  <si>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</si>
  <si>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</si>
  <si>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</si>
  <si>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</si>
  <si>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</si>
  <si>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</si>
  <si>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</si>
  <si>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</si>
  <si>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</si>
  <si>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</si>
  <si>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</si>
  <si>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</si>
  <si>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</si>
  <si>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</si>
  <si>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</si>
  <si>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</si>
  <si>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</si>
  <si>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</si>
  <si>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</si>
  <si>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</si>
  <si>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</si>
  <si>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</si>
  <si>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</si>
  <si>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</si>
  <si>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</si>
  <si>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</si>
  <si>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</si>
  <si>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</si>
  <si>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</si>
  <si>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</si>
  <si>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</si>
  <si>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</si>
  <si>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</si>
  <si>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</si>
  <si>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</si>
  <si>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</si>
  <si>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</si>
  <si>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</si>
  <si>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</si>
  <si>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</si>
  <si>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</si>
  <si>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</si>
  <si>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</si>
  <si>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</si>
  <si>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</si>
  <si>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</si>
  <si>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</si>
  <si>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</si>
  <si>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</si>
  <si>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</si>
  <si>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</si>
  <si>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</si>
  <si>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</si>
  <si>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</si>
  <si>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</si>
  <si>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</si>
  <si>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</si>
  <si>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</si>
  <si>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</si>
  <si>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</si>
  <si>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</si>
  <si>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</si>
  <si>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</si>
  <si>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</si>
  <si>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</si>
  <si>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</si>
  <si>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</si>
  <si>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</si>
  <si>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</si>
  <si>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</si>
  <si>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</si>
  <si>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</si>
  <si>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</si>
  <si>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</si>
  <si>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</si>
  <si>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</si>
  <si>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</si>
  <si>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</si>
  <si>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</si>
  <si>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</si>
  <si>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</si>
  <si>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</si>
  <si>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</si>
  <si>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</si>
  <si>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</si>
  <si>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</si>
  <si>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</si>
  <si>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</si>
  <si>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</si>
  <si>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</si>
  <si>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</si>
  <si>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</si>
  <si>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</si>
  <si>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</si>
  <si>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</si>
  <si>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</si>
  <si>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</si>
  <si>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</si>
  <si>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</si>
  <si>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</si>
  <si>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</si>
  <si>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</si>
  <si>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</si>
  <si>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</si>
  <si>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</si>
  <si>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</si>
  <si>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</si>
  <si>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</si>
  <si>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</si>
  <si>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</si>
  <si>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</si>
  <si>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</si>
  <si>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</si>
  <si>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</si>
  <si>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</si>
  <si>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</si>
  <si>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</si>
  <si>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</si>
  <si>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</si>
  <si>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</si>
  <si>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</si>
  <si>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</si>
  <si>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</si>
  <si>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</si>
  <si>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</si>
  <si>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</si>
  <si>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</si>
  <si>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</si>
  <si>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</si>
  <si>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</si>
  <si>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</si>
  <si>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</si>
  <si>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</si>
  <si>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</si>
  <si>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</si>
  <si>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</si>
  <si>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</si>
  <si>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</si>
  <si>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</si>
  <si>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</si>
  <si>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</si>
  <si>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</si>
  <si>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</si>
  <si>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</si>
  <si>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</si>
  <si>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</si>
  <si>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</si>
  <si>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</si>
  <si>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</si>
  <si>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</si>
  <si>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</si>
  <si>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</si>
  <si>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</si>
  <si>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</si>
  <si>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</si>
  <si>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</si>
  <si>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</si>
  <si>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</si>
  <si>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</si>
  <si>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</si>
  <si>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</si>
  <si>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</si>
  <si>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</si>
  <si>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</si>
  <si>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</si>
  <si>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</si>
  <si>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</si>
  <si>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</si>
  <si>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</si>
  <si>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</si>
  <si>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</si>
  <si>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</si>
  <si>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</si>
  <si>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</si>
  <si>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</si>
  <si>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</si>
  <si>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</si>
  <si>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</si>
  <si>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</si>
  <si>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</si>
  <si>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</si>
  <si>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</si>
  <si>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</si>
  <si>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</si>
  <si>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</si>
  <si>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</si>
  <si>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</si>
  <si>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</si>
  <si>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</si>
  <si>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</si>
  <si>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</si>
  <si>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</si>
  <si>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</si>
  <si>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</si>
  <si>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</si>
  <si>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</si>
  <si>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</si>
  <si>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</si>
  <si>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</si>
  <si>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</si>
  <si>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</si>
  <si>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</si>
  <si>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</si>
  <si>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</si>
  <si>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</si>
  <si>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</si>
  <si>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</si>
  <si>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</si>
  <si>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</si>
  <si>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</si>
  <si>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</si>
  <si>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</si>
  <si>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</si>
  <si>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</si>
  <si>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</si>
  <si>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</si>
  <si>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</si>
  <si>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</si>
  <si>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</si>
  <si>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</si>
  <si>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</si>
  <si>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</si>
  <si>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</si>
  <si>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</si>
  <si>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</si>
  <si>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</si>
  <si>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</si>
  <si>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</si>
  <si>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</si>
  <si>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</si>
  <si>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</si>
  <si>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</si>
  <si>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</si>
  <si>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</si>
  <si>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</si>
  <si>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</si>
  <si>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</si>
  <si>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</si>
  <si>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</si>
  <si>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</si>
  <si>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</si>
  <si>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</si>
  <si>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</si>
  <si>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</si>
  <si>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</si>
  <si>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</si>
  <si>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</si>
  <si>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</si>
  <si>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</si>
  <si>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</si>
  <si>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</si>
  <si>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</si>
  <si>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</si>
  <si>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</si>
  <si>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</si>
  <si>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</si>
  <si>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</si>
  <si>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</si>
  <si>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</si>
  <si>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</si>
  <si>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</si>
  <si>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</si>
  <si>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</si>
  <si>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</si>
  <si>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</si>
  <si>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</si>
  <si>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</si>
  <si>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</si>
  <si>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</si>
  <si>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</si>
  <si>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</si>
  <si>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</si>
  <si>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</si>
  <si>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</si>
  <si>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</si>
  <si>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</si>
  <si>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</si>
  <si>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</si>
  <si>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</si>
  <si>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</si>
  <si>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</si>
  <si>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</si>
  <si>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</si>
  <si>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</si>
  <si>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</si>
  <si>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</si>
  <si>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</si>
  <si>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</si>
  <si>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</si>
  <si>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</si>
  <si>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</si>
  <si>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</si>
  <si>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</si>
  <si>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</si>
  <si>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</si>
  <si>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</si>
  <si>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</si>
  <si>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</si>
  <si>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</si>
  <si>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</si>
  <si>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</si>
  <si>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</si>
  <si>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</si>
  <si>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</si>
  <si>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</si>
  <si>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</si>
  <si>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</si>
  <si>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</si>
  <si>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</si>
  <si>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</si>
  <si>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</si>
  <si>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</si>
  <si>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</si>
  <si>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</si>
  <si>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</si>
  <si>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</si>
  <si>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</si>
  <si>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</si>
  <si>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</si>
  <si>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</si>
  <si>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</si>
  <si>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</si>
  <si>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</si>
  <si>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</si>
  <si>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</si>
  <si>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</si>
  <si>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</si>
  <si>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</si>
  <si>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</si>
  <si>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</si>
  <si>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</si>
  <si>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</si>
  <si>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</si>
  <si>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</si>
  <si>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</si>
  <si>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</si>
  <si>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</si>
  <si>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</si>
  <si>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</si>
  <si>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</si>
  <si>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</si>
  <si>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</si>
  <si>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</si>
  <si>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</si>
  <si>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</si>
  <si>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</si>
  <si>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</si>
  <si>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</si>
  <si>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</si>
  <si>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</si>
  <si>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</si>
  <si>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</si>
  <si>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</si>
  <si>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</si>
  <si>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</si>
  <si>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</si>
  <si>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</si>
  <si>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</si>
  <si>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</si>
  <si>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</si>
  <si>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</si>
  <si>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</si>
  <si>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</si>
  <si>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</si>
  <si>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</si>
  <si>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</si>
  <si>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</si>
  <si>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</si>
  <si>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</si>
  <si>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</si>
  <si>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</si>
  <si>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</si>
  <si>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</si>
  <si>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</si>
  <si>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</si>
  <si>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</si>
  <si>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</si>
  <si>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</si>
  <si>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</si>
  <si>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</si>
  <si>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</si>
  <si>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</si>
  <si>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</si>
  <si>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</si>
  <si>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</si>
  <si>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</si>
  <si>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</si>
  <si>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</si>
  <si>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</si>
  <si>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</si>
  <si>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</si>
  <si>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</si>
  <si>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</si>
  <si>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</si>
  <si>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</si>
  <si>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</si>
  <si>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</si>
  <si>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</si>
  <si>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</si>
  <si>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</si>
  <si>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</si>
  <si>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</si>
  <si>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</si>
  <si>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</si>
  <si>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</si>
  <si>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</si>
  <si>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</si>
  <si>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</si>
  <si>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</si>
  <si>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</si>
  <si>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</si>
  <si>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</si>
  <si>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</si>
  <si>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</si>
  <si>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</si>
  <si>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</si>
  <si>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</si>
  <si>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</si>
  <si>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</si>
  <si>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</si>
  <si>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</si>
  <si>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</si>
  <si>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</si>
  <si>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</si>
  <si>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</si>
  <si>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</si>
  <si>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</si>
  <si>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</si>
  <si>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</si>
  <si>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</si>
  <si>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</si>
  <si>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</si>
  <si>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</si>
  <si>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</si>
  <si>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</si>
  <si>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</si>
  <si>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</si>
  <si>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</si>
  <si>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</si>
  <si>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</si>
  <si>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</si>
  <si>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</si>
  <si>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</si>
  <si>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</si>
  <si>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</si>
  <si>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</si>
  <si>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</si>
  <si>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</si>
  <si>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</si>
  <si>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</si>
  <si>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</si>
  <si>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</si>
  <si>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</si>
  <si>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</si>
  <si>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</si>
  <si>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</si>
  <si>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</si>
  <si>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</si>
  <si>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</si>
  <si>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</si>
  <si>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</si>
  <si>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</si>
  <si>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</si>
  <si>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</si>
  <si>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</si>
  <si>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</si>
  <si>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</si>
  <si>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</si>
  <si>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</si>
  <si>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</si>
  <si>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</si>
  <si>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</si>
  <si>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</si>
  <si>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</si>
  <si>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</si>
  <si>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</si>
  <si>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</si>
  <si>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</si>
  <si>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</si>
  <si>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</si>
  <si>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</si>
  <si>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</si>
  <si>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</si>
  <si>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</si>
  <si>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</si>
  <si>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</si>
  <si>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</si>
  <si>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</si>
  <si>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</si>
  <si>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</si>
  <si>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</si>
  <si>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</si>
  <si>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</si>
  <si>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</si>
  <si>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</si>
  <si>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</si>
  <si>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</si>
  <si>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</si>
  <si>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</si>
  <si>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</si>
  <si>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</si>
  <si>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</si>
  <si>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</si>
  <si>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</si>
  <si>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</si>
  <si>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</si>
  <si>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</si>
  <si>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</si>
  <si>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</si>
  <si>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</si>
  <si>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</si>
  <si>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</si>
  <si>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</si>
  <si>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</si>
  <si>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</si>
  <si>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</si>
  <si>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</si>
  <si>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</si>
  <si>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</si>
  <si>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</si>
  <si>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</si>
  <si>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</si>
  <si>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</si>
  <si>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</si>
  <si>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</si>
  <si>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</si>
  <si>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</si>
  <si>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</si>
  <si>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</si>
  <si>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</si>
  <si>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</si>
  <si>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</si>
  <si>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</si>
  <si>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</si>
  <si>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</si>
  <si>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</si>
  <si>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</si>
  <si>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</si>
  <si>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</si>
  <si>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</si>
  <si>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</si>
  <si>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</si>
  <si>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</si>
  <si>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</si>
  <si>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</si>
  <si>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</si>
  <si>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</si>
  <si>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</si>
  <si>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</si>
  <si>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</si>
  <si>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</si>
  <si>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</si>
  <si>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</si>
  <si>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</si>
  <si>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</si>
  <si>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</si>
  <si>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</si>
  <si>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</si>
  <si>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</si>
  <si>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</si>
  <si>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</si>
  <si>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</si>
  <si>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</si>
  <si>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</si>
  <si>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</si>
  <si>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</si>
  <si>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</si>
  <si>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</si>
  <si>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</si>
  <si>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</si>
  <si>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</si>
  <si>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</si>
  <si>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</si>
  <si>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</si>
  <si>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</si>
  <si>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</si>
  <si>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</si>
  <si>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</si>
  <si>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</si>
  <si>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</si>
  <si>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</si>
  <si>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</si>
  <si>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</si>
  <si>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</si>
  <si>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</si>
  <si>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</si>
  <si>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</si>
  <si>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</si>
  <si>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</si>
  <si>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</si>
  <si>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</si>
  <si>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</si>
  <si>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</si>
  <si>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</si>
  <si>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</si>
  <si>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</si>
  <si>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</si>
  <si>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</si>
  <si>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</si>
  <si>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</si>
  <si>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</si>
  <si>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</si>
  <si>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</si>
  <si>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</si>
  <si>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</si>
  <si>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</si>
  <si>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</si>
  <si>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</si>
  <si>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</si>
  <si>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</si>
  <si>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</si>
  <si>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</si>
  <si>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</si>
  <si>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</si>
  <si>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</si>
  <si>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</si>
  <si>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</si>
  <si>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</si>
  <si>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</si>
  <si>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</si>
  <si>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</si>
  <si>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</si>
  <si>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</si>
  <si>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</si>
  <si>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</si>
  <si>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</si>
  <si>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</si>
  <si>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</si>
  <si>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</si>
  <si>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</si>
  <si>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</si>
  <si>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</si>
  <si>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</si>
  <si>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</si>
  <si>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</si>
  <si>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</si>
  <si>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</si>
  <si>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</si>
  <si>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</si>
  <si>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</si>
  <si>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</si>
  <si>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</si>
  <si>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</si>
  <si>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</si>
  <si>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</si>
  <si>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</si>
  <si>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</si>
  <si>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</si>
  <si>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</si>
  <si>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</si>
  <si>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</si>
  <si>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</si>
  <si>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</si>
  <si>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</si>
  <si>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</si>
  <si>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</si>
  <si>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</si>
  <si>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</si>
  <si>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</si>
  <si>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</si>
  <si>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</si>
  <si>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</si>
  <si>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</si>
  <si>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</si>
  <si>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</si>
  <si>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</si>
  <si>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</si>
  <si>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</si>
  <si>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</si>
  <si>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</si>
  <si>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</si>
  <si>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</si>
  <si>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</si>
  <si>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</si>
  <si>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</si>
  <si>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</si>
  <si>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</si>
  <si>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</si>
  <si>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</si>
  <si>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</si>
  <si>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</si>
  <si>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</si>
  <si>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</si>
  <si>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</si>
  <si>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</si>
  <si>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</si>
  <si>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</si>
  <si>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</si>
  <si>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</si>
  <si>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</si>
  <si>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</si>
  <si>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</si>
  <si>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</si>
  <si>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</si>
  <si>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</si>
  <si>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</si>
  <si>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</si>
  <si>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</si>
  <si>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</si>
  <si>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</si>
  <si>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</si>
  <si>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</si>
  <si>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</si>
  <si>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</si>
  <si>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</si>
  <si>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</si>
  <si>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</si>
  <si>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</si>
  <si>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</si>
  <si>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</si>
  <si>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</si>
  <si>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</si>
  <si>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</si>
  <si>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</si>
  <si>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</si>
  <si>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</si>
  <si>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</si>
  <si>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</si>
  <si>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</si>
  <si>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</si>
  <si>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</si>
  <si>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</si>
  <si>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</si>
  <si>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</si>
  <si>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</si>
  <si>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</si>
  <si>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</si>
  <si>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</si>
  <si>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</si>
  <si>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</si>
  <si>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</si>
  <si>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</si>
  <si>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</si>
  <si>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</si>
  <si>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</si>
  <si>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</si>
  <si>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</si>
  <si>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</si>
  <si>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</si>
  <si>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</si>
  <si>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</si>
  <si>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</si>
  <si>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</si>
  <si>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</si>
  <si>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</si>
  <si>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</si>
  <si>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</si>
  <si>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</si>
  <si>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</si>
  <si>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</si>
  <si>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</si>
  <si>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</si>
  <si>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</si>
  <si>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</si>
  <si>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</si>
  <si>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</si>
  <si>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</si>
  <si>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</si>
  <si>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</si>
  <si>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</si>
  <si>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</si>
  <si>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</si>
  <si>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</si>
  <si>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</si>
  <si>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</si>
  <si>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</si>
  <si>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</si>
  <si>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</si>
  <si>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</si>
  <si>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</si>
  <si>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</si>
  <si>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</si>
  <si>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</si>
  <si>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</si>
  <si>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</si>
  <si>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</si>
  <si>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</si>
  <si>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</si>
  <si>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</si>
  <si>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</si>
  <si>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</si>
  <si>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</si>
  <si>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</si>
  <si>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</si>
  <si>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</si>
  <si>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</si>
  <si>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PredtnHrznGenr_tiVectHrznSho_PHY/Energy Flow Coordinator</t>
  </si>
  <si>
    <t>PredtnHrznGenr_tiVectHrznLong_PHY/Energy Flow Coordinator</t>
  </si>
  <si>
    <t>PredtnHrznGenr_trqVectHrznLong_PHY/Energy Flow Coordinator</t>
  </si>
  <si>
    <t>PredtnHrznGenr_trqVectHrznSho_PHY/Energy Flow Coordinator</t>
  </si>
  <si>
    <t>PredtnHrznGenr_nVectHrznSho_PHY/Energy Flow Coordinator</t>
  </si>
  <si>
    <t>PredtnHrznGenr_nVectHrznLong_PHY/Energy Flow Coordinator</t>
  </si>
  <si>
    <t>PredtnHrznGenr_idxVectHrznLenLong_PHY/Energy Flow Coordinator</t>
  </si>
  <si>
    <t>PredtnHrznGenr_idxVectHrznLenSho_PHY/Energy Flow Coordinator</t>
  </si>
  <si>
    <t>PredtnHrznGenr_tiHrznLenSho_PHY/Energy Flow Coordinator</t>
  </si>
  <si>
    <t>PredtnHrznGenr_tiHrznLenLong_PHY/Energy Flow Coordinator</t>
  </si>
  <si>
    <t>PredtnHrznGenr_stTrigOptmr_PHY/Energy Flow Coordinator</t>
  </si>
  <si>
    <t>PredtnHrznGenr_swtExtSrcPredtnData_PHY/Energy Flow Coordinator</t>
  </si>
  <si>
    <t>ECUAuxSigCoorr_aVeh_PHY/Energy Flow Coordinator</t>
  </si>
  <si>
    <t>ECUAuxSigCoorr_omegaWhlSpd_PHY/Energy Flow Coordinator</t>
  </si>
  <si>
    <t>SpdTqTrcGenr_numGearHrzn_INT/Energy Flow Coordinator</t>
  </si>
  <si>
    <t>SpdTqTrcGenr_nEngSpdHrzn_INT/Energy Flow Coordinator</t>
  </si>
  <si>
    <t>SpdTqTrcGenr_trqEngTqHrzn_INT/Energy Flow Coordinator</t>
  </si>
  <si>
    <t>HrznAryCalcn_tiTiHrznVect_INT/Energy Flow Coordinator</t>
  </si>
  <si>
    <t>HrznAryCalcn_nEngSpdHrznVect_INT/Energy Flow Coordinator</t>
  </si>
  <si>
    <t>HrznAryCalcn_trqEngTqHrznVect_INT/Energy Flow Coordinator</t>
  </si>
  <si>
    <t>HrznAryCalcn_numNrHrznVldElm_INT/Energy Flow Coordinator</t>
  </si>
  <si>
    <t>HrznAryCalcn_tiHrznTiRng_INT/Energy Flow Coordinator</t>
  </si>
  <si>
    <t>HrznAryCalcn_stHrznVld_INT/Energy Flow Coordinator</t>
  </si>
  <si>
    <t>HrznAryCalcn_stRst_INT/Energy Flow Coordinator</t>
  </si>
  <si>
    <t>HrznAryCalcn_lHrznLen_INT/Energy Flow Coordinator</t>
  </si>
  <si>
    <t>HrznAryCalcn_stTrigOptmr_INT/Energy Flow Coordinator</t>
  </si>
  <si>
    <t>PCCMRPUIf_vVehSpdHrzn_PHY/Horizon Array Calculation</t>
  </si>
  <si>
    <t>PCCMRPUIf_lDstHrzn_PHY/Horizon Array Calculation</t>
  </si>
  <si>
    <t>PCCMRPUIf_pwrPwrHrzn_PHY/Horizon Array Calculation</t>
  </si>
  <si>
    <t>PCCMRPUIf_numNrHrznVldElm_PHY/Horizon Array Calculation</t>
  </si>
  <si>
    <t>PCCMRPUIf_stRst_PHY/Horizon Array Calculation</t>
  </si>
  <si>
    <t>PCCMRPUIf_stHrznVld_PHY/Horizon Array Calculation</t>
  </si>
  <si>
    <t>PCCMRPUIf_lVehPosn_PHY/Horizon Array Calculation</t>
  </si>
  <si>
    <t>SpdTqTrcGenr_numGearHrzn_INT/Horizon Array Calculation</t>
  </si>
  <si>
    <t>SpdTqTrcGenr_nEngSpdHrzn_INT/Horizon Array Calculation</t>
  </si>
  <si>
    <t>SpdTqTrcGenr_trqEngTqHrzn_INT/Horizon Array Calculation</t>
  </si>
  <si>
    <t>ECUAuxSigCoorr_nCrksft_PHY/Horizon Array Calculation</t>
  </si>
  <si>
    <t>ECUAuxSigCoorr_trqEngTqOut_PHY/Horizon Array Calculation</t>
  </si>
  <si>
    <t>ECUAuxSigCoorr_vVehSpd_PHY/Horizon Array Calculation</t>
  </si>
  <si>
    <t>ECUAuxSigCoorr_lDstTrvld_PHY/Horizon Array Calculation</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</si>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</sst>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tabSelected="1"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opLeftCell="E1" zoomScale="85" zoomScaleNormal="85" zoomScalePageLayoutView="80" workbookViewId="0">
      <pane ySplit="2" topLeftCell="A421" activePane="bottomLeft" state="frozen"/>
      <selection pane="bottomLeft" activeCell="B429" sqref="A429:XFD429"/>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3">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3">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3">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3">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3">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3">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3">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3">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3">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3">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3">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3">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3">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3">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3">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3">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3">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3">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3">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3">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3">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3">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3">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3">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3">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3">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3">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3">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3">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3">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3">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3">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3">
      <c r="M462" s="17"/>
      <c r="N462" s="17"/>
      <c r="O462" s="17"/>
    </row>
    <row r="463" spans="1:18" x14ac:dyDescent="0.3">
      <c r="M463" s="17"/>
      <c r="N463" s="17"/>
      <c r="O463" s="17"/>
    </row>
    <row r="464" spans="1:18"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lgorithmName="SHA-512" hashValue="TdSyPYXqvNJoUhIR9dnyGcQV1mIbdRzPhmufkjEx94sLAy2rwZCLebJVfUEpYH6X6rQULU2uXYJQJZXoYSggtg==" saltValue="o+4EFG4uFxsMbN8kj4obQg==" spinCount="100000" sheet="1" objects="1" scenarios="1"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Normal="100" zoomScalePageLayoutView="70" workbookViewId="0">
      <pane xSplit="1" ySplit="2" topLeftCell="B425" activePane="bottomRight" state="frozen"/>
      <selection pane="topRight" activeCell="B1" sqref="B1"/>
      <selection pane="bottomLeft" activeCell="A3" sqref="A3"/>
      <selection pane="bottomRight" activeCell="AO429" sqref="AO429:AO461"/>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3320312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 customHeight="1" x14ac:dyDescent="0.3">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 customHeight="1" x14ac:dyDescent="0.3">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4"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4"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4"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4"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4"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4"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4"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4"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4"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4"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4"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4"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4"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4"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4"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4"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4"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4"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41" ht="14.4"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41" ht="14.4"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4"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4"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41" ht="14.4" customHeight="1" x14ac:dyDescent="0.3">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4" customHeight="1" x14ac:dyDescent="0.3">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4"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4"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4"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4"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4"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4"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4"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4"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4"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4"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4"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4"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4"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4"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4"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4"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 customHeight="1" x14ac:dyDescent="0.3">
      <c r="A255" s="9" t="str">
        <f>IF(ISBLANK('Signal Definition'!J255),"",'Signal Definition'!J255)</f>
        <v>PredtnHrznGenr_tiVectHrznSho_PHY</v>
      </c>
      <c r="B255" s="9">
        <f t="array" ref="B255">COUNT(FIND("input",$D255:$BY255))</f>
        <v>0</v>
      </c>
      <c r="C255" s="9">
        <f t="array" ref="C255">COUNT(FIND("output",$D255:$BY255))</f>
        <v>1</v>
      </c>
      <c r="AE255" t="s">
        <v>2661</v>
      </c>
    </row>
    <row r="256" spans="1:31" ht="14.4" customHeight="1" x14ac:dyDescent="0.3">
      <c r="A256" s="9" t="str">
        <f>IF(ISBLANK('Signal Definition'!J256),"",'Signal Definition'!J256)</f>
        <v>PredtnHrznGenr_tiVectHrznLong_PHY</v>
      </c>
      <c r="B256" s="9">
        <f t="array" ref="B256">COUNT(FIND("input",$D256:$BY256))</f>
        <v>0</v>
      </c>
      <c r="C256" s="9">
        <f t="array" ref="C256">COUNT(FIND("output",$D256:$BY256))</f>
        <v>1</v>
      </c>
      <c r="AE256" t="s">
        <v>2661</v>
      </c>
    </row>
    <row r="257" spans="1:41" ht="14.4" customHeight="1" x14ac:dyDescent="0.3">
      <c r="A257" s="9" t="str">
        <f>IF(ISBLANK('Signal Definition'!J257),"",'Signal Definition'!J257)</f>
        <v>PredtnHrznGenr_trqVectHrznLong_PHY</v>
      </c>
      <c r="B257" s="9">
        <f t="array" ref="B257">COUNT(FIND("input",$D257:$BY257))</f>
        <v>0</v>
      </c>
      <c r="C257" s="9">
        <f t="array" ref="C257">COUNT(FIND("output",$D257:$BY257))</f>
        <v>1</v>
      </c>
      <c r="AE257" t="s">
        <v>2661</v>
      </c>
    </row>
    <row r="258" spans="1:41" ht="14.4" customHeight="1" x14ac:dyDescent="0.3">
      <c r="A258" s="9" t="str">
        <f>IF(ISBLANK('Signal Definition'!J258),"",'Signal Definition'!J258)</f>
        <v>PredtnHrznGenr_trqVectHrznSho_PHY</v>
      </c>
      <c r="B258" s="9">
        <f t="array" ref="B258">COUNT(FIND("input",$D258:$BY258))</f>
        <v>0</v>
      </c>
      <c r="C258" s="9">
        <f t="array" ref="C258">COUNT(FIND("output",$D258:$BY258))</f>
        <v>1</v>
      </c>
      <c r="AE258" t="s">
        <v>2661</v>
      </c>
    </row>
    <row r="259" spans="1:41" ht="14.4" customHeight="1" x14ac:dyDescent="0.3">
      <c r="A259" s="9" t="str">
        <f>IF(ISBLANK('Signal Definition'!J259),"",'Signal Definition'!J259)</f>
        <v>PredtnHrznGenr_nVectHrznSho_PHY</v>
      </c>
      <c r="B259" s="9">
        <f t="array" ref="B259">COUNT(FIND("input",$D259:$BY259))</f>
        <v>0</v>
      </c>
      <c r="C259" s="9">
        <f t="array" ref="C259">COUNT(FIND("output",$D259:$BY259))</f>
        <v>1</v>
      </c>
      <c r="AE259" t="s">
        <v>2661</v>
      </c>
    </row>
    <row r="260" spans="1:41" ht="14.4" customHeight="1" x14ac:dyDescent="0.3">
      <c r="A260" s="9" t="str">
        <f>IF(ISBLANK('Signal Definition'!J260),"",'Signal Definition'!J260)</f>
        <v>PredtnHrznGenr_nVectHrznLong_PHY</v>
      </c>
      <c r="B260" s="9">
        <f t="array" ref="B260">COUNT(FIND("input",$D260:$BY260))</f>
        <v>0</v>
      </c>
      <c r="C260" s="9">
        <f t="array" ref="C260">COUNT(FIND("output",$D260:$BY260))</f>
        <v>1</v>
      </c>
      <c r="AE260" t="s">
        <v>2661</v>
      </c>
    </row>
    <row r="261" spans="1:41" ht="14.4" customHeight="1" x14ac:dyDescent="0.3">
      <c r="A261" s="9" t="str">
        <f>IF(ISBLANK('Signal Definition'!J261),"",'Signal Definition'!J261)</f>
        <v>PredtnHrznGenr_idxVectHrznLenLong_PHY</v>
      </c>
      <c r="B261" s="9">
        <f t="array" ref="B261">COUNT(FIND("input",$D261:$BY261))</f>
        <v>0</v>
      </c>
      <c r="C261" s="9">
        <f t="array" ref="C261">COUNT(FIND("output",$D261:$BY261))</f>
        <v>1</v>
      </c>
      <c r="AE261" t="s">
        <v>2661</v>
      </c>
    </row>
    <row r="262" spans="1:41" ht="14.4" customHeight="1" x14ac:dyDescent="0.3">
      <c r="A262" s="9" t="str">
        <f>IF(ISBLANK('Signal Definition'!J262),"",'Signal Definition'!J262)</f>
        <v>PredtnHrznGenr_idxVectHrznLenSho_PHY</v>
      </c>
      <c r="B262" s="9">
        <f t="array" ref="B262">COUNT(FIND("input",$D262:$BY262))</f>
        <v>0</v>
      </c>
      <c r="C262" s="9">
        <f t="array" ref="C262">COUNT(FIND("output",$D262:$BY262))</f>
        <v>1</v>
      </c>
      <c r="AE262" t="s">
        <v>2661</v>
      </c>
    </row>
    <row r="263" spans="1:41" ht="14.4" customHeight="1" x14ac:dyDescent="0.3">
      <c r="A263" s="9" t="str">
        <f>IF(ISBLANK('Signal Definition'!J263),"",'Signal Definition'!J263)</f>
        <v>PredtnHrznGenr_tiHrznLenSho_PHY</v>
      </c>
      <c r="B263" s="9">
        <f t="array" ref="B263">COUNT(FIND("input",$D263:$BY263))</f>
        <v>0</v>
      </c>
      <c r="C263" s="9">
        <f t="array" ref="C263">COUNT(FIND("output",$D263:$BY263))</f>
        <v>1</v>
      </c>
      <c r="AE263" t="s">
        <v>2661</v>
      </c>
    </row>
    <row r="264" spans="1:41" ht="14.4" customHeight="1" x14ac:dyDescent="0.3">
      <c r="A264" s="9" t="str">
        <f>IF(ISBLANK('Signal Definition'!J264),"",'Signal Definition'!J264)</f>
        <v>PredtnHrznGenr_tiHrznLenLong_PHY</v>
      </c>
      <c r="B264" s="9">
        <f t="array" ref="B264">COUNT(FIND("input",$D264:$BY264))</f>
        <v>0</v>
      </c>
      <c r="C264" s="9">
        <f t="array" ref="C264">COUNT(FIND("output",$D264:$BY264))</f>
        <v>1</v>
      </c>
      <c r="AE264" t="s">
        <v>2661</v>
      </c>
    </row>
    <row r="265" spans="1:41" ht="14.4" customHeight="1" x14ac:dyDescent="0.3">
      <c r="A265" s="9" t="str">
        <f>IF(ISBLANK('Signal Definition'!J265),"",'Signal Definition'!J265)</f>
        <v>PredtnHrznGenr_stTrigOptmr_PHY</v>
      </c>
      <c r="B265" s="9">
        <f t="array" ref="B265">COUNT(FIND("input",$D265:$BY265))</f>
        <v>0</v>
      </c>
      <c r="C265" s="9">
        <f t="array" ref="C265">COUNT(FIND("output",$D265:$BY265))</f>
        <v>1</v>
      </c>
      <c r="AE265" t="s">
        <v>2661</v>
      </c>
    </row>
    <row r="266" spans="1:41" ht="14.4" customHeight="1" x14ac:dyDescent="0.3">
      <c r="A266" s="9" t="str">
        <f>IF(ISBLANK('Signal Definition'!J266),"",'Signal Definition'!J266)</f>
        <v>PredtnHrznGenr_swtExtSrcPredtnData_PHY</v>
      </c>
      <c r="B266" s="9">
        <f t="array" ref="B266">COUNT(FIND("input",$D266:$BY266))</f>
        <v>0</v>
      </c>
      <c r="C266" s="9">
        <f t="array" ref="C266">COUNT(FIND("output",$D266:$BY266))</f>
        <v>1</v>
      </c>
      <c r="AE266" t="s">
        <v>2661</v>
      </c>
    </row>
    <row r="267" spans="1:41" ht="14.4" customHeight="1" x14ac:dyDescent="0.3">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4" customHeight="1" x14ac:dyDescent="0.3">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4" customHeight="1" x14ac:dyDescent="0.3">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4" customHeight="1" x14ac:dyDescent="0.3">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4"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4"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4"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4"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4"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4"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 customHeight="1" x14ac:dyDescent="0.3">
      <c r="A288" s="9" t="str">
        <f>IF(ISBLANK('Signal Definition'!J288),"",'Signal Definition'!J288)</f>
        <v>EngCtrl_numEngOpertgModOvrd_INT</v>
      </c>
      <c r="B288" s="9">
        <f t="array" ref="B288">COUNT(FIND("input",$D288:$BY288))</f>
        <v>0</v>
      </c>
      <c r="C288" s="9">
        <f t="array" ref="C288">COUNT(FIND("output",$D288:$BY288))</f>
        <v>1</v>
      </c>
      <c r="Y288" t="s">
        <v>2661</v>
      </c>
    </row>
    <row r="289" spans="1:41" ht="14.4"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4"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1" ht="14.4"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4" customHeight="1" x14ac:dyDescent="0.3">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4" customHeight="1" x14ac:dyDescent="0.3">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4" customHeight="1" x14ac:dyDescent="0.3">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4" customHeight="1" x14ac:dyDescent="0.3">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4" customHeight="1" x14ac:dyDescent="0.3">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4" customHeight="1" x14ac:dyDescent="0.3">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4" customHeight="1" x14ac:dyDescent="0.3">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4" customHeight="1" x14ac:dyDescent="0.3">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4" customHeight="1" x14ac:dyDescent="0.3">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4" customHeight="1" x14ac:dyDescent="0.3">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4"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4"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4"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4"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4"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4"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4"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4"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4"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4"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4"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4"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4"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4"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4"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4"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4"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4"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4"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4"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4"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4"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4"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4"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4"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4"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4"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4"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4"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4"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4"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4"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4"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4"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4"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4"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4"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4"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4"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4"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4"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4"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4"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4"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4"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4"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4"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4"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4"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4"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4"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4"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4"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4"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4"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4"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4"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4"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4"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4"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4"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1" ht="14.4"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1" ht="14.4"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1"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4"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4"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4"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4"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3">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3">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3">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3">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3">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3">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3">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3">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3">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3">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3">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3">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3">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3">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3">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3">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3">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3">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3">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3">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3">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3">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3">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3">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3">
      <c r="A452" s="9" t="str">
        <f>IF(ISBLANK('Signal Definition'!J452),"",'Signal Definition'!J452)</f>
        <v>HrznAryCalcn_lDstHrznLst_INT</v>
      </c>
      <c r="B452" s="9">
        <f t="array" ref="B452">COUNT(FIND("input",$D452:$BY452))</f>
        <v>0</v>
      </c>
      <c r="C452" s="9">
        <f t="array" ref="C452">COUNT(FIND("output",$D452:$BY452))</f>
        <v>1</v>
      </c>
      <c r="AO452" t="s">
        <v>2661</v>
      </c>
    </row>
    <row r="453" spans="1:41" x14ac:dyDescent="0.3">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3">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3">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3">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3">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3">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3">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3">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3">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3">
      <c r="A462" s="9" t="str">
        <f>IF(ISBLANK('Signal Definition'!J462),"",'Signal Definition'!J462)</f>
        <v/>
      </c>
      <c r="B462" s="9">
        <f t="array" ref="B462">COUNT(FIND("input",$D462:$BY462))</f>
        <v>0</v>
      </c>
      <c r="C462" s="9">
        <f t="array" ref="C462">COUNT(FIND("output",$D462:$BY462))</f>
        <v>0</v>
      </c>
    </row>
    <row r="463" spans="1:41" x14ac:dyDescent="0.3">
      <c r="A463" s="9" t="str">
        <f>IF(ISBLANK('Signal Definition'!J463),"",'Signal Definition'!J463)</f>
        <v/>
      </c>
      <c r="B463" s="9">
        <f t="array" ref="B463">COUNT(FIND("input",$D463:$BY463))</f>
        <v>0</v>
      </c>
      <c r="C463" s="9">
        <f t="array" ref="C463">COUNT(FIND("output",$D463:$BY463))</f>
        <v>0</v>
      </c>
    </row>
    <row r="464" spans="1:41"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5"/>
  <sheetViews>
    <sheetView topLeftCell="A37" zoomScale="95" zoomScaleNormal="95" workbookViewId="0">
      <selection activeCell="P59" sqref="P59"/>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3">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0.01</v>
      </c>
    </row>
    <row r="52" spans="1:16" x14ac:dyDescent="0.3">
      <c r="A52" t="s">
        <v>4240</v>
      </c>
      <c r="B52" t="s">
        <v>4241</v>
      </c>
      <c r="C52" t="s">
        <v>4242</v>
      </c>
      <c r="D52" t="s">
        <v>3697</v>
      </c>
      <c r="E52" t="s">
        <v>3849</v>
      </c>
      <c r="F52" t="s">
        <v>2701</v>
      </c>
      <c r="G52" t="s">
        <v>113</v>
      </c>
      <c r="H52" t="s">
        <v>2568</v>
      </c>
      <c r="I52" s="68" t="s">
        <v>4243</v>
      </c>
      <c r="J52" t="s">
        <v>14</v>
      </c>
      <c r="K52">
        <v>0</v>
      </c>
      <c r="L52">
        <v>0</v>
      </c>
      <c r="M52">
        <v>1</v>
      </c>
      <c r="N52">
        <v>2.0000000000000001E-10</v>
      </c>
      <c r="O52">
        <v>4294967296</v>
      </c>
      <c r="P52" s="54">
        <v>0</v>
      </c>
    </row>
    <row r="53" spans="1:16" x14ac:dyDescent="0.3">
      <c r="A53" t="s">
        <v>4244</v>
      </c>
      <c r="B53" t="s">
        <v>4245</v>
      </c>
      <c r="C53" t="s">
        <v>4246</v>
      </c>
      <c r="D53" t="s">
        <v>2716</v>
      </c>
      <c r="E53" t="s">
        <v>2717</v>
      </c>
      <c r="F53" t="s">
        <v>2669</v>
      </c>
      <c r="G53" t="s">
        <v>113</v>
      </c>
      <c r="H53" t="s">
        <v>2568</v>
      </c>
      <c r="I53" s="68" t="s">
        <v>4247</v>
      </c>
      <c r="J53" t="s">
        <v>14</v>
      </c>
      <c r="K53">
        <v>0</v>
      </c>
      <c r="L53">
        <v>0</v>
      </c>
      <c r="M53">
        <v>1</v>
      </c>
      <c r="N53">
        <v>2.0000000000000001E-10</v>
      </c>
      <c r="O53">
        <v>4294967296</v>
      </c>
      <c r="P53" s="54">
        <v>1</v>
      </c>
    </row>
    <row r="54" spans="1:16" x14ac:dyDescent="0.3">
      <c r="A54" t="s">
        <v>4248</v>
      </c>
      <c r="B54" t="s">
        <v>4249</v>
      </c>
      <c r="C54" t="s">
        <v>4250</v>
      </c>
      <c r="D54" t="s">
        <v>2716</v>
      </c>
      <c r="E54" t="s">
        <v>2717</v>
      </c>
      <c r="F54" t="s">
        <v>2669</v>
      </c>
      <c r="G54" t="s">
        <v>113</v>
      </c>
      <c r="H54" t="s">
        <v>2637</v>
      </c>
      <c r="I54" s="68" t="s">
        <v>4251</v>
      </c>
      <c r="J54" t="s">
        <v>14</v>
      </c>
      <c r="K54" t="s">
        <v>4252</v>
      </c>
      <c r="L54">
        <v>0</v>
      </c>
      <c r="M54">
        <v>5</v>
      </c>
      <c r="N54">
        <v>1.2E-9</v>
      </c>
      <c r="O54">
        <v>4294967296</v>
      </c>
      <c r="P54" s="54" t="s">
        <v>4253</v>
      </c>
    </row>
    <row r="55" spans="1:16" x14ac:dyDescent="0.3">
      <c r="A55" t="s">
        <v>4254</v>
      </c>
      <c r="B55" t="s">
        <v>4255</v>
      </c>
      <c r="C55" t="s">
        <v>4256</v>
      </c>
      <c r="D55" t="s">
        <v>2716</v>
      </c>
      <c r="E55" t="s">
        <v>2717</v>
      </c>
      <c r="F55" t="s">
        <v>2669</v>
      </c>
      <c r="G55" t="s">
        <v>113</v>
      </c>
      <c r="H55" t="s">
        <v>2638</v>
      </c>
      <c r="I55" s="68" t="s">
        <v>4257</v>
      </c>
      <c r="J55" t="s">
        <v>14</v>
      </c>
      <c r="K55" t="s">
        <v>4252</v>
      </c>
      <c r="L55">
        <v>0</v>
      </c>
      <c r="M55">
        <v>10</v>
      </c>
      <c r="N55">
        <v>2.2999999999999999E-9</v>
      </c>
      <c r="O55">
        <v>4294967296</v>
      </c>
      <c r="P55" s="54" t="s">
        <v>4258</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D39" s="19" t="s">
        <v>4105</v>
      </c>
      <c r="E39" s="20" t="s">
        <v>4106</v>
      </c>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2h3HjBv/uxYCn5eAUTmM7/+XF8YFW3wcWfOFc/44iEK+ZhmNfTv5jbUb2gyRdvBkwtltAmZi+yfcndxHsjosDA==" saltValue="vNd4XlkrzDJBhRgABO+ZJ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topLeftCell="A19"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row r="40" spans="1:4" x14ac:dyDescent="0.3">
      <c r="A40" t="s">
        <v>2663</v>
      </c>
      <c r="B40" t="s">
        <v>2782</v>
      </c>
      <c r="C40" t="s">
        <v>4105</v>
      </c>
      <c r="D40" t="s">
        <v>1901</v>
      </c>
    </row>
  </sheetData>
  <sheetProtection algorithmName="SHA-512" hashValue="JuQWQrWsTrHdbwyL65ZvsdJUCmjW+6Sck5q8ImKlzYNA1v4XvZKWQNOfQyrBP53AdGStRCgR7xa/M3yN7KhmAg==" saltValue="ylmSlN+oYpb0I4FIFxfpX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8"/>
  <sheetViews>
    <sheetView workbookViewId="0">
      <selection activeCell="C21" sqref="C21"/>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4072</v>
      </c>
      <c r="D2" t="s">
        <v>4217</v>
      </c>
      <c r="E2" t="s">
        <v>4200</v>
      </c>
    </row>
    <row r="3" spans="1:5" x14ac:dyDescent="0.3">
      <c r="A3" t="s">
        <v>4074</v>
      </c>
      <c r="D3" t="s">
        <v>4218</v>
      </c>
      <c r="E3" t="s">
        <v>4201</v>
      </c>
    </row>
    <row r="4" spans="1:5" x14ac:dyDescent="0.3">
      <c r="A4" t="s">
        <v>4080</v>
      </c>
      <c r="D4" t="s">
        <v>4219</v>
      </c>
      <c r="E4" t="s">
        <v>4202</v>
      </c>
    </row>
    <row r="5" spans="1:5" x14ac:dyDescent="0.3">
      <c r="A5" t="s">
        <v>4083</v>
      </c>
      <c r="D5" t="s">
        <v>4220</v>
      </c>
      <c r="E5" t="s">
        <v>4203</v>
      </c>
    </row>
    <row r="6" spans="1:5" x14ac:dyDescent="0.3">
      <c r="A6" t="s">
        <v>4112</v>
      </c>
      <c r="D6" t="s">
        <v>4221</v>
      </c>
      <c r="E6" t="s">
        <v>4204</v>
      </c>
    </row>
    <row r="7" spans="1:5" x14ac:dyDescent="0.3">
      <c r="A7" t="s">
        <v>4115</v>
      </c>
      <c r="D7" t="s">
        <v>4222</v>
      </c>
      <c r="E7" t="s">
        <v>4205</v>
      </c>
    </row>
    <row r="8" spans="1:5" x14ac:dyDescent="0.3">
      <c r="A8" t="s">
        <v>4118</v>
      </c>
      <c r="D8" t="s">
        <v>4223</v>
      </c>
      <c r="E8" t="s">
        <v>4206</v>
      </c>
    </row>
    <row r="9" spans="1:5" x14ac:dyDescent="0.3">
      <c r="A9" t="s">
        <v>4121</v>
      </c>
      <c r="D9" t="s">
        <v>4224</v>
      </c>
      <c r="E9" t="s">
        <v>4207</v>
      </c>
    </row>
    <row r="10" spans="1:5" x14ac:dyDescent="0.3">
      <c r="A10" t="s">
        <v>4124</v>
      </c>
      <c r="D10" t="s">
        <v>4225</v>
      </c>
      <c r="E10" t="s">
        <v>4208</v>
      </c>
    </row>
    <row r="11" spans="1:5" x14ac:dyDescent="0.3">
      <c r="A11" t="s">
        <v>4199</v>
      </c>
      <c r="D11" t="s">
        <v>4226</v>
      </c>
      <c r="E11" t="s">
        <v>4209</v>
      </c>
    </row>
    <row r="12" spans="1:5" x14ac:dyDescent="0.3">
      <c r="A12" t="s">
        <v>4125</v>
      </c>
      <c r="D12" t="s">
        <v>4227</v>
      </c>
      <c r="E12" t="s">
        <v>4210</v>
      </c>
    </row>
    <row r="13" spans="1:5" x14ac:dyDescent="0.3">
      <c r="A13" t="s">
        <v>4126</v>
      </c>
      <c r="D13" t="s">
        <v>4228</v>
      </c>
      <c r="E13" t="s">
        <v>4211</v>
      </c>
    </row>
    <row r="14" spans="1:5" x14ac:dyDescent="0.3">
      <c r="A14" t="s">
        <v>4127</v>
      </c>
      <c r="D14" t="s">
        <v>4229</v>
      </c>
      <c r="E14" t="s">
        <v>4212</v>
      </c>
    </row>
    <row r="15" spans="1:5" x14ac:dyDescent="0.3">
      <c r="A15" t="s">
        <v>4128</v>
      </c>
      <c r="D15" t="s">
        <v>4230</v>
      </c>
      <c r="E15" t="s">
        <v>4213</v>
      </c>
    </row>
    <row r="16" spans="1:5" x14ac:dyDescent="0.3">
      <c r="A16" t="s">
        <v>4131</v>
      </c>
      <c r="D16" t="s">
        <v>4231</v>
      </c>
      <c r="E16" t="s">
        <v>4214</v>
      </c>
    </row>
    <row r="17" spans="1:5" x14ac:dyDescent="0.3">
      <c r="A17" t="s">
        <v>4134</v>
      </c>
      <c r="D17" t="s">
        <v>4232</v>
      </c>
      <c r="E17" t="s">
        <v>4215</v>
      </c>
    </row>
    <row r="18" spans="1:5" x14ac:dyDescent="0.3">
      <c r="A18" t="s">
        <v>4137</v>
      </c>
      <c r="D18" t="s">
        <v>4233</v>
      </c>
      <c r="E18" t="s">
        <v>4216</v>
      </c>
    </row>
    <row r="19" spans="1:5" x14ac:dyDescent="0.3">
      <c r="A19" t="s">
        <v>4140</v>
      </c>
      <c r="D19" t="s">
        <v>4234</v>
      </c>
    </row>
    <row r="20" spans="1:5" x14ac:dyDescent="0.3">
      <c r="A20" t="s">
        <v>4143</v>
      </c>
      <c r="D20" t="s">
        <v>4235</v>
      </c>
    </row>
    <row r="21" spans="1:5" x14ac:dyDescent="0.3">
      <c r="A21" t="s">
        <v>4146</v>
      </c>
      <c r="D21" t="s">
        <v>4236</v>
      </c>
    </row>
    <row r="22" spans="1:5" x14ac:dyDescent="0.3">
      <c r="A22" t="s">
        <v>4149</v>
      </c>
      <c r="D22" t="s">
        <v>4237</v>
      </c>
    </row>
    <row r="23" spans="1:5" x14ac:dyDescent="0.3">
      <c r="A23" t="s">
        <v>4152</v>
      </c>
      <c r="D23" t="s">
        <v>4238</v>
      </c>
    </row>
    <row r="24" spans="1:5" x14ac:dyDescent="0.3">
      <c r="A24" t="s">
        <v>4156</v>
      </c>
      <c r="D24" t="s">
        <v>4239</v>
      </c>
    </row>
    <row r="25" spans="1:5" x14ac:dyDescent="0.3">
      <c r="A25" t="s">
        <v>4159</v>
      </c>
    </row>
    <row r="26" spans="1:5" x14ac:dyDescent="0.3">
      <c r="A26" t="s">
        <v>4162</v>
      </c>
    </row>
    <row r="27" spans="1:5" x14ac:dyDescent="0.3">
      <c r="A27" t="s">
        <v>4165</v>
      </c>
    </row>
    <row r="28" spans="1:5" x14ac:dyDescent="0.3">
      <c r="A28" t="s">
        <v>4168</v>
      </c>
    </row>
    <row r="29" spans="1:5" x14ac:dyDescent="0.3">
      <c r="A29" t="s">
        <v>4171</v>
      </c>
    </row>
    <row r="30" spans="1:5" x14ac:dyDescent="0.3">
      <c r="A30" t="s">
        <v>4174</v>
      </c>
    </row>
    <row r="31" spans="1:5" x14ac:dyDescent="0.3">
      <c r="A31" t="s">
        <v>4177</v>
      </c>
    </row>
    <row r="32" spans="1:5" x14ac:dyDescent="0.3">
      <c r="A32" t="s">
        <v>4180</v>
      </c>
    </row>
    <row r="33" spans="1:1" x14ac:dyDescent="0.3">
      <c r="A33" t="s">
        <v>4183</v>
      </c>
    </row>
    <row r="34" spans="1:1" x14ac:dyDescent="0.3">
      <c r="A34" t="s">
        <v>4186</v>
      </c>
    </row>
    <row r="35" spans="1:1" x14ac:dyDescent="0.3">
      <c r="A35" t="s">
        <v>4189</v>
      </c>
    </row>
    <row r="36" spans="1:1" x14ac:dyDescent="0.3">
      <c r="A36" t="s">
        <v>4192</v>
      </c>
    </row>
    <row r="37" spans="1:1" x14ac:dyDescent="0.3">
      <c r="A37" t="s">
        <v>4195</v>
      </c>
    </row>
    <row r="38" spans="1:1" x14ac:dyDescent="0.3">
      <c r="A38" t="s">
        <v>4198</v>
      </c>
    </row>
  </sheetData>
  <sheetProtection algorithmName="SHA-512" hashValue="sixqp8rL1FsZDMLcaPk0uQCXSe3xF0UK6WBNYqJmr6gdipaV/oCCRMAT3AjAcTjl5BNSUB/3Rw46lxdNWbdpMA==" saltValue="SZb5+Yd5nvJRh1+cunyb3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2019-03-08T06:40:10Z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