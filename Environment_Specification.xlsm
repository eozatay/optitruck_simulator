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465" windowWidth="23145" windowHeight="13065" tabRatio="591"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7"/>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Connections'!$A$2:$BP$1095</definedName>
    <definedName name="_xlnm._FilterDatabase" localSheetId="1" hidden="1">'Signal Definition'!$A$2:$R$170</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concurrentCalc="0"/>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<sst xmlns="http://schemas.openxmlformats.org/spreadsheetml/2006/main" count="5778" uniqueCount="3391">
  <si>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</si>
  <si>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</si>
  <si>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</si>
  <si>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</si>
  <si>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</si>
  <si>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</si>
  <si>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</si>
  <si>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</si>
  <si>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</si>
  <si>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</si>
  <si>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</si>
  <si>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</si>
  <si>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</si>
  <si>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</si>
  <si>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</si>
  <si>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</si>
  <si>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</si>
  <si>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</si>
  <si>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</si>
  <si>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</si>
  <si>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</si>
  <si>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</si>
  <si>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</si>
  <si>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</si>
  <si>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</si>
  <si>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</si>
  <si>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</si>
  <si>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</si>
  <si>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</si>
  <si>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</si>
  <si>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</si>
  <si>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</si>
  <si>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</si>
  <si>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</si>
  <si>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</si>
  <si>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</si>
  <si>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</si>
  <si>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</si>
  <si>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</si>
  <si>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</si>
  <si>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</si>
  <si>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</si>
  <si>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</si>
  <si>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</si>
  <si>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</si>
  <si>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</si>
  <si>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</si>
  <si>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</si>
  <si>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</si>
  <si>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</si>
  <si>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</si>
  <si>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</si>
  <si>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</si>
  <si>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</si>
  <si>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</si>
  <si>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</si>
  <si>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</si>
  <si>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</si>
  <si>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</si>
  <si>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</si>
  <si>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</si>
  <si>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</si>
  <si>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</si>
  <si>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</si>
  <si>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</si>
  <si>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</si>
  <si>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</si>
  <si>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</si>
  <si>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</si>
  <si>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</si>
  <si>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</si>
  <si>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</si>
  <si>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</si>
  <si>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</si>
  <si>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</si>
  <si>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</si>
  <si>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</si>
  <si>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</si>
  <si>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</si>
  <si>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</si>
  <si>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</si>
  <si>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</si>
  <si>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</si>
  <si>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</si>
  <si>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</si>
  <si>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</si>
  <si>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</si>
  <si>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</si>
  <si>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</si>
  <si>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</si>
  <si>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</si>
  <si>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</si>
  <si>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</si>
  <si>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</si>
  <si>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</si>
  <si>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</si>
  <si>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</si>
  <si>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</si>
  <si>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</si>
  <si>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</si>
  <si>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</si>
  <si>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</si>
  <si>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</si>
  <si>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</si>
  <si>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</si>
  <si>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</si>
  <si>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</si>
  <si>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</si>
  <si>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</si>
  <si>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</si>
  <si>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</si>
  <si>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</si>
  <si>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</si>
  <si>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</si>
  <si>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</si>
  <si>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</si>
  <si>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</si>
  <si>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</si>
  <si>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</si>
  <si>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</si>
  <si>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</si>
  <si>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</si>
  <si>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</si>
  <si>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</si>
  <si>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</si>
  <si>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</si>
  <si>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</si>
  <si>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</si>
  <si>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</si>
  <si>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</si>
  <si>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</si>
  <si>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</si>
  <si>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</si>
  <si>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</si>
  <si>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</si>
  <si>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</si>
  <si>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</si>
  <si>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</si>
  <si>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</si>
  <si>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</si>
  <si>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</si>
  <si>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</si>
  <si>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</si>
  <si>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</si>
  <si>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</si>
  <si>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</si>
  <si>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</si>
  <si>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</si>
  <si>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</si>
  <si>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</si>
  <si>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</si>
  <si>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</si>
  <si>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</si>
  <si>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</si>
  <si>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</si>
  <si>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</si>
  <si>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</si>
  <si>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</si>
  <si>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</si>
  <si>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</si>
  <si>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</si>
  <si>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</si>
  <si>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</si>
  <si>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</si>
  <si>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</si>
  <si>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</si>
  <si>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</si>
  <si>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</si>
  <si>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</si>
  <si>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</si>
  <si>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</si>
  <si>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</si>
  <si>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</si>
  <si>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</si>
  <si>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</si>
  <si>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</si>
  <si>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</si>
  <si>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</si>
  <si>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</si>
  <si>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</si>
  <si>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</si>
  <si>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</si>
  <si>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</si>
  <si>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</si>
  <si>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</si>
  <si>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</si>
  <si>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</si>
  <si>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</si>
  <si>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</si>
  <si>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</si>
  <si>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</si>
  <si>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</si>
  <si>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</si>
  <si>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</si>
  <si>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</si>
  <si>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</si>
  <si>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</si>
  <si>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</si>
  <si>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</si>
  <si>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</si>
  <si>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</si>
  <si>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</si>
  <si>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</si>
  <si>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</si>
  <si>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</si>
  <si>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</si>
  <si>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</si>
  <si>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</si>
  <si>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</si>
  <si>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</si>
  <si>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</si>
  <si>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</si>
  <si>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</si>
  <si>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</si>
  <si>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</si>
  <si>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</si>
  <si>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</si>
  <si>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</si>
  <si>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</si>
  <si>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</si>
  <si>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</si>
  <si>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</si>
  <si>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</si>
  <si>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</si>
  <si>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</si>
  <si>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</si>
  <si>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</si>
  <si>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</si>
  <si>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</si>
  <si>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</si>
  <si>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</si>
  <si>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</si>
  <si>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</si>
  <si>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</si>
  <si>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</si>
  <si>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</si>
  <si>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</si>
  <si>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</si>
  <si>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</si>
  <si>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</si>
  <si>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</si>
  <si>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</si>
  <si>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</si>
  <si>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</si>
  <si>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</si>
  <si>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</si>
  <si>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</si>
  <si>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</si>
  <si>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</si>
  <si>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</si>
  <si>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</si>
  <si>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</si>
  <si>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</si>
  <si>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</si>
  <si>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</si>
  <si>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</si>
  <si>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</si>
  <si>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</si>
  <si>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</si>
  <si>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</si>
  <si>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</si>
  <si>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</si>
  <si>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</si>
  <si>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</si>
  <si>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</si>
  <si>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</si>
  <si>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</si>
  <si>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</si>
  <si>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</si>
  <si>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</si>
  <si>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</si>
  <si>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</si>
  <si>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</si>
  <si>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</si>
  <si>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</si>
  <si>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</si>
  <si>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</si>
  <si>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</si>
  <si>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</si>
  <si>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</si>
  <si>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</si>
  <si>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</si>
  <si>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</si>
  <si>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</si>
  <si>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</si>
  <si>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</si>
  <si>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</si>
  <si>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</si>
  <si>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</si>
  <si>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</si>
  <si>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</si>
  <si>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</si>
  <si>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</si>
  <si>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</si>
  <si>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</si>
  <si>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</si>
  <si>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</si>
  <si>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</si>
  <si>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</si>
  <si>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</si>
  <si>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</si>
  <si>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</si>
  <si>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</si>
  <si>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</si>
  <si>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</si>
  <si>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</si>
  <si>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</si>
  <si>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</si>
  <si>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</si>
  <si>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</si>
  <si>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</si>
  <si>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</si>
  <si>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</si>
  <si>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</si>
  <si>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</si>
  <si>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</si>
  <si>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</si>
  <si>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</si>
  <si>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</si>
  <si>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</si>
  <si>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</si>
  <si>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</si>
  <si>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</si>
  <si>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</si>
  <si>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</si>
  <si>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</si>
  <si>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</si>
  <si>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</si>
  <si>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</si>
  <si>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</si>
  <si>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</si>
  <si>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</si>
  <si>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</si>
  <si>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</si>
  <si>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</si>
  <si>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</si>
  <si>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</si>
  <si>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</si>
  <si>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</si>
  <si>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</si>
  <si>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</si>
  <si>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</si>
  <si>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</si>
  <si>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</si>
  <si>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</si>
  <si>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</si>
  <si>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</si>
  <si>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</si>
  <si>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</si>
  <si>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</si>
  <si>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</si>
  <si>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</si>
  <si>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</si>
  <si>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</si>
  <si>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</si>
  <si>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</si>
  <si>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</si>
  <si>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</si>
  <si>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</si>
  <si>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</si>
  <si>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</si>
  <si>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</si>
  <si>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</si>
  <si>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</si>
  <si>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</si>
  <si>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</si>
  <si>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</si>
  <si>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</si>
  <si>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</si>
  <si>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</si>
  <si>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</si>
  <si>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</si>
  <si>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</si>
  <si>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</si>
  <si>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</si>
  <si>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</si>
  <si>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</si>
  <si>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</si>
  <si>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</si>
  <si>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</si>
  <si>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</si>
  <si>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</si>
  <si>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</si>
  <si>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</si>
  <si>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</si>
  <si>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</si>
  <si>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</si>
  <si>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</si>
  <si>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</si>
  <si>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</si>
  <si>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</si>
  <si>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</si>
  <si>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</si>
  <si>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</si>
  <si>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</si>
  <si>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</si>
  <si>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</si>
  <si>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</si>
  <si>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</si>
  <si>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</si>
  <si>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</si>
  <si>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</si>
  <si>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</si>
  <si>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</si>
  <si>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</si>
  <si>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</si>
  <si>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</si>
  <si>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</si>
  <si>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</si>
  <si>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</si>
  <si>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</si>
  <si>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</si>
  <si>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</si>
  <si>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</si>
  <si>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</si>
  <si>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</si>
  <si>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</si>
  <si>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</si>
  <si>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</si>
  <si>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</si>
  <si>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</si>
  <si>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</si>
  <si>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</si>
  <si>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</si>
  <si>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</si>
  <si>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</si>
  <si>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</si>
  <si>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</si>
  <si>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</si>
  <si>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</si>
  <si>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</si>
  <si>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</si>
  <si>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</si>
  <si>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</si>
  <si>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</si>
  <si>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</si>
  <si>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</si>
  <si>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</si>
  <si>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</si>
  <si>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</si>
  <si>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</si>
  <si>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</si>
  <si>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</si>
  <si>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</si>
  <si>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</si>
  <si>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</si>
  <si>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</si>
  <si>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</si>
  <si>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</si>
  <si>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</si>
  <si>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</si>
  <si>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</si>
  <si>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</si>
  <si>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</si>
  <si>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</si>
  <si>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</si>
  <si>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</si>
  <si>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</si>
  <si>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</si>
  <si>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</si>
  <si>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</si>
  <si>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</si>
  <si>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</si>
  <si>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</si>
  <si>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</si>
  <si>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</si>
  <si>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</si>
  <si>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</si>
  <si>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</si>
  <si>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</si>
  <si>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</si>
  <si>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</si>
  <si>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</si>
  <si>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</si>
  <si>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</si>
  <si>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</si>
  <si>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</si>
  <si>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</si>
  <si>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</si>
  <si>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</si>
  <si>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</si>
  <si>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</si>
  <si>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</si>
  <si>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</si>
  <si>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</si>
  <si>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</si>
  <si>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</si>
  <si>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</si>
  <si>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</si>
  <si>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</si>
  <si>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</si>
  <si>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</si>
  <si>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</si>
  <si>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</si>
  <si>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</si>
  <si>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</si>
  <si>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</si>
  <si>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</si>
  <si>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</si>
  <si>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</si>
  <si>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</si>
  <si>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</si>
  <si>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</si>
  <si>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</si>
  <si>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</si>
  <si>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</si>
  <si>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</si>
  <si>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</si>
  <si>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</si>
  <si>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</si>
  <si>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</si>
  <si>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</si>
  <si>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</si>
  <si>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</si>
  <si>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</si>
  <si>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</si>
  <si>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</si>
  <si>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</si>
  <si>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</si>
  <si>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</si>
  <si>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</si>
  <si>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</si>
  <si>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</si>
  <si>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</si>
  <si>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</si>
  <si>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</si>
  <si>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</si>
  <si>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</si>
  <si>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</si>
  <si>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</si>
  <si>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</si>
  <si>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</si>
  <si>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</si>
  <si>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</si>
  <si>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</si>
  <si>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</si>
  <si>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</si>
  <si>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</si>
  <si>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</si>
  <si>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</si>
  <si>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</si>
  <si>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</si>
  <si>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</si>
  <si>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</si>
  <si>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</si>
  <si>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</si>
  <si>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</si>
  <si>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</si>
  <si>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</si>
  <si>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</si>
  <si>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</si>
  <si>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</si>
  <si>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</si>
  <si>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</si>
  <si>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</si>
  <si>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</si>
  <si>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</si>
  <si>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</si>
  <si>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</si>
  <si>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</si>
  <si>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</si>
  <si>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</si>
  <si>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</si>
  <si>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</si>
  <si>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</si>
  <si>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</si>
  <si>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</si>
  <si>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</si>
  <si>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</si>
  <si>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</si>
  <si>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</si>
  <si>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</si>
  <si>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</si>
  <si>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</si>
  <si>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</si>
  <si>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</si>
  <si>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</si>
  <si>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</si>
  <si>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</si>
  <si>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</si>
  <si>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</si>
  <si>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</si>
  <si>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</si>
  <si>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</si>
  <si>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</si>
  <si>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</si>
  <si>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</si>
  <si>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</si>
  <si>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</si>
  <si>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</si>
  <si>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</si>
  <si>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</si>
  <si>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</si>
  <si>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</si>
  <si>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</si>
  <si>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</si>
  <si>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</si>
  <si>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</si>
  <si>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</si>
  <si>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</si>
  <si>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</si>
  <si>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</si>
  <si>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</si>
  <si>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</si>
  <si>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</si>
  <si>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</si>
  <si>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</si>
  <si>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</si>
  <si>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</si>
  <si>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</si>
  <si>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</si>
  <si>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</si>
  <si>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</si>
  <si>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</si>
  <si>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</si>
  <si>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</si>
  <si>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</si>
  <si>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</si>
  <si>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</si>
  <si>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</si>
  <si>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</si>
  <si>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</si>
  <si>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</si>
  <si>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</si>
  <si>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</si>
  <si>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</si>
  <si>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</si>
  <si>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</si>
  <si>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</si>
  <si>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</si>
  <si>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</si>
  <si>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</si>
  <si>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</si>
  <si>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</si>
  <si>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</si>
  <si>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</si>
  <si>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</si>
  <si>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</si>
  <si>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</si>
  <si>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</si>
  <si>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</si>
  <si>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</si>
  <si>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</si>
  <si>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</si>
  <si>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</si>
  <si>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</si>
  <si>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</si>
  <si>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</si>
  <si>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</si>
  <si>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</si>
  <si>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</si>
  <si>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</si>
  <si>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</si>
  <si>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</si>
  <si>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</si>
  <si>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</si>
  <si>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</si>
  <si>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</si>
  <si>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</si>
  <si>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</si>
  <si>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</si>
  <si>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</si>
  <si>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</si>
  <si>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</si>
  <si>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</si>
  <si>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</si>
  <si>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</si>
  <si>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</si>
  <si>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</si>
  <si>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</si>
  <si>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</si>
  <si>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</si>
  <si>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</si>
  <si>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</si>
  <si>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</si>
  <si>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</si>
  <si>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</si>
  <si>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</si>
  <si>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</si>
  <si>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</si>
  <si>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</si>
  <si>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</si>
  <si>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</si>
  <si>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</si>
  <si>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</si>
  <si>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</si>
  <si>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</si>
  <si>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</si>
  <si>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</si>
  <si>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</si>
  <si>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</si>
  <si>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</si>
  <si>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</si>
  <si>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</si>
  <si>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</si>
  <si>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</si>
  <si>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</si>
  <si>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</si>
  <si>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</si>
  <si>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</si>
  <si>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</si>
  <si>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</si>
  <si>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</si>
  <si>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</si>
  <si>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</si>
  <si>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</si>
  <si>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</si>
  <si>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</si>
  <si>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</si>
  <si>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</si>
  <si>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</si>
  <si>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</si>
  <si>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</si>
  <si>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</si>
  <si>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</si>
  <si>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</si>
  <si>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</si>
  <si>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</si>
  <si>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</si>
  <si>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</si>
  <si>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</si>
  <si>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</si>
  <si>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</si>
  <si>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</si>
  <si>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</si>
  <si>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</si>
  <si>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</si>
  <si>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</si>
  <si>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</si>
  <si>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</si>
  <si>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</si>
  <si>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</si>
  <si>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</si>
  <si>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</si>
  <si>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</si>
  <si>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</si>
  <si>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</si>
  <si>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</si>
  <si>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</si>
  <si>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</si>
  <si>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</si>
  <si>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</si>
  <si>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</si>
  <si>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</si>
  <si>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</si>
  <si>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</si>
  <si>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</si>
  <si>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</si>
  <si>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</si>
  <si>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</si>
  <si>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</si>
  <si>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</si>
  <si>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</si>
  <si>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</si>
  <si>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</si>
  <si>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</si>
  <si>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</si>
  <si>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</si>
  <si>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</si>
  <si>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</si>
  <si>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</si>
  <si>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</si>
  <si>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</si>
  <si>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</si>
  <si>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</si>
  <si>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</si>
  <si>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</si>
  <si>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</si>
  <si>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</si>
  <si>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</si>
  <si>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</si>
  <si>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</si>
  <si>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</si>
  <si>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</si>
  <si>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</si>
  <si>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</si>
  <si>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</si>
  <si>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</si>
  <si>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</si>
  <si>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</si>
  <si>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</si>
  <si>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</si>
  <si>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</si>
  <si>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</si>
  <si>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</si>
  <si>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</si>
  <si>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</si>
  <si>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</si>
  <si>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</si>
  <si>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</si>
  <si>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</si>
  <si>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</si>
  <si>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</si>
  <si>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</si>
  <si>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</si>
  <si>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</si>
  <si>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</si>
  <si>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</si>
  <si>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</si>
  <si>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</si>
  <si>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</si>
  <si>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</si>
  <si>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</si>
  <si>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</si>
  <si>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</si>
  <si>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</si>
  <si>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</si>
  <si>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</si>
  <si>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</si>
  <si>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</si>
  <si>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</si>
  <si>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</si>
  <si>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</si>
  <si>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</si>
  <si>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</si>
  <si>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</si>
  <si>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</si>
  <si>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</si>
  <si>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</si>
  <si>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</si>
  <si>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</si>
  <si>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</si>
  <si>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</si>
  <si>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</si>
  <si>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</si>
  <si>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</si>
  <si>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</si>
  <si>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</si>
  <si>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</si>
  <si>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</si>
  <si>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</si>
  <si>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</si>
  <si>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</si>
  <si>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</si>
  <si>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</si>
  <si>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</si>
  <si>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</si>
  <si>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</si>
  <si>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</si>
  <si>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</si>
  <si>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</si>
  <si>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</si>
  <si>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</si>
  <si>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</si>
  <si>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</si>
  <si>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</si>
  <si>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</si>
  <si>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</si>
  <si>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</si>
  <si>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</si>
  <si>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</si>
  <si>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</si>
  <si>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</si>
  <si>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</si>
  <si>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</si>
  <si>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</si>
  <si>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</si>
  <si>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</si>
  <si>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</si>
  <si>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</si>
  <si>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</si>
  <si>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</si>
  <si>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</si>
  <si>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</si>
  <si>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</si>
  <si>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</si>
  <si>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</si>
  <si>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</si>
  <si>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</si>
  <si>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</si>
  <si>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</si>
  <si>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</si>
  <si>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</si>
  <si>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</si>
  <si>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</si>
  <si>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</si>
  <si>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</si>
  <si>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</si>
  <si>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</si>
  <si>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</si>
  <si>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</si>
  <si>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</si>
  <si>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</si>
  <si>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</si>
  <si>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</si>
  <si>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</si>
  <si>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</si>
  <si>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</si>
  <si>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</si>
  <si>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</si>
  <si>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</si>
  <si>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</si>
  <si>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</si>
  <si>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</si>
  <si>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</si>
  <si>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</si>
  <si>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</si>
  <si>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</si>
  <si>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</si>
  <si>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</si>
  <si>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</si>
  <si>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</si>
  <si>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</si>
  <si>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</si>
  <si>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</si>
  <si>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</si>
  <si>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</si>
  <si>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</si>
  <si>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</si>
  <si>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</si>
  <si>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</si>
  <si>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</si>
  <si>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</si>
  <si>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</si>
  <si>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</si>
  <si>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</si>
  <si>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</si>
  <si>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</si>
  <si>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</si>
  <si>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</si>
  <si>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</si>
  <si>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</si>
  <si>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</si>
  <si>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</si>
  <si>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</si>
  <si>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</si>
  <si>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</si>
  <si>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</si>
  <si>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</si>
  <si>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</si>
  <si>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</si>
  <si>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</si>
  <si>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</si>
  <si>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</si>
  <si>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</si>
  <si>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</si>
  <si>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</si>
  <si>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</si>
  <si>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</si>
  <si>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</si>
  <si>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</si>
  <si>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</si>
  <si>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</si>
  <si>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</si>
  <si>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</si>
  <si>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</si>
  <si>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</si>
  <si>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</si>
  <si>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</si>
  <si>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</si>
  <si>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</si>
  <si>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</si>
  <si>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</si>
  <si>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</si>
  <si>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</si>
  <si>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</si>
  <si>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</si>
  <si>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</si>
  <si>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</si>
  <si>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</si>
  <si>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</si>
  <si>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</si>
  <si>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</si>
  <si>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</si>
  <si>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</si>
  <si>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</si>
  <si>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</si>
  <si>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</si>
  <si>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</si>
  <si>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</si>
  <si>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</si>
  <si>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</si>
  <si>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</si>
  <si>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</si>
  <si>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</si>
  <si>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</si>
  <si>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</si>
  <si>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</si>
  <si>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</si>
  <si>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</si>
  <si>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</si>
  <si>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</si>
  <si>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</si>
  <si>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</si>
  <si>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</si>
  <si>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</si>
  <si>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</si>
  <si>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</si>
  <si>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</si>
  <si>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</si>
  <si>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</si>
  <si>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</si>
  <si>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</si>
  <si>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</si>
  <si>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</si>
  <si>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</si>
  <si>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</si>
  <si>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</si>
  <si>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</si>
  <si>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</si>
  <si>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</si>
  <si>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</si>
  <si>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</si>
  <si>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</si>
  <si>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</si>
  <si>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</si>
  <si>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</si>
  <si>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</si>
  <si>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</si>
  <si>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</si>
  <si>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</si>
  <si>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</si>
  <si>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</si>
  <si>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</si>
  <si>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</si>
  <si>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</si>
  <si>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</si>
  <si>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</si>
  <si>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</si>
  <si>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</si>
  <si>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</si>
  <si>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</si>
  <si>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</si>
  <si>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</si>
  <si>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</si>
  <si>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</si>
  <si>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</si>
  <si>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</si>
  <si>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</si>
  <si>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</si>
  <si>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</si>
  <si>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</si>
  <si>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</si>
  <si>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</si>
  <si>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</si>
  <si>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</si>
  <si>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</si>
  <si>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</si>
  <si>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</si>
  <si>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</si>
  <si>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</si>
  <si>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</si>
  <si>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</si>
  <si>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</si>
  <si>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</si>
  <si>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</si>
  <si>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</si>
  <si>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</si>
  <si>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</si>
  <si>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</si>
  <si>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</si>
  <si>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</si>
  <si>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</si>
  <si>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</si>
  <si>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</si>
  <si>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</si>
  <si>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</si>
  <si>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</si>
  <si>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</si>
  <si>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</si>
  <si>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</si>
  <si>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</si>
  <si>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</si>
  <si>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</si>
  <si>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</si>
  <si>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</si>
  <si>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</si>
  <si>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</si>
  <si>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</si>
  <si>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</si>
  <si>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</si>
  <si>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</si>
  <si>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</si>
  <si>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</si>
  <si>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</si>
  <si>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</si>
  <si>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</si>
  <si>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</si>
  <si>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</si>
  <si>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</si>
  <si>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</si>
  <si>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</si>
  <si>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</si>
  <si>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</si>
  <si>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</si>
  <si>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</si>
  <si>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</si>
  <si>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</si>
  <si>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</si>
  <si>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</si>
  <si>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</si>
  <si>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</si>
  <si>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</si>
  <si>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</si>
  <si>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</si>
  <si>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</si>
  <si>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</si>
  <si>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</si>
  <si>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</si>
  <si>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</si>
  <si>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</si>
  <si>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</si>
  <si>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</si>
  <si>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</si>
  <si>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</si>
  <si>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</si>
  <si>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</si>
  <si>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</si>
  <si>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</si>
  <si>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</si>
  <si>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</si>
  <si>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</si>
  <si>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</si>
  <si>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</si>
  <si>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</si>
  <si>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</si>
  <si>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</si>
  <si>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</si>
  <si>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</si>
  <si>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</si>
  <si>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</si>
  <si>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</si>
  <si>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</si>
  <si>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</si>
  <si>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</si>
  <si>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</si>
  <si>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</si>
  <si>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</si>
  <si>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</si>
  <si>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</si>
  <si>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</si>
  <si>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</si>
  <si>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</si>
  <si>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</si>
  <si>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</si>
  <si>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</si>
  <si>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</si>
  <si>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</si>
  <si>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</si>
  <si>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</si>
  <si>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</si>
  <si>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</si>
  <si>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</si>
  <si>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</si>
  <si>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</si>
  <si>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</si>
  <si>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</si>
  <si>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</si>
  <si>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</si>
  <si>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</si>
  <si>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</si>
  <si>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</si>
  <si>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</si>
  <si>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</si>
  <si>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</si>
  <si>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</si>
  <si>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</si>
  <si>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</si>
  <si>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</si>
  <si>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</si>
  <si>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</si>
  <si>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</si>
  <si>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</si>
  <si>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</si>
  <si>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</si>
  <si>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</si>
  <si>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</si>
  <si>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</si>
  <si>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</si>
  <si>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</si>
  <si>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</si>
  <si>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</si>
  <si>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</si>
  <si>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</si>
  <si>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</si>
  <si>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</si>
  <si>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</si>
  <si>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</si>
  <si>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</si>
  <si>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</si>
  <si>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</si>
  <si>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</si>
  <si>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</si>
  <si>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</si>
  <si>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</si>
  <si>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</si>
  <si>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</si>
  <si>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</si>
  <si>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</si>
  <si>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</si>
  <si>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</si>
  <si>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</si>
  <si>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</si>
  <si>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</si>
  <si>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</si>
  <si>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</si>
  <si>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</si>
  <si>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</si>
  <si>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</si>
  <si>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</si>
  <si>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</si>
  <si>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</si>
  <si>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</si>
  <si>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</si>
  <si>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</si>
  <si>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</si>
  <si>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</si>
  <si>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</si>
  <si>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</si>
  <si>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</si>
  <si>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</si>
  <si>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</si>
  <si>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</si>
  <si>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</si>
  <si>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</si>
  <si>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</si>
  <si>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</si>
  <si>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</si>
  <si>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</si>
  <si>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</si>
  <si>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</si>
  <si>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</si>
  <si>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</si>
  <si>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</si>
  <si>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</si>
  <si>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</si>
  <si>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</si>
  <si>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</si>
  <si>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</si>
  <si>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</si>
  <si>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</si>
  <si>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</si>
  <si>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</si>
  <si>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</si>
  <si>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</si>
  <si>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</si>
  <si>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</si>
  <si>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</si>
  <si>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</si>
  <si>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</si>
  <si>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</si>
  <si>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</si>
  <si>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</si>
  <si>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</si>
  <si>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</si>
  <si>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</si>
  <si>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</si>
  <si>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</si>
  <si>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</si>
  <si>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</si>
  <si>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</si>
  <si>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</si>
  <si>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</si>
  <si>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</si>
  <si>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</si>
  <si>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</si>
  <si>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</si>
  <si>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</si>
  <si>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</si>
  <si>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</si>
  <si>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</si>
  <si>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</si>
  <si>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</si>
  <si>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</si>
  <si>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</si>
  <si>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</si>
  <si>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</si>
  <si>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</si>
  <si>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</si>
  <si>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</si>
  <si>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</si>
  <si>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</si>
  <si>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</si>
  <si>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</si>
  <si>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</si>
  <si>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</si>
  <si>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</si>
  <si>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</si>
  <si>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</si>
  <si>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</si>
  <si>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</si>
  <si>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</si>
  <si>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</si>
  <si>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</si>
  <si>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</si>
  <si>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</si>
  <si>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</si>
  <si>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</si>
  <si>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</si>
  <si>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</si>
  <si>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</si>
  <si>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</si>
  <si>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</si>
  <si>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</si>
  <si>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</si>
  <si>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</si>
  <si>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</si>
  <si>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</si>
  <si>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</si>
  <si>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</si>
  <si>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</si>
  <si>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</si>
  <si>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</si>
  <si>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</si>
  <si>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</si>
  <si>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</si>
  <si>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</si>
  <si>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</si>
  <si>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</si>
  <si>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</si>
  <si>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</si>
  <si>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</si>
  <si>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</si>
  <si>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</si>
  <si>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</si>
  <si>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</si>
  <si>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</si>
  <si>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</si>
  <si>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</si>
  <si>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</si>
  <si>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</si>
  <si>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</si>
  <si>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</si>
  <si>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</si>
  <si>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</si>
  <si>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</si>
  <si>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</si>
  <si>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</si>
  <si>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</si>
  <si>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</si>
  <si>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</si>
  <si>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</si>
  <si>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</si>
  <si>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</si>
  <si>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</si>
  <si>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</si>
  <si>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</si>
  <si>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</si>
  <si>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</si>
  <si>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</si>
  <si>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</si>
  <si>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</si>
  <si>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</si>
  <si>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</si>
  <si>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</si>
  <si>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</si>
  <si>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</si>
  <si>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</si>
  <si>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</si>
  <si>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</si>
  <si>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</si>
  <si>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</si>
  <si>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</si>
  <si>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</si>
  <si>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</si>
  <si>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</si>
  <si>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</si>
  <si>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</si>
  <si>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</si>
  <si>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</si>
  <si>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</si>
  <si>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</si>
  <si>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</si>
  <si>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</si>
  <si>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</si>
  <si>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</si>
  <si>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</si>
  <si>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</si>
  <si>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</si>
  <si>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</si>
  <si>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</si>
  <si>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</si>
  <si>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</si>
  <si>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</si>
  <si>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</si>
  <si>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</si>
  <si>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</si>
  <si>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</si>
  <si>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</si>
  <si>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</si>
  <si>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</si>
  <si>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</si>
  <si>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</si>
  <si>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</si>
  <si>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</si>
  <si>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</si>
  <si>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</si>
  <si>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</si>
  <si>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</si>
  <si>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</si>
  <si>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</si>
  <si>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</si>
  <si>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</si>
  <si>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</si>
  <si>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</si>
  <si>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</si>
  <si>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</si>
  <si>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</si>
  <si>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</si>
  <si>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</si>
  <si>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</si>
  <si>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</si>
  <si>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</si>
  <si>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</si>
  <si>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</si>
  <si>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</si>
  <si>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</si>
  <si>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</si>
  <si>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</si>
  <si>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</si>
  <si>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</si>
  <si>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</si>
  <si>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</si>
  <si>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</si>
  <si>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</si>
  <si>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</si>
  <si>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</si>
  <si>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</si>
  <si>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</si>
  <si>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</si>
  <si>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</si>
  <si>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</si>
  <si>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</si>
  <si>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</si>
  <si>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</si>
  <si>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</si>
  <si>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</si>
  <si>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</si>
  <si>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</si>
  <si>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</si>
  <si>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</si>
  <si>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</si>
  <si>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</si>
  <si>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</si>
  <si>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</si>
  <si>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</si>
  <si>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</si>
  <si>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</si>
  <si>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</si>
  <si>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</si>
  <si>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</si>
  <si>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</si>
  <si>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</si>
  <si>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</si>
  <si>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</si>
  <si>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</si>
  <si>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</si>
  <si>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</si>
  <si>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</si>
  <si>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</si>
  <si>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</si>
  <si>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</si>
  <si>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</si>
  <si>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</si>
  <si>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</si>
  <si>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</si>
  <si>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</si>
  <si>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</si>
  <si>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</si>
  <si>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</si>
  <si>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</si>
  <si>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</si>
  <si>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</si>
  <si>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</si>
  <si>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</si>
  <si>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</si>
  <si>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</si>
  <si>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</si>
  <si>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</si>
  <si>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</si>
  <si>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</si>
  <si>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</si>
  <si>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</si>
  <si>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</si>
  <si>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</si>
  <si>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</si>
  <si>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</si>
  <si>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</si>
  <si>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</si>
  <si>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</si>
  <si>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</si>
  <si>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</si>
  <si>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</si>
  <si>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</si>
  <si>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</si>
  <si>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</si>
  <si>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</si>
  <si>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</si>
  <si>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</si>
  <si>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</si>
  <si>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</si>
  <si>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</si>
  <si>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</si>
  <si>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</si>
  <si>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</si>
  <si>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</si>
  <si>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</si>
  <si>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</si>
  <si>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</si>
  <si>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</si>
  <si>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</si>
  <si>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</si>
  <si>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</si>
  <si>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</si>
  <si>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</si>
  <si>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</si>
  <si>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</si>
  <si>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</si>
  <si>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</si>
  <si>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</si>
  <si>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</si>
  <si>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</si>
  <si>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</si>
  <si>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</si>
  <si>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</si>
  <si>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</si>
  <si>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</si>
  <si>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</si>
  <si>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</si>
  <si>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</si>
  <si>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</si>
  <si>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</si>
  <si>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</si>
  <si>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</si>
  <si>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</si>
  <si>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</si>
  <si>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</si>
  <si>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</si>
  <si>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</si>
  <si>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</si>
  <si>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</si>
  <si>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</si>
  <si>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</si>
  <si>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</si>
  <si>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</si>
  <si>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</si>
  <si>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</si>
  <si>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</si>
  <si>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</si>
  <si>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</si>
  <si>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</si>
  <si>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</si>
  <si>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</si>
  <si>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</si>
  <si>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</si>
  <si>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</si>
  <si>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</si>
  <si>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</si>
  <si>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</si>
  <si>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</si>
  <si>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</si>
  <si>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</si>
  <si>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</si>
  <si>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</si>
  <si>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</si>
  <si>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</si>
  <si>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</si>
  <si>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</si>
  <si>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</si>
  <si>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</si>
  <si>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</si>
  <si>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</si>
  <si>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</si>
  <si>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</si>
  <si>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</si>
  <si>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</si>
  <si>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</si>
  <si>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</si>
  <si>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</si>
  <si>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</si>
  <si>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</si>
  <si>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</si>
  <si>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</si>
  <si>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</si>
  <si>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</si>
  <si>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</si>
  <si>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</si>
  <si>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</si>
  <si>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</si>
  <si>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</si>
  <si>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</si>
  <si>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</si>
  <si>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</si>
  <si>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</si>
  <si>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</si>
  <si>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</si>
  <si>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</si>
  <si>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</si>
  <si>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</si>
  <si>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</si>
  <si>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</si>
  <si>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</si>
  <si>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</si>
  <si>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</si>
  <si>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</si>
  <si>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</si>
  <si>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</si>
  <si>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</si>
  <si>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</si>
  <si>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</si>
  <si>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</si>
  <si>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</si>
  <si>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</si>
  <si>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</si>
  <si>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</si>
  <si>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</si>
  <si>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</si>
  <si>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</si>
  <si>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</si>
  <si>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</si>
  <si>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</si>
  <si>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</si>
  <si>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</si>
  <si>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</si>
  <si>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</si>
  <si>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</si>
  <si>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</si>
  <si>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</si>
  <si>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</si>
  <si>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</si>
  <si>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</si>
  <si>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</si>
  <si>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</si>
  <si>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</si>
  <si>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</si>
  <si>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</si>
  <si>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</si>
  <si>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</si>
  <si>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</si>
  <si>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</si>
  <si>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</si>
  <si>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</si>
  <si>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</si>
  <si>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</si>
  <si>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</si>
  <si>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</si>
  <si>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</si>
  <si>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</si>
  <si>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</si>
  <si>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</si>
  <si>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</si>
  <si>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</si>
  <si>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</si>
  <si>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</si>
  <si>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</si>
  <si>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</si>
  <si>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</si>
  <si>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</si>
  <si>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</si>
  <si>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</si>
  <si>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</si>
  <si>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</si>
  <si>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</si>
  <si>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</si>
  <si>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</si>
  <si>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</si>
  <si>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</si>
  <si>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</si>
  <si>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</si>
  <si>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</si>
  <si>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</si>
  <si>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</si>
  <si>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</si>
  <si>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</si>
  <si>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</si>
  <si>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</si>
  <si>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</si>
  <si>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</si>
  <si>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</si>
  <si>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</si>
  <si>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</si>
  <si>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</si>
  <si>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</si>
  <si>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</si>
  <si>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</si>
  <si>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</si>
  <si>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</si>
  <si>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</si>
  <si>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</si>
  <si>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</si>
  <si>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</si>
  <si>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</si>
  <si>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</si>
  <si>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</si>
  <si>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</si>
  <si>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</si>
  <si>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</si>
  <si>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</si>
  <si>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</si>
  <si>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</si>
  <si>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</si>
  <si>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</si>
  <si>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</si>
  <si>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</si>
  <si>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</si>
  <si>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</si>
  <si>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</si>
  <si>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</si>
  <si>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</si>
  <si>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</si>
  <si>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</si>
  <si>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</si>
  <si>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</si>
  <si>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</si>
  <si>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</si>
  <si>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</si>
  <si>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</si>
  <si>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</si>
  <si>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</si>
  <si>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</si>
  <si>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</si>
  <si>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</si>
  <si>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</si>
  <si>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</si>
  <si>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</si>
  <si>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</si>
  <si>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</si>
  <si>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</si>
  <si>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</si>
  <si>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</si>
  <si>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</si>
  <si>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</si>
  <si>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</si>
  <si>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</si>
  <si>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</si>
  <si>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</si>
  <si>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</si>
  <si>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</si>
  <si>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</si>
  <si>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</si>
  <si>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</si>
  <si>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</si>
  <si>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</si>
  <si>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</si>
  <si>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</si>
  <si>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</si>
  <si>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</si>
  <si>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</si>
  <si>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</si>
  <si>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</si>
  <si>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</si>
  <si>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</si>
  <si>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</si>
  <si>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</si>
  <si>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</si>
  <si>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</si>
  <si>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</si>
  <si>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</si>
  <si>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</si>
  <si>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</si>
  <si>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</si>
  <si>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</si>
  <si>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</si>
  <si>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</si>
  <si>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</si>
  <si>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</si>
  <si>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</si>
  <si>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</si>
  <si>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</si>
  <si>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</si>
  <si>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</si>
  <si>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</si>
  <si>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</si>
  <si>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</si>
  <si>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</si>
  <si>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</si>
  <si>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</si>
  <si>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</si>
  <si>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</si>
  <si>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</si>
  <si>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</si>
  <si>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</si>
  <si>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</si>
  <si>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</si>
  <si>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</si>
  <si>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</si>
  <si>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</si>
  <si>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</si>
  <si>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</si>
  <si>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</si>
  <si>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</si>
  <si>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</si>
  <si>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</si>
  <si>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</si>
  <si>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</si>
  <si>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</si>
  <si>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</si>
  <si>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</si>
  <si>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</si>
  <si>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</si>
  <si>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</si>
  <si>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</si>
  <si>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</si>
  <si>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</si>
  <si>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</si>
  <si>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</si>
  <si>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</si>
  <si>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</si>
  <si>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</si>
  <si>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</si>
  <si>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</si>
  <si>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</si>
  <si>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</si>
  <si>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</si>
  <si>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</si>
  <si>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</si>
  <si>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</si>
  <si>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</si>
  <si>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</si>
  <si>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</si>
  <si>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</si>
  <si>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</si>
  <si>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</si>
  <si>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</si>
  <si>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</si>
  <si>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</si>
  <si>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</si>
  <si>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</si>
  <si>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</si>
  <si>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</si>
  <si>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</si>
  <si>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</si>
  <si>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</si>
  <si>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</si>
  <si>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</si>
  <si>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</si>
  <si>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</si>
  <si>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</si>
  <si>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</si>
  <si>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</si>
  <si>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</si>
  <si>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</si>
  <si>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</si>
  <si>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</si>
  <si>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</si>
  <si>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</si>
  <si>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</si>
  <si>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</si>
  <si>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</si>
  <si>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</si>
  <si>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</si>
  <si>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</si>
  <si>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</si>
  <si>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</si>
  <si>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</si>
  <si>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</si>
  <si>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</si>
  <si>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</si>
  <si>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</si>
  <si>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</si>
  <si>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</si>
  <si>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</si>
  <si>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</si>
  <si>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</si>
  <si>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</si>
  <si>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</si>
  <si>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</si>
  <si>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</si>
  <si>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</si>
  <si>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</si>
  <si>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</si>
  <si>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</si>
  <si>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</si>
  <si>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</si>
  <si>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</si>
  <si>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</si>
  <si>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</si>
  <si>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</si>
  <si>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</si>
  <si>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</si>
  <si>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</si>
  <si>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</si>
  <si>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</si>
  <si>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</si>
  <si>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</si>
  <si>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</si>
  <si>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</si>
  <si>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</si>
  <si>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</si>
  <si>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</si>
  <si>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</si>
  <si>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</si>
  <si>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</si>
  <si>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</si>
  <si>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</si>
  <si>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</si>
  <si>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</si>
  <si>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</si>
  <si>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</si>
  <si>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</si>
  <si>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</si>
  <si>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</si>
  <si>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</si>
  <si>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</si>
  <si>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</si>
  <si>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</si>
  <si>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</si>
  <si>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</si>
  <si>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</si>
  <si>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</si>
  <si>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</si>
  <si>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</si>
  <si>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</si>
  <si>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</si>
  <si>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</si>
  <si>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</si>
  <si>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</si>
  <si>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</si>
  <si>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</si>
  <si>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</si>
  <si>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</si>
  <si>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</si>
  <si>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</si>
  <si>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</si>
  <si>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</si>
  <si>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</si>
  <si>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</si>
  <si>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</si>
  <si>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</si>
  <si>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</si>
  <si>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</si>
  <si>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</si>
  <si>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</si>
  <si>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</si>
  <si>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</si>
  <si>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</si>
  <si>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</si>
  <si>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</si>
  <si>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</si>
  <si>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</si>
  <si>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</si>
  <si>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</si>
  <si>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</si>
  <si>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</si>
  <si>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</si>
  <si>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</si>
  <si>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</si>
  <si>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</si>
  <si>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</si>
  <si>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</si>
  <si>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</si>
  <si>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</si>
  <si>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</si>
  <si>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</si>
  <si>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</si>
  <si>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</si>
  <si>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</si>
  <si>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</si>
  <si>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</si>
  <si>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</si>
  <si>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</si>
  <si>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</si>
  <si>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</si>
  <si>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</si>
  <si>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</si>
  <si>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</si>
  <si>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</si>
  <si>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</si>
  <si>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</si>
  <si>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</si>
  <si>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</si>
  <si>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</si>
  <si>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</si>
  <si>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</si>
  <si>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</si>
  <si>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</si>
  <si>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</si>
  <si>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</si>
  <si>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</si>
  <si>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</si>
  <si>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</si>
  <si>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</si>
  <si>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</si>
  <si>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</si>
  <si>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</si>
  <si>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</si>
  <si>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</si>
  <si>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</si>
  <si>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</si>
  <si>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</si>
  <si>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</si>
  <si>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</si>
  <si>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</si>
  <si>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</si>
  <si>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</si>
  <si>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</si>
  <si>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</si>
  <si>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</si>
  <si>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</si>
  <si>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</si>
  <si>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</si>
  <si>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</si>
  <si>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</si>
  <si>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</si>
  <si>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</si>
  <si>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</si>
  <si>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</si>
  <si>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</si>
  <si>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</si>
  <si>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</si>
  <si>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</si>
  <si>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</si>
  <si>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</si>
  <si>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</si>
  <si>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</si>
  <si>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</si>
  <si>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</si>
  <si>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</si>
  <si>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</si>
  <si>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</si>
  <si>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</si>
  <si>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</si>
  <si>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</si>
  <si>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</si>
  <si>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</si>
  <si>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</si>
  <si>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</si>
  <si>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</si>
  <si>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</si>
  <si>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</si>
  <si>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</si>
  <si>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</si>
  <si>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</si>
  <si>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</si>
  <si>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</si>
  <si>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</si>
  <si>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</si>
  <si>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</si>
  <si>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</si>
  <si>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</si>
  <si>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</si>
  <si>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</si>
  <si>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</si>
  <si>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</si>
  <si>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</si>
  <si>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</si>
  <si>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</si>
  <si>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</si>
  <si>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</si>
  <si>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</si>
  <si>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</si>
  <si>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</si>
  <si>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</si>
  <si>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</si>
  <si>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</si>
  <si>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</si>
  <si>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</si>
  <si>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</si>
  <si>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</si>
  <si>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</si>
  <si>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</si>
  <si>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</si>
  <si>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</si>
  <si>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</si>
  <si>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</si>
  <si>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</si>
  <si>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</si>
  <si>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</si>
  <si>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</si>
  <si>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</si>
  <si>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</si>
  <si>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</si>
  <si>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</si>
  <si>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</si>
  <si>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</si>
  <si>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</si>
  <si>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</si>
  <si>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</si>
  <si>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</si>
  <si>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</si>
  <si>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</si>
  <si>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</si>
  <si>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</si>
  <si>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</si>
  <si>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</si>
  <si>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</si>
  <si>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</si>
  <si>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</si>
  <si>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</si>
  <si>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</si>
  <si>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</si>
  <si>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</si>
  <si>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</si>
  <si>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</si>
  <si>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</si>
  <si>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</si>
  <si>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</si>
  <si>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</si>
  <si>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</si>
  <si>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</si>
  <si>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</si>
  <si>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</si>
  <si>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</si>
  <si>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</si>
  <si>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</si>
  <si>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</si>
  <si>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</si>
  <si>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</si>
  <si>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</si>
  <si>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</si>
  <si>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</si>
  <si>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</si>
  <si>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</si>
  <si>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</si>
  <si>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</si>
  <si>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</si>
  <si>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</si>
  <si>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</si>
  <si>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</si>
  <si>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</si>
  <si>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</si>
  <si>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</si>
  <si>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</si>
  <si>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</si>
  <si>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</si>
  <si>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</si>
  <si>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</si>
  <si>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</si>
  <si>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</si>
  <si>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</si>
  <si>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</si>
  <si>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</si>
  <si>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</si>
  <si>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</si>
  <si>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</si>
  <si>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</si>
  <si>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</si>
  <si>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</si>
  <si>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</si>
  <si>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</si>
  <si>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</si>
  <si>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</si>
  <si>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</si>
  <si>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</si>
  <si>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</si>
  <si>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</si>
  <si>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</si>
  <si>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</si>
  <si>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</si>
  <si>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</si>
  <si>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</si>
  <si>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</si>
  <si>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</si>
  <si>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</si>
  <si>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</si>
  <si>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</si>
  <si>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</si>
  <si>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</si>
  <si>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</si>
  <si>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</si>
  <si>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</si>
  <si>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</si>
  <si>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</si>
  <si>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</si>
  <si>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</si>
  <si>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</si>
  <si>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</si>
  <si>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</si>
  <si>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</si>
  <si>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</si>
  <si>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</si>
  <si>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</si>
  <si>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</si>
  <si>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</si>
  <si>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</si>
  <si>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</si>
  <si>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</si>
  <si>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</si>
  <si>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</si>
  <si>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</si>
  <si>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</si>
  <si>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</si>
  <si>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</si>
  <si>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</si>
  <si>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</si>
  <si>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</si>
  <si>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</si>
  <si>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</si>
  <si>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</si>
  <si>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</si>
  <si>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</si>
  <si>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</si>
  <si>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</si>
  <si>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</si>
  <si>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</si>
  <si>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</si>
  <si>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</si>
  <si>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</si>
  <si>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</si>
  <si>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</si>
  <si>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</si>
  <si>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</si>
  <si>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</si>
  <si>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</si>
  <si>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</si>
  <si>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</si>
  <si>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</si>
  <si>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</si>
  <si>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</si>
  <si>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</si>
  <si>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</si>
  <si>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</si>
  <si>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</si>
  <si>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</si>
  <si>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</si>
  <si>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</si>
  <si>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</si>
  <si>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</si>
  <si>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</si>
  <si>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</si>
  <si>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</si>
  <si>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</si>
  <si>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</si>
  <si>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</si>
  <si>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</si>
  <si>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</si>
  <si>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</si>
  <si>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</si>
  <si>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</si>
  <si>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</si>
  <si>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</si>
  <si>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</si>
  <si>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</si>
  <si>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</si>
  <si>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</si>
  <si>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</si>
  <si>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</si>
  <si>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</si>
  <si>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</si>
  <si>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</si>
  <si>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</si>
  <si>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</si>
  <si>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</si>
  <si>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</si>
  <si>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</si>
  <si>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</si>
  <si>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</si>
  <si>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</si>
  <si>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</si>
  <si>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</si>
  <si>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</si>
  <si>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</si>
  <si>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</si>
  <si>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</si>
  <si>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</si>
  <si>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</si>
  <si>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</si>
  <si>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</si>
  <si>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</si>
  <si>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</si>
  <si>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</si>
  <si>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</si>
  <si>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</si>
  <si>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</si>
  <si>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</si>
  <si>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</si>
  <si>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</si>
  <si>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</si>
  <si>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</si>
  <si>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</si>
  <si>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</si>
  <si>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</si>
  <si>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</si>
  <si>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</si>
  <si>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</si>
  <si>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</si>
  <si>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</si>
  <si>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</si>
  <si>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</si>
  <si>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</si>
  <si>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</si>
  <si>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</si>
  <si>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</si>
  <si>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</si>
  <si>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</si>
  <si>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</si>
  <si>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</si>
  <si>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</si>
  <si>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</si>
  <si>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</si>
  <si>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</si>
  <si>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</si>
  <si>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</si>
  <si>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</si>
  <si>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</si>
  <si>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</si>
  <si>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</si>
  <si>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</si>
  <si>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</si>
  <si>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</si>
  <si>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</si>
  <si>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</si>
  <si>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</si>
  <si>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</si>
  <si>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</si>
  <si>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</si>
  <si>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</si>
  <si>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</si>
  <si>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</si>
  <si>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</si>
  <si>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</si>
  <si>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</si>
  <si>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</si>
  <si>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</si>
  <si>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</si>
  <si>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</si>
  <si>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</si>
  <si>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</si>
  <si>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</si>
  <si>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</si>
  <si>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</si>
  <si>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</si>
  <si>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</si>
  <si>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</si>
  <si>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</si>
  <si>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</si>
  <si>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</si>
  <si>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</si>
  <si>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</si>
  <si>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</si>
  <si>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</si>
  <si>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</si>
  <si>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</si>
  <si>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</si>
  <si>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</si>
  <si>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</si>
  <si>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</si>
  <si>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</si>
  <si>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</si>
  <si>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</si>
  <si>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</si>
  <si>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</si>
  <si>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</si>
  <si>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</si>
  <si>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</si>
  <si>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</si>
  <si>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</si>
  <si>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</si>
  <si>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</si>
  <si>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</si>
  <si>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</si>
  <si>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</si>
  <si>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</si>
  <si>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</si>
  <si>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</si>
  <si>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</si>
  <si>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</si>
  <si>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</si>
  <si>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</si>
  <si>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</si>
  <si>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</si>
  <si>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</si>
  <si>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</si>
  <si>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</si>
  <si>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</si>
  <si>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</si>
  <si>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</si>
  <si>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</si>
  <si>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</si>
  <si>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</si>
  <si>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</si>
  <si>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</si>
  <si>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</si>
  <si>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</si>
  <si>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</si>
  <si>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</si>
  <si>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</si>
  <si>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</si>
  <si>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</si>
  <si>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</si>
  <si>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</si>
  <si>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</si>
  <si>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</si>
  <si>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</si>
  <si>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</si>
  <si>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</si>
  <si>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</si>
  <si>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</si>
  <si>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</si>
  <si>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</si>
  <si>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</si>
  <si>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</si>
  <si>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</si>
  <si>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</si>
  <si>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</si>
  <si>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</si>
  <si>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</si>
  <si>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</si>
  <si>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</si>
  <si>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</si>
  <si>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</si>
  <si>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</si>
  <si>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</si>
  <si>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</si>
  <si>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</si>
  <si>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</si>
  <si>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</si>
  <si>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</si>
  <si>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</si>
  <si>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</si>
  <si>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</si>
  <si>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</si>
  <si>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</si>
  <si>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</si>
  <si>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</si>
  <si>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</si>
  <si>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</si>
  <si>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</si>
  <si>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</si>
  <si>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</si>
  <si>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</si>
  <si>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</si>
  <si>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</si>
  <si>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</si>
  <si>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</si>
  <si>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</si>
  <si>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</si>
  <si>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</si>
  <si>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</si>
  <si>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</si>
  <si>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</si>
  <si>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</si>
  <si>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</si>
  <si>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</si>
  <si>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</si>
  <si>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</si>
  <si>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</si>
  <si>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</si>
  <si>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</si>
  <si>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</si>
  <si>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</si>
  <si>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</si>
  <si>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</si>
  <si>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</si>
  <si>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</si>
  <si>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</si>
  <si>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</si>
  <si>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</si>
  <si>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</si>
  <si>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</si>
  <si>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</si>
  <si>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</si>
  <si>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</si>
  <si>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</si>
  <si>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</si>
  <si>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</si>
  <si>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</si>
  <si>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</si>
  <si>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</si>
  <si>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</si>
  <si>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</si>
  <si>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</si>
  <si>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</si>
  <si>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</si>
  <si>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</si>
  <si>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</si>
  <si>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</si>
  <si>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</si>
  <si>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</si>
  <si>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</si>
  <si>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</si>
  <si>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</si>
  <si>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</si>
  <si>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</si>
  <si>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</si>
  <si>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</si>
  <si>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</si>
  <si>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</si>
  <si>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</si>
  <si>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</si>
  <si>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</si>
  <si>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</si>
  <si>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</si>
  <si>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</si>
  <si>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</si>
  <si>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</si>
  <si>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</si>
  <si>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</si>
  <si>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</si>
  <si>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</si>
  <si>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</si>
  <si>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</si>
  <si>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</si>
  <si>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</si>
  <si>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</si>
  <si>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</si>
  <si>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</si>
  <si>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</si>
  <si>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</si>
  <si>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</si>
  <si>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</si>
  <si>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</si>
  <si>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</si>
  <si>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</si>
  <si>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</si>
  <si>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</si>
  <si>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</si>
  <si>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</si>
  <si>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</si>
  <si>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</si>
  <si>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</si>
  <si>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</si>
  <si>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</si>
  <si>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</si>
  <si>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</si>
  <si>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</si>
  <si>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</si>
  <si>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</si>
  <si>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</si>
  <si>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</si>
  <si>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</si>
  <si>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</si>
  <si>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</si>
  <si>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</si>
  <si>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</si>
  <si>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</si>
  <si>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</si>
  <si>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</si>
  <si>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</si>
  <si>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</si>
  <si>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</si>
  <si>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</si>
  <si>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</si>
  <si>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</si>
  <si>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</si>
  <si>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</si>
  <si>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</si>
  <si>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</si>
  <si>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</si>
  <si>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</si>
  <si>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</si>
  <si>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</si>
  <si>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</si>
  <si>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</si>
  <si>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</si>
  <si>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</si>
  <si>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</si>
  <si>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</si>
  <si>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</si>
  <si>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</si>
  <si>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</si>
  <si>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</si>
  <si>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</si>
  <si>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</si>
  <si>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</si>
  <si>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</si>
  <si>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</si>
  <si>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</si>
  <si>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</si>
  <si>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</si>
  <si>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</si>
  <si>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</si>
  <si>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</si>
  <si>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</si>
  <si>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</si>
  <si>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</si>
  <si>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</si>
  <si>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</si>
  <si>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</si>
  <si>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</si>
  <si>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</si>
  <si>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</si>
  <si>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</si>
  <si>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</si>
  <si>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</si>
  <si>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</si>
  <si>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</si>
  <si>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</si>
  <si>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</si>
  <si>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</si>
  <si>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</si>
  <si>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</si>
  <si>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</si>
  <si>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</si>
  <si>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</si>
  <si>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</si>
  <si>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</si>
  <si>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</si>
  <si>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</si>
  <si>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</si>
  <si>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</si>
  <si>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</si>
  <si>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</si>
  <si>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</si>
  <si>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</si>
  <si>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</si>
  <si>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</si>
  <si>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</si>
  <si>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</si>
  <si>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</si>
  <si>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</si>
  <si>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</si>
  <si>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</si>
  <si>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</si>
  <si>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</si>
  <si>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</si>
  <si>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</si>
  <si>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</si>
  <si>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</si>
  <si>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</si>
  <si>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</si>
  <si>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</si>
  <si>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</si>
  <si>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</si>
  <si>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</si>
  <si>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</si>
  <si>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</si>
  <si>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</si>
  <si>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</si>
  <si>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</si>
  <si>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</si>
  <si>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</si>
  <si>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</si>
  <si>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</si>
  <si>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</si>
  <si>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</si>
  <si>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</si>
  <si>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</si>
  <si>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</si>
  <si>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</si>
  <si>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</si>
  <si>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</si>
  <si>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</si>
  <si>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</si>
  <si>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</si>
  <si>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</si>
  <si>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</si>
  <si>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</si>
  <si>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</si>
  <si>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</si>
  <si>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</si>
  <si>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</si>
  <si>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</si>
  <si>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</si>
  <si>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</si>
  <si>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</si>
  <si>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</si>
  <si>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</si>
  <si>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</si>
  <si>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</si>
  <si>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</si>
  <si>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</si>
  <si>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</si>
  <si>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</si>
  <si>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</si>
  <si>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</si>
  <si>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</si>
  <si>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</si>
  <si>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</si>
  <si>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</si>
  <si>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</si>
  <si>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</si>
  <si>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</si>
  <si>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</si>
  <si>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</si>
  <si>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</si>
  <si>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</si>
  <si>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</si>
  <si>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</si>
  <si>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</si>
  <si>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</si>
  <si>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</si>
  <si>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</si>
  <si>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</si>
  <si>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</si>
  <si>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</si>
  <si>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</si>
  <si>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</si>
  <si>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</si>
  <si>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</si>
  <si>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</si>
  <si>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</si>
  <si>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</si>
  <si>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</si>
  <si>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</si>
  <si>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</si>
  <si>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</si>
  <si>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</si>
  <si>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</si>
  <si>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</si>
  <si>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</si>
  <si>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</si>
  <si>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</si>
  <si>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</si>
  <si>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</si>
  <si>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</si>
  <si>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</si>
  <si>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</si>
  <si>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</si>
  <si>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</si>
  <si>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</si>
  <si>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</si>
  <si>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</si>
  <si>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</si>
  <si>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</si>
  <si>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</si>
  <si>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</si>
  <si>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</si>
  <si>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</si>
  <si>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</si>
  <si>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</si>
  <si>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</si>
  <si>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</si>
  <si>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</si>
  <si>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</si>
  <si>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</si>
  <si>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</si>
  <si>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</si>
  <si>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</si>
  <si>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</si>
  <si>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</si>
  <si>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</si>
  <si>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</si>
  <si>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</si>
  <si>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</si>
  <si>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</si>
  <si>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</si>
  <si>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</si>
  <si>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</si>
  <si>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</si>
  <si>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</si>
  <si>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</si>
  <si>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</si>
  <si>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</si>
  <si>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</si>
  <si>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</si>
  <si>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</si>
  <si>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</si>
  <si>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</si>
  <si>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</si>
  <si>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</si>
  <si>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</si>
  <si>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</si>
  <si>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</si>
  <si>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</si>
  <si>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</si>
  <si>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</si>
  <si>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</si>
  <si>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</si>
  <si>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</si>
  <si>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</si>
  <si>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</si>
  <si>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</si>
  <si>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</si>
  <si>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</si>
  <si>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</si>
  <si>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</si>
  <si>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</si>
  <si>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</si>
  <si>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</si>
  <si>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</si>
  <si>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</si>
  <si>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</si>
  <si>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</si>
  <si>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</si>
  <si>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</si>
  <si>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</si>
  <si>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</si>
  <si>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</si>
  <si>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</si>
  <si>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</si>
  <si>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</si>
  <si>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</si>
  <si>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</si>
  <si>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</si>
  <si>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</si>
  <si>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</si>
  <si>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</si>
  <si>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</si>
  <si>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</si>
  <si>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</si>
  <si>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</si>
  <si>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</si>
  <si>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</si>
  <si>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</si>
  <si>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</si>
  <si>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</si>
  <si>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</si>
  <si>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</si>
  <si>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</si>
  <si>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</si>
  <si>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</si>
  <si>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</si>
  <si>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</si>
  <si>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</si>
  <si>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</si>
  <si>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</si>
  <si>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</si>
  <si>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</si>
  <si>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</si>
  <si>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</si>
  <si>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</si>
  <si>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</si>
  <si>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</si>
  <si>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</si>
  <si>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</si>
  <si>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</si>
  <si>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</si>
  <si>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</si>
  <si>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</si>
  <si>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</si>
  <si>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</si>
  <si>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</si>
  <si>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</si>
  <si>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</si>
  <si>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</si>
  <si>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</si>
  <si>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</si>
  <si>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</si>
  <si>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</si>
  <si>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</si>
  <si>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</si>
  <si>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</si>
  <si>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</si>
  <si>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</si>
  <si>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</si>
  <si>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</si>
  <si>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</si>
  <si>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</si>
  <si>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</si>
  <si>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</si>
  <si>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</si>
  <si>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</si>
  <si>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</si>
  <si>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</si>
  <si>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</si>
  <si>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</si>
  <si>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</si>
  <si>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</si>
  <si>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</si>
  <si>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</si>
  <si>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</si>
  <si>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</si>
  <si>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</si>
  <si>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</si>
  <si>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</si>
  <si>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</si>
  <si>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</si>
  <si>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</si>
  <si>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</si>
  <si>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</si>
  <si>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</si>
  <si>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</si>
  <si>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</si>
  <si>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</si>
  <si>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</si>
  <si>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</si>
  <si>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</si>
  <si>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</si>
  <si>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</si>
  <si>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</si>
  <si>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</si>
  <si>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</si>
  <si>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</si>
  <si>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</si>
  <si>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</si>
  <si>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</si>
  <si>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</si>
  <si>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</si>
  <si>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</si>
  <si>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</si>
  <si>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</si>
  <si>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</si>
  <si>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</si>
  <si>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</si>
  <si>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</si>
  <si>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</si>
  <si>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</si>
  <si>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</si>
  <si>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</si>
  <si>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</si>
  <si>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</si>
  <si>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</si>
  <si>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</si>
  <si>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</si>
  <si>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</si>
  <si>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</si>
  <si>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</si>
  <si>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</si>
  <si>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</si>
  <si>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</si>
  <si>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</si>
  <si>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</si>
  <si>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</si>
  <si>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</si>
  <si>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</si>
  <si>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</si>
  <si>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</si>
  <si>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</si>
  <si>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</si>
  <si>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</si>
  <si>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</si>
  <si>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</si>
  <si>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</si>
  <si>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</si>
  <si>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</si>
  <si>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</si>
  <si>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</si>
  <si>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</si>
  <si>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</si>
  <si>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</si>
  <si>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</si>
  <si>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</si>
  <si>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</si>
  <si>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</si>
  <si>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</si>
  <si>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</si>
  <si>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</si>
  <si>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</si>
  <si>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</si>
  <si>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</si>
  <si>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</si>
  <si>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</si>
  <si>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</si>
  <si>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</si>
  <si>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</si>
  <si>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</si>
  <si>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</si>
  <si>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</si>
  <si>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</si>
  <si>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</si>
  <si>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</si>
  <si>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</si>
  <si>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</si>
  <si>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</si>
  <si>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</si>
  <si>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</si>
  <si>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</si>
  <si>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</si>
  <si>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</si>
  <si>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</si>
  <si>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</si>
  <si>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</si>
  <si>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</si>
  <si>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</si>
  <si>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</si>
  <si>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</si>
  <si>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</si>
  <si>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</si>
  <si>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</si>
  <si>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</si>
  <si>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</si>
  <si>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</si>
  <si>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</si>
  <si>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</si>
  <si>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</si>
  <si>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</si>
  <si>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</si>
  <si>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</si>
  <si>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</si>
  <si>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</si>
  <si>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</si>
  <si>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</si>
  <si>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</si>
  <si>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</si>
  <si>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</si>
  <si>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</si>
  <si>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</si>
  <si>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</si>
  <si>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</si>
  <si>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</si>
  <si>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</si>
  <si>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</si>
  <si>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</si>
  <si>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</si>
  <si>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</si>
  <si>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</si>
  <si>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</si>
  <si>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</si>
  <si>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</si>
  <si>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</si>
  <si>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</si>
  <si>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</si>
  <si>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</si>
  <si>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</si>
  <si>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</si>
  <si>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</si>
  <si>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</si>
  <si>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</si>
  <si>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</si>
  <si>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</si>
  <si>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</si>
  <si>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</si>
  <si>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</si>
  <si>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</si>
  <si>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</si>
  <si>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</si>
  <si>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</si>
  <si>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</si>
  <si>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</si>
  <si>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</si>
  <si>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</si>
  <si>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</si>
  <si>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</si>
  <si>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</si>
  <si>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</si>
  <si>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</si>
  <si>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</si>
  <si>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</si>
  <si>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</si>
  <si>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</si>
  <si>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</si>
  <si>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</si>
  <si>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</si>
  <si>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</si>
  <si>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</si>
  <si>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</si>
  <si>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</si>
  <si>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</si>
  <si>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</si>
  <si>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</si>
  <si>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</si>
  <si>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</si>
  <si>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</si>
  <si>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</si>
  <si>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</si>
  <si>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</si>
  <si>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</si>
  <si>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</si>
  <si>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</si>
  <si>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</si>
  <si>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</si>
  <si>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</si>
  <si>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</si>
  <si>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</si>
  <si>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</si>
  <si>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</si>
  <si>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</si>
  <si>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</si>
  <si>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</si>
  <si>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</si>
  <si>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</si>
  <si>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</si>
  <si>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</si>
  <si>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</si>
  <si>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</si>
  <si>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</si>
  <si>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</si>
  <si>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</si>
  <si>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</si>
  <si>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</si>
  <si>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</si>
  <si>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</si>
  <si>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</si>
  <si>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</si>
  <si>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</si>
  <si>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</si>
  <si>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</si>
  <si>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</si>
  <si>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</si>
  <si>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</si>
  <si>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</si>
  <si>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</si>
  <si>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</si>
  <si>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</si>
  <si>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</si>
  <si>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</si>
  <si>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</si>
  <si>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</si>
  <si>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</si>
  <si>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</si>
  <si>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</si>
  <si>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</si>
  <si>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</si>
  <si>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</si>
  <si>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</si>
  <si>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</si>
  <si>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</si>
  <si>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</si>
  <si>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</si>
  <si>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</si>
  <si>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</si>
  <si>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</si>
  <si>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</si>
  <si>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</si>
  <si>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</si>
  <si>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</si>
  <si>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</si>
  <si>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</si>
  <si>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</si>
  <si>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</si>
  <si>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</si>
  <si>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</si>
  <si>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</si>
  <si>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</si>
  <si>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</si>
  <si>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</si>
  <si>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</si>
  <si>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</si>
  <si>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</si>
  <si>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</si>
  <si>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</si>
  <si>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</si>
  <si>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</si>
  <si>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</si>
  <si>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</si>
  <si>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</si>
  <si>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</si>
  <si>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</si>
  <si>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</si>
  <si>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</si>
  <si>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</si>
  <si>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</si>
  <si>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</si>
  <si>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</si>
  <si>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</si>
  <si>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</si>
  <si>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</si>
  <si>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</si>
  <si>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</si>
  <si>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</si>
  <si>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</si>
  <si>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</si>
  <si>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</si>
  <si>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</si>
  <si>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</si>
  <si>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</si>
  <si>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</si>
  <si>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</si>
  <si>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</si>
  <si>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</si>
  <si>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</si>
  <si>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</si>
  <si>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</si>
  <si>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</si>
  <si>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</si>
  <si>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</si>
  <si>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</si>
  <si>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</si>
  <si>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</si>
  <si>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</si>
  <si>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</si>
  <si>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</si>
  <si>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</si>
  <si>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</si>
  <si>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</si>
  <si>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</si>
  <si>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</si>
  <si>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</si>
  <si>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</si>
  <si>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</si>
  <si>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</si>
  <si>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</si>
  <si>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</si>
  <si>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</si>
  <si>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</si>
  <si>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</si>
  <si>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</si>
  <si>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</si>
  <si>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</si>
  <si>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</si>
  <si>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</si>
  <si>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</si>
  <si>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</si>
  <si>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</si>
  <si>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</si>
  <si>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</si>
  <si>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</si>
  <si>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</si>
  <si>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</si>
  <si>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</si>
  <si>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</si>
  <si>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</si>
  <si>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</si>
  <si>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</si>
  <si>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</si>
  <si>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</si>
  <si>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</si>
  <si>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</si>
  <si>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</si>
  <si>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</si>
  <si>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</si>
  <si>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</si>
  <si>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</si>
  <si>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</si>
  <si>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</si>
  <si>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</si>
  <si>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</si>
  <si>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</si>
  <si>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</si>
  <si>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</si>
  <si>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</si>
  <si>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</si>
  <si>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</si>
  <si>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</si>
  <si>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</si>
  <si>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</si>
  <si>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</si>
  <si>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</si>
  <si>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</si>
  <si>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</si>
  <si>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</si>
  <si>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</si>
  <si>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</si>
  <si>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</si>
  <si>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</si>
  <si>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</si>
  <si>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</si>
  <si>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</si>
  <si>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</si>
  <si>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</si>
  <si>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</si>
  <si>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</si>
  <si>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</si>
  <si>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</si>
  <si>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</si>
  <si>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</si>
  <si>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</si>
  <si>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</si>
  <si>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</si>
  <si>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</si>
  <si>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</si>
  <si>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</si>
  <si>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</si>
  <si>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</si>
  <si>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</si>
  <si>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</si>
  <si>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</si>
  <si>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</si>
  <si>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</si>
  <si>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</si>
  <si>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</si>
  <si>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</si>
  <si>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</si>
  <si>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</si>
  <si>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</si>
  <si>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</si>
  <si>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</si>
  <si>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</si>
  <si>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</si>
  <si>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</si>
  <si>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</si>
  <si>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</si>
  <si>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</si>
  <si>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</si>
  <si>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</si>
  <si>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</si>
  <si>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</si>
  <si>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</si>
  <si>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</si>
  <si>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</si>
  <si>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</si>
  <si>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</si>
  <si>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</si>
  <si>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</si>
  <si>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</si>
  <si>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</si>
  <si>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</si>
  <si>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</si>
  <si>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</si>
  <si>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</si>
  <si>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</si>
  <si>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</si>
  <si>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</si>
  <si>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</si>
  <si>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</si>
  <si>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</si>
  <si>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</si>
  <si>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</si>
  <si>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</si>
  <si>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</si>
  <si>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</si>
  <si>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</si>
  <si>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</si>
  <si>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</si>
  <si>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</si>
  <si>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</si>
  <si>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</si>
  <si>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</si>
  <si>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</si>
  <si>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</si>
  <si>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</si>
  <si>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</si>
  <si>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</si>
  <si>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</si>
  <si>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</si>
  <si>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</si>
  <si>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</si>
  <si>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</si>
  <si>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</si>
  <si>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EmiEstimrAndCnsOptmr_numEngOperMod_PHY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</si>
  <si>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</si>
  <si>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</si>
  <si>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</si>
  <si>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</si>
  <si>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</si>
  <si>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</si>
  <si>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</si>
  <si>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</si>
  <si>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</si>
  <si>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</si>
  <si>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</si>
  <si>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</si>
  <si>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</si>
  <si>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</si>
  <si>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</si>
  <si>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</si>
  <si>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</si>
  <si>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</si>
  <si>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</si>
  <si>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</si>
  <si>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</si>
  <si>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</si>
  <si>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</si>
  <si>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</si>
  <si>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</si>
  <si>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</si>
  <si>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</si>
  <si>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</si>
  <si>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</si>
  <si>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</si>
  <si>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</si>
  <si>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</si>
  <si>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</si>
  <si>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</si>
  <si>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</si>
  <si>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</si>
  <si>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</si>
  <si>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</si>
  <si>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</si>
  <si>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</si>
  <si>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</si>
  <si>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</si>
  <si>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</si>
  <si>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</si>
  <si>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</si>
  <si>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</si>
  <si>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</si>
  <si>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</si>
  <si>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</si>
  <si>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</si>
  <si>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</si>
  <si>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</si>
  <si>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</si>
  <si>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</si>
  <si>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</si>
  <si>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</si>
  <si>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</si>
  <si>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</si>
  <si>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</si>
  <si>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</si>
  <si>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</si>
  <si>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</si>
  <si>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</si>
  <si>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</si>
  <si>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</si>
  <si>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</si>
  <si>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</si>
  <si>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</si>
  <si>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</si>
  <si>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</si>
  <si>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</si>
  <si>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</si>
  <si>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</si>
  <si>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</si>
  <si>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</si>
  <si>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</si>
  <si>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</si>
  <si>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</si>
  <si>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</si>
  <si>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</si>
  <si>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</si>
  <si>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</si>
  <si>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</si>
  <si>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</si>
  <si>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</si>
  <si>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</si>
  <si>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</si>
  <si>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</si>
  <si>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</si>
  <si>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</si>
  <si>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</si>
  <si>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</si>
  <si>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</si>
  <si>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</si>
  <si>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</si>
  <si>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</si>
  <si>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</si>
  <si>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</si>
  <si>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</si>
  <si>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</si>
  <si>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</si>
  <si>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</si>
  <si>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</si>
  <si>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</si>
  <si>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</si>
  <si>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</si>
  <si>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</si>
  <si>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</si>
  <si>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</si>
  <si>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LgtVehMdl_lDstTrvld_PHY/Environment Model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</si>
</sst>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E+00"/>
  </numFmts>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164"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0</xdr:rowOff>
        </xdr:to>
        <xdr:sp macro="" textlink="">
          <xdr:nvSpPr>
            <xdr:cNvPr id="7"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257175</xdr:rowOff>
        </xdr:to>
        <xdr:sp macro="" textlink="">
          <xdr:nvSpPr>
            <xdr:cNvPr id="7"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714375</xdr:colOff>
          <xdr:row>0</xdr:row>
          <xdr:rowOff>333375</xdr:rowOff>
        </xdr:to>
        <xdr:sp macro="" textlink="">
          <xdr:nvSpPr>
            <xdr:cNvPr id="4"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7" sqref="C7"/>
    </sheetView>
  </sheetViews>
  <sheetFormatPr defaultColWidth="11.42578125" defaultRowHeight="15" x14ac:dyDescent="0.25"/>
  <cols>
    <col min="1" max="1" width="21.28515625" customWidth="1"/>
    <col min="2" max="2" width="31.28515625" customWidth="1"/>
  </cols>
  <sheetData>
    <row r="1" spans="1:2" x14ac:dyDescent="0.25">
      <c r="A1" s="11" t="s">
        <v>2647</v>
      </c>
      <c r="B1" t="s">
        <v>2598</v>
      </c>
    </row>
    <row r="2" spans="1:2" x14ac:dyDescent="0.25">
      <c r="A2" s="11" t="s">
        <v>2628</v>
      </c>
      <c r="B2">
        <v>0.01</v>
      </c>
    </row>
    <row r="3" spans="1:2" x14ac:dyDescent="0.25">
      <c r="A3" s="11" t="s">
        <v>2646</v>
      </c>
      <c r="B3" s="55" t="s">
        <v>2629</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858"/>
  <sheetViews>
    <sheetView zoomScale="90" zoomScaleNormal="90" zoomScalePageLayoutView="80" workbookViewId="0">
      <pane ySplit="2" topLeftCell="A3" activePane="bottomLeft" state="frozen"/>
      <selection pane="bottomLeft" activeCell="A8" sqref="A8:XFD8"/>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 min="17" max="17" width="15.7109375" bestFit="1" customWidth="1"/>
  </cols>
  <sheetData>
    <row r="1" spans="1:18" ht="49.5" customHeight="1" x14ac:dyDescent="0.25">
      <c r="A1" s="10"/>
      <c r="B1" s="78" t="s">
        <v>0</v>
      </c>
      <c r="C1" s="79"/>
      <c r="D1" s="79"/>
      <c r="E1" s="79"/>
      <c r="F1" s="79"/>
      <c r="G1" s="79"/>
      <c r="H1" s="79"/>
      <c r="I1" s="79"/>
      <c r="J1" s="80"/>
      <c r="K1" s="81" t="s">
        <v>6</v>
      </c>
      <c r="L1" s="82"/>
      <c r="M1" s="82"/>
      <c r="N1" s="82"/>
      <c r="O1" s="82"/>
      <c r="P1" s="82"/>
      <c r="Q1" s="82"/>
      <c r="R1" s="82"/>
    </row>
    <row r="2" spans="1:18" x14ac:dyDescent="0.25">
      <c r="A2" s="11" t="s">
        <v>2651</v>
      </c>
      <c r="B2" s="12" t="s">
        <v>2652</v>
      </c>
      <c r="C2" s="11" t="s">
        <v>2653</v>
      </c>
      <c r="D2" s="14" t="s">
        <v>549</v>
      </c>
      <c r="E2" s="11" t="s">
        <v>2611</v>
      </c>
      <c r="F2" s="11" t="s">
        <v>33</v>
      </c>
      <c r="G2" s="11" t="s">
        <v>3</v>
      </c>
      <c r="H2" s="13" t="s">
        <v>4</v>
      </c>
      <c r="I2" s="14" t="s">
        <v>132</v>
      </c>
      <c r="J2" s="68" t="s">
        <v>5</v>
      </c>
      <c r="K2" s="11" t="s">
        <v>7</v>
      </c>
      <c r="L2" s="14" t="s">
        <v>772</v>
      </c>
      <c r="M2" s="11" t="s">
        <v>8</v>
      </c>
      <c r="N2" s="11" t="s">
        <v>9</v>
      </c>
      <c r="O2" s="11" t="s">
        <v>1952</v>
      </c>
      <c r="P2" s="11" t="s">
        <v>10</v>
      </c>
      <c r="Q2" s="11" t="s">
        <v>2574</v>
      </c>
      <c r="R2" s="11" t="s">
        <v>2630</v>
      </c>
    </row>
    <row r="3" spans="1:18" x14ac:dyDescent="0.25">
      <c r="A3" t="s">
        <v>2673</v>
      </c>
      <c r="B3" t="s">
        <v>2674</v>
      </c>
      <c r="C3" t="s">
        <v>2675</v>
      </c>
      <c r="D3" t="s">
        <v>2676</v>
      </c>
      <c r="E3" t="s">
        <v>2676</v>
      </c>
      <c r="F3" t="s">
        <v>35</v>
      </c>
      <c r="G3" t="s">
        <v>2658</v>
      </c>
      <c r="H3" s="8" t="s">
        <v>3068</v>
      </c>
      <c r="J3" s="16" t="s">
        <v>2677</v>
      </c>
      <c r="K3" t="s">
        <v>14</v>
      </c>
      <c r="L3" t="s">
        <v>2660</v>
      </c>
      <c r="M3" s="17">
        <v>-10000</v>
      </c>
      <c r="N3" s="17">
        <v>10000</v>
      </c>
      <c r="O3" s="17">
        <v>4.6565999999999996E-6</v>
      </c>
      <c r="P3" s="76">
        <v>4294967296</v>
      </c>
      <c r="Q3" s="77">
        <v>0.01</v>
      </c>
      <c r="R3" t="s">
        <v>2661</v>
      </c>
    </row>
    <row r="4" spans="1:18" x14ac:dyDescent="0.25">
      <c r="A4" t="s">
        <v>2678</v>
      </c>
      <c r="B4" t="s">
        <v>2678</v>
      </c>
      <c r="C4" t="s">
        <v>2679</v>
      </c>
      <c r="D4" t="s">
        <v>2676</v>
      </c>
      <c r="E4" t="s">
        <v>2676</v>
      </c>
      <c r="F4" t="s">
        <v>35</v>
      </c>
      <c r="G4" t="s">
        <v>2680</v>
      </c>
      <c r="H4" s="8" t="s">
        <v>76</v>
      </c>
      <c r="J4" s="16" t="s">
        <v>2681</v>
      </c>
      <c r="K4" t="s">
        <v>14</v>
      </c>
      <c r="L4" t="s">
        <v>2660</v>
      </c>
      <c r="M4" s="17">
        <v>-90</v>
      </c>
      <c r="N4" s="17">
        <v>90</v>
      </c>
      <c r="O4" s="17">
        <v>4.1899999999999998E-8</v>
      </c>
      <c r="P4" s="76">
        <v>4294967296</v>
      </c>
      <c r="Q4" s="77">
        <v>0.01</v>
      </c>
      <c r="R4" t="s">
        <v>2661</v>
      </c>
    </row>
    <row r="5" spans="1:18" x14ac:dyDescent="0.25">
      <c r="A5" t="s">
        <v>2682</v>
      </c>
      <c r="B5" t="s">
        <v>2683</v>
      </c>
      <c r="C5" t="s">
        <v>2684</v>
      </c>
      <c r="D5" t="s">
        <v>2685</v>
      </c>
      <c r="E5" t="s">
        <v>2686</v>
      </c>
      <c r="F5" t="s">
        <v>35</v>
      </c>
      <c r="G5" t="s">
        <v>2687</v>
      </c>
      <c r="H5" s="8" t="s">
        <v>2601</v>
      </c>
      <c r="J5" s="16" t="s">
        <v>2688</v>
      </c>
      <c r="K5" t="s">
        <v>14</v>
      </c>
      <c r="L5" t="s">
        <v>2660</v>
      </c>
      <c r="M5" s="17">
        <v>0</v>
      </c>
      <c r="N5" s="17">
        <v>100</v>
      </c>
      <c r="O5" s="17">
        <v>2.33E-8</v>
      </c>
      <c r="P5" s="76">
        <v>4294967296</v>
      </c>
      <c r="Q5" s="77">
        <v>0.01</v>
      </c>
      <c r="R5" t="s">
        <v>2661</v>
      </c>
    </row>
    <row r="6" spans="1:18" x14ac:dyDescent="0.25">
      <c r="A6" t="s">
        <v>2689</v>
      </c>
      <c r="B6" t="s">
        <v>2690</v>
      </c>
      <c r="C6" t="s">
        <v>2691</v>
      </c>
      <c r="D6" t="s">
        <v>2685</v>
      </c>
      <c r="E6" t="s">
        <v>2686</v>
      </c>
      <c r="F6" t="s">
        <v>35</v>
      </c>
      <c r="G6" t="s">
        <v>2692</v>
      </c>
      <c r="H6" s="8" t="s">
        <v>100</v>
      </c>
      <c r="J6" s="16" t="s">
        <v>2693</v>
      </c>
      <c r="K6" t="s">
        <v>14</v>
      </c>
      <c r="L6" t="s">
        <v>2660</v>
      </c>
      <c r="M6" s="17">
        <v>-100000</v>
      </c>
      <c r="N6" s="17">
        <v>100000</v>
      </c>
      <c r="O6" s="17">
        <v>4.6566100000000001E-5</v>
      </c>
      <c r="P6" s="76">
        <v>4294967296</v>
      </c>
      <c r="Q6" s="77">
        <v>0.01</v>
      </c>
      <c r="R6" t="s">
        <v>2661</v>
      </c>
    </row>
    <row r="7" spans="1:18" x14ac:dyDescent="0.25">
      <c r="A7" t="s">
        <v>2694</v>
      </c>
      <c r="B7" t="s">
        <v>2695</v>
      </c>
      <c r="C7" t="s">
        <v>2696</v>
      </c>
      <c r="D7" t="s">
        <v>2685</v>
      </c>
      <c r="E7" t="s">
        <v>2686</v>
      </c>
      <c r="F7" t="s">
        <v>35</v>
      </c>
      <c r="G7" t="s">
        <v>2658</v>
      </c>
      <c r="H7" s="8" t="s">
        <v>3068</v>
      </c>
      <c r="J7" s="16" t="s">
        <v>2697</v>
      </c>
      <c r="K7" t="s">
        <v>14</v>
      </c>
      <c r="L7" t="s">
        <v>2660</v>
      </c>
      <c r="M7" s="17">
        <v>-1000</v>
      </c>
      <c r="N7" s="17">
        <v>1000</v>
      </c>
      <c r="O7" s="17">
        <v>4.6569999999999999E-7</v>
      </c>
      <c r="P7" s="76">
        <v>4294967296</v>
      </c>
      <c r="Q7" s="77">
        <v>0.01</v>
      </c>
      <c r="R7" t="s">
        <v>2661</v>
      </c>
    </row>
    <row r="8" spans="1:18" x14ac:dyDescent="0.25">
      <c r="A8" t="s">
        <v>2698</v>
      </c>
      <c r="B8" t="s">
        <v>2699</v>
      </c>
      <c r="C8" t="s">
        <v>2700</v>
      </c>
      <c r="D8" t="s">
        <v>2685</v>
      </c>
      <c r="E8" t="s">
        <v>2686</v>
      </c>
      <c r="F8" t="s">
        <v>35</v>
      </c>
      <c r="G8" t="s">
        <v>2701</v>
      </c>
      <c r="H8" s="8" t="s">
        <v>64</v>
      </c>
      <c r="J8" s="16" t="s">
        <v>2702</v>
      </c>
      <c r="K8" t="s">
        <v>14</v>
      </c>
      <c r="L8" t="s">
        <v>2660</v>
      </c>
      <c r="M8" s="17">
        <v>0</v>
      </c>
      <c r="N8" s="17">
        <v>10000000</v>
      </c>
      <c r="O8" s="17">
        <v>2.3283064000000002E-3</v>
      </c>
      <c r="P8" s="76">
        <v>4294967296</v>
      </c>
      <c r="Q8" s="77">
        <v>0.01</v>
      </c>
      <c r="R8" t="s">
        <v>2661</v>
      </c>
    </row>
    <row r="9" spans="1:18" x14ac:dyDescent="0.25">
      <c r="A9" t="s">
        <v>2725</v>
      </c>
      <c r="B9" t="s">
        <v>2726</v>
      </c>
      <c r="C9" t="s">
        <v>2727</v>
      </c>
      <c r="D9" t="s">
        <v>2723</v>
      </c>
      <c r="E9" t="s">
        <v>2724</v>
      </c>
      <c r="F9" t="s">
        <v>35</v>
      </c>
      <c r="G9" t="s">
        <v>2705</v>
      </c>
      <c r="H9" s="8" t="s">
        <v>113</v>
      </c>
      <c r="J9" s="16" t="s">
        <v>3258</v>
      </c>
      <c r="K9" t="s">
        <v>14</v>
      </c>
      <c r="L9" t="s">
        <v>2660</v>
      </c>
      <c r="M9" s="17">
        <v>0</v>
      </c>
      <c r="N9" s="17">
        <v>10</v>
      </c>
      <c r="O9" s="17">
        <v>2.2999999999999999E-9</v>
      </c>
      <c r="P9" s="76">
        <v>4294967296</v>
      </c>
      <c r="Q9" s="77">
        <v>0.02</v>
      </c>
      <c r="R9" t="s">
        <v>2661</v>
      </c>
    </row>
    <row r="10" spans="1:18" x14ac:dyDescent="0.25">
      <c r="A10" t="s">
        <v>2728</v>
      </c>
      <c r="B10" t="s">
        <v>2729</v>
      </c>
      <c r="C10" t="s">
        <v>2730</v>
      </c>
      <c r="D10" t="s">
        <v>2723</v>
      </c>
      <c r="E10" t="s">
        <v>2724</v>
      </c>
      <c r="F10" t="s">
        <v>35</v>
      </c>
      <c r="G10" t="s">
        <v>2731</v>
      </c>
      <c r="H10" s="8" t="s">
        <v>85</v>
      </c>
      <c r="J10" s="16" t="s">
        <v>2732</v>
      </c>
      <c r="K10" t="s">
        <v>14</v>
      </c>
      <c r="L10" t="s">
        <v>2660</v>
      </c>
      <c r="M10" s="17">
        <v>0</v>
      </c>
      <c r="N10" s="17">
        <v>1000</v>
      </c>
      <c r="O10" s="17">
        <v>2.3279999999999999E-7</v>
      </c>
      <c r="P10" s="76">
        <v>4294967296</v>
      </c>
      <c r="Q10" s="77">
        <v>0.02</v>
      </c>
      <c r="R10" t="s">
        <v>2661</v>
      </c>
    </row>
    <row r="11" spans="1:18" x14ac:dyDescent="0.25">
      <c r="A11" t="s">
        <v>2733</v>
      </c>
      <c r="B11" t="s">
        <v>2734</v>
      </c>
      <c r="C11" t="s">
        <v>3066</v>
      </c>
      <c r="D11" t="s">
        <v>2723</v>
      </c>
      <c r="E11" t="s">
        <v>2724</v>
      </c>
      <c r="F11" t="s">
        <v>35</v>
      </c>
      <c r="G11" t="s">
        <v>2731</v>
      </c>
      <c r="H11" s="8" t="s">
        <v>85</v>
      </c>
      <c r="J11" s="16" t="s">
        <v>3064</v>
      </c>
      <c r="K11" t="s">
        <v>14</v>
      </c>
      <c r="L11" t="s">
        <v>2660</v>
      </c>
      <c r="M11" s="17">
        <v>0</v>
      </c>
      <c r="N11" s="17">
        <v>1000</v>
      </c>
      <c r="O11" s="17">
        <v>2.3279999999999999E-7</v>
      </c>
      <c r="P11" s="76">
        <v>4294967296</v>
      </c>
      <c r="Q11" s="77">
        <v>0.02</v>
      </c>
      <c r="R11" t="s">
        <v>2661</v>
      </c>
    </row>
    <row r="12" spans="1:18" x14ac:dyDescent="0.25">
      <c r="A12" t="s">
        <v>2735</v>
      </c>
      <c r="B12" t="s">
        <v>2736</v>
      </c>
      <c r="C12" t="s">
        <v>2737</v>
      </c>
      <c r="D12" t="s">
        <v>2723</v>
      </c>
      <c r="E12" t="s">
        <v>2724</v>
      </c>
      <c r="F12" t="s">
        <v>35</v>
      </c>
      <c r="G12" t="s">
        <v>2731</v>
      </c>
      <c r="H12" s="8" t="s">
        <v>85</v>
      </c>
      <c r="J12" s="16" t="s">
        <v>2738</v>
      </c>
      <c r="K12" t="s">
        <v>14</v>
      </c>
      <c r="L12" t="s">
        <v>2660</v>
      </c>
      <c r="M12" s="17">
        <v>0</v>
      </c>
      <c r="N12" s="17">
        <v>1000</v>
      </c>
      <c r="O12" s="17">
        <v>2.3279999999999999E-7</v>
      </c>
      <c r="P12" s="76">
        <v>4294967296</v>
      </c>
      <c r="Q12" s="77">
        <v>0.02</v>
      </c>
      <c r="R12" t="s">
        <v>2661</v>
      </c>
    </row>
    <row r="13" spans="1:18" x14ac:dyDescent="0.25">
      <c r="A13" t="s">
        <v>2739</v>
      </c>
      <c r="B13" t="s">
        <v>2740</v>
      </c>
      <c r="C13" t="s">
        <v>2741</v>
      </c>
      <c r="D13" t="s">
        <v>2723</v>
      </c>
      <c r="E13" t="s">
        <v>2724</v>
      </c>
      <c r="F13" t="s">
        <v>35</v>
      </c>
      <c r="G13" t="s">
        <v>2731</v>
      </c>
      <c r="H13" s="8" t="s">
        <v>85</v>
      </c>
      <c r="J13" s="16" t="s">
        <v>2742</v>
      </c>
      <c r="K13" t="s">
        <v>14</v>
      </c>
      <c r="L13" t="s">
        <v>2660</v>
      </c>
      <c r="M13" s="17">
        <v>0</v>
      </c>
      <c r="N13" s="17">
        <v>1000</v>
      </c>
      <c r="O13" s="17">
        <v>2.3279999999999999E-7</v>
      </c>
      <c r="P13" s="76">
        <v>4294967296</v>
      </c>
      <c r="Q13" s="77">
        <v>0.02</v>
      </c>
      <c r="R13" t="s">
        <v>2661</v>
      </c>
    </row>
    <row r="14" spans="1:18" x14ac:dyDescent="0.25">
      <c r="A14" t="s">
        <v>2743</v>
      </c>
      <c r="B14" t="s">
        <v>2744</v>
      </c>
      <c r="C14" t="s">
        <v>2745</v>
      </c>
      <c r="D14" t="s">
        <v>2723</v>
      </c>
      <c r="E14" t="s">
        <v>2724</v>
      </c>
      <c r="F14" t="s">
        <v>35</v>
      </c>
      <c r="G14" t="s">
        <v>2731</v>
      </c>
      <c r="H14" s="8" t="s">
        <v>85</v>
      </c>
      <c r="J14" s="16" t="s">
        <v>2746</v>
      </c>
      <c r="K14" t="s">
        <v>14</v>
      </c>
      <c r="L14" t="s">
        <v>2660</v>
      </c>
      <c r="M14" s="17">
        <v>0</v>
      </c>
      <c r="N14" s="17">
        <v>1000</v>
      </c>
      <c r="O14" s="17">
        <v>2.3279999999999999E-7</v>
      </c>
      <c r="P14" s="76">
        <v>4294967296</v>
      </c>
      <c r="Q14" s="77">
        <v>0.02</v>
      </c>
      <c r="R14" t="s">
        <v>2661</v>
      </c>
    </row>
    <row r="15" spans="1:18" x14ac:dyDescent="0.25">
      <c r="A15" t="s">
        <v>2747</v>
      </c>
      <c r="B15" t="s">
        <v>2748</v>
      </c>
      <c r="C15" t="s">
        <v>2749</v>
      </c>
      <c r="D15" t="s">
        <v>2723</v>
      </c>
      <c r="E15" t="s">
        <v>2724</v>
      </c>
      <c r="F15" t="s">
        <v>35</v>
      </c>
      <c r="G15" t="s">
        <v>2731</v>
      </c>
      <c r="H15" s="8" t="s">
        <v>85</v>
      </c>
      <c r="J15" s="16" t="s">
        <v>2750</v>
      </c>
      <c r="K15" t="s">
        <v>14</v>
      </c>
      <c r="L15" t="s">
        <v>2660</v>
      </c>
      <c r="M15" s="17">
        <v>0</v>
      </c>
      <c r="N15" s="17">
        <v>1000</v>
      </c>
      <c r="O15" s="17">
        <v>2.3279999999999999E-7</v>
      </c>
      <c r="P15" s="76">
        <v>4294967296</v>
      </c>
      <c r="Q15" s="77">
        <v>0.02</v>
      </c>
      <c r="R15" t="s">
        <v>2661</v>
      </c>
    </row>
    <row r="16" spans="1:18" x14ac:dyDescent="0.25">
      <c r="A16" t="s">
        <v>2751</v>
      </c>
      <c r="B16" t="s">
        <v>2734</v>
      </c>
      <c r="C16" t="s">
        <v>3066</v>
      </c>
      <c r="D16" t="s">
        <v>2723</v>
      </c>
      <c r="E16" t="s">
        <v>2724</v>
      </c>
      <c r="F16" t="s">
        <v>35</v>
      </c>
      <c r="G16" t="s">
        <v>2680</v>
      </c>
      <c r="H16" s="8" t="s">
        <v>76</v>
      </c>
      <c r="J16" s="16" t="s">
        <v>3065</v>
      </c>
      <c r="K16" t="s">
        <v>14</v>
      </c>
      <c r="L16" t="s">
        <v>2660</v>
      </c>
      <c r="M16" s="17">
        <v>-720</v>
      </c>
      <c r="N16" s="17">
        <v>720</v>
      </c>
      <c r="O16" s="17">
        <v>3.3529999999999999E-7</v>
      </c>
      <c r="P16" s="76">
        <v>4294967296</v>
      </c>
      <c r="Q16" s="77">
        <v>0.02</v>
      </c>
      <c r="R16" t="s">
        <v>2661</v>
      </c>
    </row>
    <row r="17" spans="1:18" x14ac:dyDescent="0.25">
      <c r="A17" t="s">
        <v>2752</v>
      </c>
      <c r="B17" t="s">
        <v>2736</v>
      </c>
      <c r="C17" t="s">
        <v>2737</v>
      </c>
      <c r="D17" t="s">
        <v>2723</v>
      </c>
      <c r="E17" t="s">
        <v>2724</v>
      </c>
      <c r="F17" t="s">
        <v>35</v>
      </c>
      <c r="G17" t="s">
        <v>2680</v>
      </c>
      <c r="H17" s="8" t="s">
        <v>76</v>
      </c>
      <c r="J17" s="16" t="s">
        <v>2753</v>
      </c>
      <c r="K17" t="s">
        <v>14</v>
      </c>
      <c r="L17" t="s">
        <v>2660</v>
      </c>
      <c r="M17" s="17">
        <v>-720</v>
      </c>
      <c r="N17" s="17">
        <v>720</v>
      </c>
      <c r="O17" s="17">
        <v>3.3529999999999999E-7</v>
      </c>
      <c r="P17" s="76">
        <v>4294967296</v>
      </c>
      <c r="Q17" s="77">
        <v>0.02</v>
      </c>
      <c r="R17" t="s">
        <v>2661</v>
      </c>
    </row>
    <row r="18" spans="1:18" x14ac:dyDescent="0.25">
      <c r="A18" t="s">
        <v>2754</v>
      </c>
      <c r="B18" t="s">
        <v>2740</v>
      </c>
      <c r="C18" t="s">
        <v>2741</v>
      </c>
      <c r="D18" t="s">
        <v>2723</v>
      </c>
      <c r="E18" t="s">
        <v>2724</v>
      </c>
      <c r="F18" t="s">
        <v>35</v>
      </c>
      <c r="G18" t="s">
        <v>2680</v>
      </c>
      <c r="H18" s="8" t="s">
        <v>76</v>
      </c>
      <c r="J18" s="16" t="s">
        <v>2755</v>
      </c>
      <c r="K18" t="s">
        <v>14</v>
      </c>
      <c r="L18" t="s">
        <v>2660</v>
      </c>
      <c r="M18" s="17">
        <v>-720</v>
      </c>
      <c r="N18" s="17">
        <v>720</v>
      </c>
      <c r="O18" s="17">
        <v>3.3529999999999999E-7</v>
      </c>
      <c r="P18" s="76">
        <v>4294967296</v>
      </c>
      <c r="Q18" s="77">
        <v>0.02</v>
      </c>
      <c r="R18" t="s">
        <v>2661</v>
      </c>
    </row>
    <row r="19" spans="1:18" x14ac:dyDescent="0.25">
      <c r="A19" t="s">
        <v>2756</v>
      </c>
      <c r="B19" t="s">
        <v>2744</v>
      </c>
      <c r="C19" t="s">
        <v>2745</v>
      </c>
      <c r="D19" t="s">
        <v>2723</v>
      </c>
      <c r="E19" t="s">
        <v>2724</v>
      </c>
      <c r="F19" t="s">
        <v>35</v>
      </c>
      <c r="G19" t="s">
        <v>2680</v>
      </c>
      <c r="H19" s="8" t="s">
        <v>76</v>
      </c>
      <c r="J19" s="16" t="s">
        <v>2757</v>
      </c>
      <c r="K19" t="s">
        <v>14</v>
      </c>
      <c r="L19" t="s">
        <v>2660</v>
      </c>
      <c r="M19" s="17">
        <v>-720</v>
      </c>
      <c r="N19" s="17">
        <v>720</v>
      </c>
      <c r="O19" s="17">
        <v>3.3529999999999999E-7</v>
      </c>
      <c r="P19" s="76">
        <v>4294967296</v>
      </c>
      <c r="Q19" s="77">
        <v>0.02</v>
      </c>
      <c r="R19" t="s">
        <v>2661</v>
      </c>
    </row>
    <row r="20" spans="1:18" x14ac:dyDescent="0.25">
      <c r="A20" t="s">
        <v>2758</v>
      </c>
      <c r="B20" t="s">
        <v>2748</v>
      </c>
      <c r="C20" t="s">
        <v>2749</v>
      </c>
      <c r="D20" t="s">
        <v>2723</v>
      </c>
      <c r="E20" t="s">
        <v>2724</v>
      </c>
      <c r="F20" t="s">
        <v>35</v>
      </c>
      <c r="G20" t="s">
        <v>2680</v>
      </c>
      <c r="H20" s="8" t="s">
        <v>76</v>
      </c>
      <c r="J20" s="16" t="s">
        <v>2759</v>
      </c>
      <c r="K20" t="s">
        <v>14</v>
      </c>
      <c r="L20" t="s">
        <v>2660</v>
      </c>
      <c r="M20" s="17">
        <v>-720</v>
      </c>
      <c r="N20" s="17">
        <v>720</v>
      </c>
      <c r="O20" s="17">
        <v>3.3529999999999999E-7</v>
      </c>
      <c r="P20" s="76">
        <v>4294967296</v>
      </c>
      <c r="Q20" s="77">
        <v>0.02</v>
      </c>
      <c r="R20" t="s">
        <v>2661</v>
      </c>
    </row>
    <row r="21" spans="1:18" x14ac:dyDescent="0.25">
      <c r="A21" t="s">
        <v>2760</v>
      </c>
      <c r="B21" t="s">
        <v>2761</v>
      </c>
      <c r="C21" t="s">
        <v>2762</v>
      </c>
      <c r="D21" t="s">
        <v>2723</v>
      </c>
      <c r="E21" t="s">
        <v>2724</v>
      </c>
      <c r="F21" t="s">
        <v>35</v>
      </c>
      <c r="G21" t="s">
        <v>2763</v>
      </c>
      <c r="H21" s="8" t="s">
        <v>1679</v>
      </c>
      <c r="J21" s="16" t="s">
        <v>2764</v>
      </c>
      <c r="K21" t="s">
        <v>14</v>
      </c>
      <c r="L21" t="s">
        <v>2660</v>
      </c>
      <c r="M21" s="17">
        <v>0</v>
      </c>
      <c r="N21" s="17">
        <v>400000000</v>
      </c>
      <c r="O21" s="17">
        <v>9.3132257499999996E-2</v>
      </c>
      <c r="P21" s="76">
        <v>4294967296</v>
      </c>
      <c r="Q21" s="77">
        <v>0.02</v>
      </c>
      <c r="R21" t="s">
        <v>2661</v>
      </c>
    </row>
    <row r="22" spans="1:18" x14ac:dyDescent="0.25">
      <c r="A22" t="s">
        <v>2888</v>
      </c>
      <c r="B22" t="s">
        <v>2789</v>
      </c>
      <c r="C22" t="s">
        <v>2790</v>
      </c>
      <c r="D22" t="s">
        <v>2791</v>
      </c>
      <c r="E22" t="s">
        <v>2792</v>
      </c>
      <c r="F22" t="s">
        <v>35</v>
      </c>
      <c r="G22" t="s">
        <v>2705</v>
      </c>
      <c r="H22" s="8" t="s">
        <v>113</v>
      </c>
      <c r="J22" s="16" t="s">
        <v>3280</v>
      </c>
      <c r="K22" t="s">
        <v>14</v>
      </c>
      <c r="L22" t="s">
        <v>2660</v>
      </c>
      <c r="M22" s="17">
        <v>0</v>
      </c>
      <c r="N22" s="17">
        <v>10</v>
      </c>
      <c r="O22" s="17">
        <v>3.90625E-2</v>
      </c>
      <c r="P22" s="76">
        <v>256</v>
      </c>
      <c r="Q22" s="77">
        <v>0.01</v>
      </c>
      <c r="R22" t="s">
        <v>2667</v>
      </c>
    </row>
    <row r="23" spans="1:18" x14ac:dyDescent="0.25">
      <c r="A23" t="s">
        <v>2889</v>
      </c>
      <c r="B23" t="s">
        <v>2797</v>
      </c>
      <c r="C23" t="s">
        <v>2798</v>
      </c>
      <c r="D23" t="s">
        <v>2799</v>
      </c>
      <c r="E23" t="s">
        <v>2799</v>
      </c>
      <c r="F23" t="s">
        <v>35</v>
      </c>
      <c r="G23" t="s">
        <v>2796</v>
      </c>
      <c r="H23" s="8" t="s">
        <v>96</v>
      </c>
      <c r="J23" s="16" t="s">
        <v>2800</v>
      </c>
      <c r="K23" t="s">
        <v>14</v>
      </c>
      <c r="L23" t="s">
        <v>2660</v>
      </c>
      <c r="M23" s="17">
        <v>-21</v>
      </c>
      <c r="N23" s="17">
        <v>2147</v>
      </c>
      <c r="O23" s="17">
        <v>5.0480000000000002E-7</v>
      </c>
      <c r="P23" s="76">
        <v>4294967296</v>
      </c>
      <c r="Q23" s="77">
        <v>1E-3</v>
      </c>
      <c r="R23" t="s">
        <v>2661</v>
      </c>
    </row>
    <row r="24" spans="1:18" x14ac:dyDescent="0.25">
      <c r="A24" t="s">
        <v>2890</v>
      </c>
      <c r="B24" t="s">
        <v>2803</v>
      </c>
      <c r="C24" t="s">
        <v>2804</v>
      </c>
      <c r="D24" t="s">
        <v>2799</v>
      </c>
      <c r="E24" t="s">
        <v>2799</v>
      </c>
      <c r="F24" t="s">
        <v>35</v>
      </c>
      <c r="G24" t="s">
        <v>2763</v>
      </c>
      <c r="H24" s="8" t="s">
        <v>1679</v>
      </c>
      <c r="J24" s="16" t="s">
        <v>2805</v>
      </c>
      <c r="K24" t="s">
        <v>14</v>
      </c>
      <c r="L24" t="s">
        <v>2660</v>
      </c>
      <c r="M24" s="17">
        <v>-21</v>
      </c>
      <c r="N24" s="17">
        <v>2147</v>
      </c>
      <c r="O24" s="17">
        <v>5.0480000000000002E-7</v>
      </c>
      <c r="P24" s="76">
        <v>4294967296</v>
      </c>
      <c r="Q24" s="77">
        <v>1E-3</v>
      </c>
      <c r="R24" t="s">
        <v>2661</v>
      </c>
    </row>
    <row r="25" spans="1:18" x14ac:dyDescent="0.25">
      <c r="A25" t="s">
        <v>2891</v>
      </c>
      <c r="B25" t="s">
        <v>2814</v>
      </c>
      <c r="C25" t="s">
        <v>2815</v>
      </c>
      <c r="D25" t="s">
        <v>2799</v>
      </c>
      <c r="E25" t="s">
        <v>2799</v>
      </c>
      <c r="F25" t="s">
        <v>35</v>
      </c>
      <c r="G25" t="s">
        <v>2816</v>
      </c>
      <c r="H25" s="8" t="s">
        <v>66</v>
      </c>
      <c r="J25" s="16" t="s">
        <v>2817</v>
      </c>
      <c r="K25" t="s">
        <v>14</v>
      </c>
      <c r="L25" t="s">
        <v>2660</v>
      </c>
      <c r="M25" s="17">
        <v>-21</v>
      </c>
      <c r="N25" s="17">
        <v>2147</v>
      </c>
      <c r="O25" s="17">
        <v>5.0480000000000002E-7</v>
      </c>
      <c r="P25" s="76">
        <v>4294967296</v>
      </c>
      <c r="Q25" s="77">
        <v>1E-3</v>
      </c>
      <c r="R25" t="s">
        <v>2661</v>
      </c>
    </row>
    <row r="26" spans="1:18" x14ac:dyDescent="0.25">
      <c r="A26" t="s">
        <v>2892</v>
      </c>
      <c r="B26" t="s">
        <v>2818</v>
      </c>
      <c r="C26" t="s">
        <v>2819</v>
      </c>
      <c r="D26" t="s">
        <v>2799</v>
      </c>
      <c r="E26" t="s">
        <v>2799</v>
      </c>
      <c r="F26" t="s">
        <v>35</v>
      </c>
      <c r="G26" t="s">
        <v>2705</v>
      </c>
      <c r="H26" s="8" t="s">
        <v>113</v>
      </c>
      <c r="J26" s="16" t="s">
        <v>2820</v>
      </c>
      <c r="K26" t="s">
        <v>14</v>
      </c>
      <c r="L26" t="s">
        <v>2660</v>
      </c>
      <c r="M26" s="17">
        <v>-21</v>
      </c>
      <c r="N26" s="17">
        <v>200000000</v>
      </c>
      <c r="O26" s="17">
        <v>4.65661335999999E-2</v>
      </c>
      <c r="P26" s="76">
        <v>4294967296</v>
      </c>
      <c r="Q26" s="77">
        <v>1E-3</v>
      </c>
      <c r="R26" t="s">
        <v>2661</v>
      </c>
    </row>
    <row r="27" spans="1:18" x14ac:dyDescent="0.25">
      <c r="A27" t="s">
        <v>2893</v>
      </c>
      <c r="B27" t="s">
        <v>2823</v>
      </c>
      <c r="C27" t="s">
        <v>2824</v>
      </c>
      <c r="D27" t="s">
        <v>2799</v>
      </c>
      <c r="E27" t="s">
        <v>2799</v>
      </c>
      <c r="F27" t="s">
        <v>35</v>
      </c>
      <c r="G27" t="s">
        <v>2707</v>
      </c>
      <c r="H27" s="8" t="s">
        <v>79</v>
      </c>
      <c r="J27" s="16" t="s">
        <v>2825</v>
      </c>
      <c r="K27" t="s">
        <v>14</v>
      </c>
      <c r="L27" t="s">
        <v>2660</v>
      </c>
      <c r="M27" s="17">
        <v>-21</v>
      </c>
      <c r="N27" s="17">
        <v>200</v>
      </c>
      <c r="O27" s="17">
        <v>5.1499999999999899E-8</v>
      </c>
      <c r="P27" s="76">
        <v>4294967296</v>
      </c>
      <c r="Q27" s="77">
        <v>1E-3</v>
      </c>
      <c r="R27" t="s">
        <v>2661</v>
      </c>
    </row>
    <row r="28" spans="1:18" x14ac:dyDescent="0.25">
      <c r="A28" t="s">
        <v>2894</v>
      </c>
      <c r="B28" t="s">
        <v>2826</v>
      </c>
      <c r="C28" t="s">
        <v>2827</v>
      </c>
      <c r="D28" t="s">
        <v>2799</v>
      </c>
      <c r="E28" t="s">
        <v>2799</v>
      </c>
      <c r="F28" t="s">
        <v>35</v>
      </c>
      <c r="G28" t="s">
        <v>2795</v>
      </c>
      <c r="H28" s="8" t="s">
        <v>2600</v>
      </c>
      <c r="J28" s="16" t="s">
        <v>2828</v>
      </c>
      <c r="K28" t="s">
        <v>14</v>
      </c>
      <c r="L28" t="s">
        <v>2660</v>
      </c>
      <c r="M28" s="17">
        <v>-21</v>
      </c>
      <c r="N28" s="17">
        <v>2147487</v>
      </c>
      <c r="O28" s="17">
        <v>5.000057E-4</v>
      </c>
      <c r="P28" s="76">
        <v>4294967296</v>
      </c>
      <c r="Q28" s="77">
        <v>1E-3</v>
      </c>
      <c r="R28" t="s">
        <v>2661</v>
      </c>
    </row>
    <row r="29" spans="1:18" x14ac:dyDescent="0.25">
      <c r="A29" t="s">
        <v>2895</v>
      </c>
      <c r="B29" t="s">
        <v>2829</v>
      </c>
      <c r="C29" t="s">
        <v>2830</v>
      </c>
      <c r="D29" t="s">
        <v>2799</v>
      </c>
      <c r="E29" t="s">
        <v>2799</v>
      </c>
      <c r="F29" t="s">
        <v>35</v>
      </c>
      <c r="G29" t="s">
        <v>2796</v>
      </c>
      <c r="H29" s="8" t="s">
        <v>96</v>
      </c>
      <c r="J29" s="16" t="s">
        <v>2831</v>
      </c>
      <c r="K29" t="s">
        <v>14</v>
      </c>
      <c r="L29" t="s">
        <v>2660</v>
      </c>
      <c r="M29" s="17">
        <v>-50</v>
      </c>
      <c r="N29" s="17">
        <v>257</v>
      </c>
      <c r="O29" s="17">
        <v>4.6844482E-3</v>
      </c>
      <c r="P29" s="76">
        <v>65536</v>
      </c>
      <c r="Q29" s="77">
        <v>1E-3</v>
      </c>
      <c r="R29" t="s">
        <v>2661</v>
      </c>
    </row>
    <row r="30" spans="1:18" x14ac:dyDescent="0.25">
      <c r="A30" t="s">
        <v>2896</v>
      </c>
      <c r="B30" t="s">
        <v>359</v>
      </c>
      <c r="C30" t="s">
        <v>359</v>
      </c>
      <c r="D30" t="s">
        <v>2799</v>
      </c>
      <c r="E30" t="s">
        <v>2799</v>
      </c>
      <c r="F30" t="s">
        <v>35</v>
      </c>
      <c r="G30" t="s">
        <v>2763</v>
      </c>
      <c r="H30" s="8" t="s">
        <v>1679</v>
      </c>
      <c r="J30" s="16" t="s">
        <v>2832</v>
      </c>
      <c r="K30" t="s">
        <v>14</v>
      </c>
      <c r="L30" t="s">
        <v>2660</v>
      </c>
      <c r="M30" s="17">
        <v>-1</v>
      </c>
      <c r="N30" s="17">
        <v>12</v>
      </c>
      <c r="O30" s="17">
        <v>5.078125E-2</v>
      </c>
      <c r="P30" s="76">
        <v>256</v>
      </c>
      <c r="Q30" s="77">
        <v>1E-3</v>
      </c>
      <c r="R30" t="s">
        <v>2661</v>
      </c>
    </row>
    <row r="31" spans="1:18" x14ac:dyDescent="0.25">
      <c r="A31" t="s">
        <v>2897</v>
      </c>
      <c r="B31" t="s">
        <v>1343</v>
      </c>
      <c r="C31" t="s">
        <v>1344</v>
      </c>
      <c r="D31" t="s">
        <v>2799</v>
      </c>
      <c r="E31" t="s">
        <v>2799</v>
      </c>
      <c r="F31" t="s">
        <v>35</v>
      </c>
      <c r="G31" t="s">
        <v>2705</v>
      </c>
      <c r="H31" s="8" t="s">
        <v>113</v>
      </c>
      <c r="J31" s="16" t="s">
        <v>2833</v>
      </c>
      <c r="K31" t="s">
        <v>14</v>
      </c>
      <c r="L31" t="s">
        <v>2660</v>
      </c>
      <c r="M31" s="17">
        <v>-1</v>
      </c>
      <c r="N31" s="17">
        <v>15</v>
      </c>
      <c r="O31" s="17">
        <v>6.25E-2</v>
      </c>
      <c r="P31" s="76">
        <v>256</v>
      </c>
      <c r="Q31" s="77">
        <v>1E-3</v>
      </c>
      <c r="R31" t="s">
        <v>2661</v>
      </c>
    </row>
    <row r="32" spans="1:18" x14ac:dyDescent="0.25">
      <c r="A32" t="s">
        <v>2898</v>
      </c>
      <c r="B32" t="s">
        <v>2834</v>
      </c>
      <c r="C32" t="s">
        <v>2835</v>
      </c>
      <c r="D32" t="s">
        <v>2799</v>
      </c>
      <c r="E32" t="s">
        <v>2799</v>
      </c>
      <c r="F32" t="s">
        <v>35</v>
      </c>
      <c r="G32" t="s">
        <v>2796</v>
      </c>
      <c r="H32" s="8" t="s">
        <v>96</v>
      </c>
      <c r="J32" s="16" t="s">
        <v>2836</v>
      </c>
      <c r="K32" t="s">
        <v>14</v>
      </c>
      <c r="L32" t="s">
        <v>2660</v>
      </c>
      <c r="M32" s="17">
        <v>-21</v>
      </c>
      <c r="N32" s="17">
        <v>2000</v>
      </c>
      <c r="O32" s="17">
        <v>4.7059999999999899E-7</v>
      </c>
      <c r="P32" s="76">
        <v>4294967296</v>
      </c>
      <c r="Q32" s="77">
        <v>1E-3</v>
      </c>
      <c r="R32" t="s">
        <v>2661</v>
      </c>
    </row>
    <row r="33" spans="1:18" x14ac:dyDescent="0.25">
      <c r="A33" t="s">
        <v>2873</v>
      </c>
      <c r="B33" t="s">
        <v>2873</v>
      </c>
      <c r="C33" t="s">
        <v>2874</v>
      </c>
      <c r="D33" t="s">
        <v>2870</v>
      </c>
      <c r="E33" t="s">
        <v>2872</v>
      </c>
      <c r="F33" t="s">
        <v>35</v>
      </c>
      <c r="G33" t="s">
        <v>2658</v>
      </c>
      <c r="H33" s="8" t="s">
        <v>3068</v>
      </c>
      <c r="J33" s="16" t="s">
        <v>3259</v>
      </c>
      <c r="K33" t="s">
        <v>14</v>
      </c>
      <c r="L33" t="s">
        <v>2660</v>
      </c>
      <c r="M33" s="17">
        <v>-1000</v>
      </c>
      <c r="N33" s="17">
        <v>1000</v>
      </c>
      <c r="O33" s="17">
        <v>4.6569999999999999E-7</v>
      </c>
      <c r="P33" s="76">
        <v>4294967296</v>
      </c>
      <c r="Q33" s="77">
        <v>0.01</v>
      </c>
      <c r="R33" t="s">
        <v>2661</v>
      </c>
    </row>
    <row r="34" spans="1:18" x14ac:dyDescent="0.25">
      <c r="A34" t="s">
        <v>2875</v>
      </c>
      <c r="B34" t="s">
        <v>2876</v>
      </c>
      <c r="C34" t="s">
        <v>2877</v>
      </c>
      <c r="D34" t="s">
        <v>2870</v>
      </c>
      <c r="E34" t="s">
        <v>2872</v>
      </c>
      <c r="F34" t="s">
        <v>35</v>
      </c>
      <c r="G34" t="s">
        <v>2878</v>
      </c>
      <c r="H34" s="8" t="s">
        <v>113</v>
      </c>
      <c r="J34" s="16" t="s">
        <v>3260</v>
      </c>
      <c r="K34" t="s">
        <v>14</v>
      </c>
      <c r="L34" t="s">
        <v>2660</v>
      </c>
      <c r="M34" s="17">
        <v>-2147483648</v>
      </c>
      <c r="N34" s="17">
        <v>2147483647</v>
      </c>
      <c r="O34" s="17">
        <v>1</v>
      </c>
      <c r="P34" s="76">
        <v>4294967296</v>
      </c>
      <c r="Q34" s="77">
        <v>0.01</v>
      </c>
      <c r="R34" t="s">
        <v>2667</v>
      </c>
    </row>
    <row r="35" spans="1:18" x14ac:dyDescent="0.25">
      <c r="A35" t="s">
        <v>2879</v>
      </c>
      <c r="B35" t="s">
        <v>2879</v>
      </c>
      <c r="C35" t="s">
        <v>2880</v>
      </c>
      <c r="D35" t="s">
        <v>2870</v>
      </c>
      <c r="E35" t="s">
        <v>2872</v>
      </c>
      <c r="F35" t="s">
        <v>35</v>
      </c>
      <c r="G35" t="s">
        <v>2878</v>
      </c>
      <c r="H35" s="8" t="s">
        <v>113</v>
      </c>
      <c r="J35" s="16" t="s">
        <v>3261</v>
      </c>
      <c r="K35" t="s">
        <v>14</v>
      </c>
      <c r="L35" t="s">
        <v>2660</v>
      </c>
      <c r="M35" s="17">
        <v>-2147483648</v>
      </c>
      <c r="N35" s="17">
        <v>2147483647</v>
      </c>
      <c r="O35" s="17">
        <v>1</v>
      </c>
      <c r="P35" s="76">
        <v>4294967296</v>
      </c>
      <c r="Q35" s="77">
        <v>0.01</v>
      </c>
      <c r="R35" t="s">
        <v>2667</v>
      </c>
    </row>
    <row r="36" spans="1:18" x14ac:dyDescent="0.25">
      <c r="A36" t="s">
        <v>2881</v>
      </c>
      <c r="B36" t="s">
        <v>2881</v>
      </c>
      <c r="C36" t="s">
        <v>2882</v>
      </c>
      <c r="D36" t="s">
        <v>2870</v>
      </c>
      <c r="E36" t="s">
        <v>2872</v>
      </c>
      <c r="F36" t="s">
        <v>35</v>
      </c>
      <c r="G36" t="s">
        <v>2816</v>
      </c>
      <c r="H36" s="8" t="s">
        <v>66</v>
      </c>
      <c r="J36" s="16" t="s">
        <v>3262</v>
      </c>
      <c r="K36" t="s">
        <v>14</v>
      </c>
      <c r="L36" t="s">
        <v>2660</v>
      </c>
      <c r="M36" s="17">
        <v>0</v>
      </c>
      <c r="N36" s="17">
        <v>1000000</v>
      </c>
      <c r="O36" s="17">
        <v>2.3283059999999999E-4</v>
      </c>
      <c r="P36" s="76">
        <v>4294967296</v>
      </c>
      <c r="Q36" s="77">
        <v>0.01</v>
      </c>
      <c r="R36" t="s">
        <v>2661</v>
      </c>
    </row>
    <row r="37" spans="1:18" x14ac:dyDescent="0.25">
      <c r="A37" t="s">
        <v>2899</v>
      </c>
      <c r="B37" t="s">
        <v>2900</v>
      </c>
      <c r="C37" t="s">
        <v>2901</v>
      </c>
      <c r="D37" t="s">
        <v>2801</v>
      </c>
      <c r="E37" t="s">
        <v>2802</v>
      </c>
      <c r="F37" t="s">
        <v>35</v>
      </c>
      <c r="G37" t="s">
        <v>2708</v>
      </c>
      <c r="H37" s="8" t="s">
        <v>113</v>
      </c>
      <c r="J37" s="16" t="s">
        <v>3263</v>
      </c>
      <c r="K37" t="s">
        <v>14</v>
      </c>
      <c r="L37" t="s">
        <v>2660</v>
      </c>
      <c r="M37" s="17">
        <v>0</v>
      </c>
      <c r="N37" s="17">
        <v>1</v>
      </c>
      <c r="O37" s="17">
        <v>2.0000000000000001E-10</v>
      </c>
      <c r="P37" s="76">
        <v>4294967296</v>
      </c>
      <c r="Q37" s="77">
        <v>0.01</v>
      </c>
      <c r="R37" t="s">
        <v>2661</v>
      </c>
    </row>
    <row r="38" spans="1:18" x14ac:dyDescent="0.25">
      <c r="A38" t="s">
        <v>2903</v>
      </c>
      <c r="B38" t="s">
        <v>2904</v>
      </c>
      <c r="C38" t="s">
        <v>2905</v>
      </c>
      <c r="D38" t="s">
        <v>2801</v>
      </c>
      <c r="E38" t="s">
        <v>2802</v>
      </c>
      <c r="F38" t="s">
        <v>35</v>
      </c>
      <c r="G38" t="s">
        <v>2708</v>
      </c>
      <c r="H38" s="8" t="s">
        <v>113</v>
      </c>
      <c r="J38" s="16" t="s">
        <v>3264</v>
      </c>
      <c r="K38" t="s">
        <v>14</v>
      </c>
      <c r="L38" t="s">
        <v>2660</v>
      </c>
      <c r="M38" s="17">
        <v>0</v>
      </c>
      <c r="N38" s="17">
        <v>1</v>
      </c>
      <c r="O38" s="17">
        <v>2.0000000000000001E-10</v>
      </c>
      <c r="P38" s="76">
        <v>4294967296</v>
      </c>
      <c r="Q38" s="77">
        <v>0.01</v>
      </c>
      <c r="R38" t="s">
        <v>2661</v>
      </c>
    </row>
    <row r="39" spans="1:18" x14ac:dyDescent="0.25">
      <c r="A39" t="s">
        <v>2906</v>
      </c>
      <c r="B39" t="s">
        <v>2900</v>
      </c>
      <c r="C39" t="s">
        <v>2901</v>
      </c>
      <c r="D39" t="s">
        <v>2801</v>
      </c>
      <c r="E39" t="s">
        <v>2802</v>
      </c>
      <c r="F39" t="s">
        <v>35</v>
      </c>
      <c r="G39" t="s">
        <v>2907</v>
      </c>
      <c r="H39" s="8" t="s">
        <v>2908</v>
      </c>
      <c r="J39" s="16" t="s">
        <v>3265</v>
      </c>
      <c r="K39" t="s">
        <v>14</v>
      </c>
      <c r="L39" t="s">
        <v>2660</v>
      </c>
      <c r="M39" s="17">
        <v>-100</v>
      </c>
      <c r="N39" s="17">
        <v>5000</v>
      </c>
      <c r="O39" s="17">
        <v>7.7819824199999998E-2</v>
      </c>
      <c r="P39" s="76">
        <v>65536</v>
      </c>
      <c r="Q39" s="77">
        <v>0.01</v>
      </c>
      <c r="R39" t="s">
        <v>2661</v>
      </c>
    </row>
    <row r="40" spans="1:18" x14ac:dyDescent="0.25">
      <c r="A40" t="s">
        <v>2909</v>
      </c>
      <c r="B40" t="s">
        <v>2904</v>
      </c>
      <c r="C40" t="s">
        <v>2905</v>
      </c>
      <c r="D40" t="s">
        <v>2801</v>
      </c>
      <c r="E40" t="s">
        <v>2802</v>
      </c>
      <c r="F40" t="s">
        <v>35</v>
      </c>
      <c r="G40" t="s">
        <v>2907</v>
      </c>
      <c r="H40" s="8" t="s">
        <v>2908</v>
      </c>
      <c r="J40" s="16" t="s">
        <v>3266</v>
      </c>
      <c r="K40" t="s">
        <v>14</v>
      </c>
      <c r="L40" t="s">
        <v>2660</v>
      </c>
      <c r="M40" s="17">
        <v>-100</v>
      </c>
      <c r="N40" s="17">
        <v>5000</v>
      </c>
      <c r="O40" s="17">
        <v>7.7819824199999998E-2</v>
      </c>
      <c r="P40" s="76">
        <v>65536</v>
      </c>
      <c r="Q40" s="77">
        <v>0.01</v>
      </c>
      <c r="R40" t="s">
        <v>2661</v>
      </c>
    </row>
    <row r="41" spans="1:18" x14ac:dyDescent="0.25">
      <c r="A41" t="s">
        <v>2910</v>
      </c>
      <c r="B41" t="s">
        <v>2911</v>
      </c>
      <c r="C41" t="s">
        <v>2912</v>
      </c>
      <c r="D41" t="s">
        <v>2801</v>
      </c>
      <c r="E41" t="s">
        <v>2802</v>
      </c>
      <c r="F41" t="s">
        <v>35</v>
      </c>
      <c r="G41" t="s">
        <v>2796</v>
      </c>
      <c r="H41" s="8" t="s">
        <v>96</v>
      </c>
      <c r="J41" s="16" t="s">
        <v>2913</v>
      </c>
      <c r="K41" t="s">
        <v>14</v>
      </c>
      <c r="L41" t="s">
        <v>2660</v>
      </c>
      <c r="M41" s="17">
        <v>-100</v>
      </c>
      <c r="N41" s="17">
        <v>1000</v>
      </c>
      <c r="O41" s="17">
        <v>1.6784667999999999E-2</v>
      </c>
      <c r="P41" s="76">
        <v>65536</v>
      </c>
      <c r="Q41" s="77">
        <v>0.01</v>
      </c>
      <c r="R41" t="s">
        <v>2661</v>
      </c>
    </row>
    <row r="42" spans="1:18" x14ac:dyDescent="0.25">
      <c r="A42" t="s">
        <v>2914</v>
      </c>
      <c r="B42" t="s">
        <v>2915</v>
      </c>
      <c r="C42" t="s">
        <v>2916</v>
      </c>
      <c r="D42" t="s">
        <v>2801</v>
      </c>
      <c r="E42" t="s">
        <v>2802</v>
      </c>
      <c r="F42" t="s">
        <v>35</v>
      </c>
      <c r="G42" t="s">
        <v>2796</v>
      </c>
      <c r="H42" s="8" t="s">
        <v>96</v>
      </c>
      <c r="J42" s="16" t="s">
        <v>2917</v>
      </c>
      <c r="K42" t="s">
        <v>14</v>
      </c>
      <c r="L42" t="s">
        <v>2660</v>
      </c>
      <c r="M42" s="17">
        <v>-100</v>
      </c>
      <c r="N42" s="17">
        <v>1000</v>
      </c>
      <c r="O42" s="17">
        <v>1.6784667999999999E-2</v>
      </c>
      <c r="P42" s="76">
        <v>65536</v>
      </c>
      <c r="Q42" s="77">
        <v>0.01</v>
      </c>
      <c r="R42" t="s">
        <v>2661</v>
      </c>
    </row>
    <row r="43" spans="1:18" x14ac:dyDescent="0.25">
      <c r="A43" t="s">
        <v>2918</v>
      </c>
      <c r="B43" t="s">
        <v>2919</v>
      </c>
      <c r="C43" t="s">
        <v>2920</v>
      </c>
      <c r="D43" t="s">
        <v>2801</v>
      </c>
      <c r="E43" t="s">
        <v>2802</v>
      </c>
      <c r="F43" t="s">
        <v>35</v>
      </c>
      <c r="G43" t="s">
        <v>2796</v>
      </c>
      <c r="H43" s="8" t="s">
        <v>96</v>
      </c>
      <c r="J43" s="16" t="s">
        <v>2921</v>
      </c>
      <c r="K43" t="s">
        <v>14</v>
      </c>
      <c r="L43" t="s">
        <v>2660</v>
      </c>
      <c r="M43" s="17">
        <v>-100</v>
      </c>
      <c r="N43" s="17">
        <v>1000</v>
      </c>
      <c r="O43" s="17">
        <v>1.6784667999999999E-2</v>
      </c>
      <c r="P43" s="76">
        <v>65536</v>
      </c>
      <c r="Q43" s="77">
        <v>0.01</v>
      </c>
      <c r="R43" t="s">
        <v>2661</v>
      </c>
    </row>
    <row r="44" spans="1:18" x14ac:dyDescent="0.25">
      <c r="A44" t="s">
        <v>2922</v>
      </c>
      <c r="B44" t="s">
        <v>2923</v>
      </c>
      <c r="C44" t="s">
        <v>2924</v>
      </c>
      <c r="D44" t="s">
        <v>2801</v>
      </c>
      <c r="E44" t="s">
        <v>2802</v>
      </c>
      <c r="F44" t="s">
        <v>35</v>
      </c>
      <c r="G44" t="s">
        <v>2763</v>
      </c>
      <c r="H44" s="8" t="s">
        <v>1679</v>
      </c>
      <c r="J44" s="16" t="s">
        <v>3267</v>
      </c>
      <c r="K44" t="s">
        <v>14</v>
      </c>
      <c r="L44" t="s">
        <v>2660</v>
      </c>
      <c r="M44" s="17">
        <v>0</v>
      </c>
      <c r="N44" s="17">
        <v>500000</v>
      </c>
      <c r="O44" s="17">
        <v>1.164153E-4</v>
      </c>
      <c r="P44" s="76">
        <v>4294967296</v>
      </c>
      <c r="Q44" s="77">
        <v>0.01</v>
      </c>
      <c r="R44" t="s">
        <v>2661</v>
      </c>
    </row>
    <row r="45" spans="1:18" x14ac:dyDescent="0.25">
      <c r="A45" t="s">
        <v>2925</v>
      </c>
      <c r="B45" t="s">
        <v>2926</v>
      </c>
      <c r="C45" t="s">
        <v>2927</v>
      </c>
      <c r="D45" t="s">
        <v>2801</v>
      </c>
      <c r="E45" t="s">
        <v>2802</v>
      </c>
      <c r="F45" t="s">
        <v>35</v>
      </c>
      <c r="G45" t="s">
        <v>2796</v>
      </c>
      <c r="H45" s="8" t="s">
        <v>96</v>
      </c>
      <c r="J45" s="16" t="s">
        <v>2928</v>
      </c>
      <c r="K45" t="s">
        <v>14</v>
      </c>
      <c r="L45" t="s">
        <v>2660</v>
      </c>
      <c r="M45" s="17">
        <v>-100</v>
      </c>
      <c r="N45" s="17">
        <v>1000</v>
      </c>
      <c r="O45" s="17">
        <v>1.6784667999999999E-2</v>
      </c>
      <c r="P45" s="76">
        <v>65536</v>
      </c>
      <c r="Q45" s="77">
        <v>0.01</v>
      </c>
      <c r="R45" t="s">
        <v>2661</v>
      </c>
    </row>
    <row r="46" spans="1:18" x14ac:dyDescent="0.25">
      <c r="A46" t="s">
        <v>2950</v>
      </c>
      <c r="B46" t="s">
        <v>2475</v>
      </c>
      <c r="C46" t="s">
        <v>2476</v>
      </c>
      <c r="D46" t="s">
        <v>2703</v>
      </c>
      <c r="E46" t="s">
        <v>2704</v>
      </c>
      <c r="F46" t="s">
        <v>35</v>
      </c>
      <c r="G46" t="s">
        <v>2708</v>
      </c>
      <c r="H46" s="8" t="s">
        <v>113</v>
      </c>
      <c r="J46" s="16" t="s">
        <v>2951</v>
      </c>
      <c r="K46" t="s">
        <v>14</v>
      </c>
      <c r="L46" t="s">
        <v>2660</v>
      </c>
      <c r="M46" s="17">
        <v>0</v>
      </c>
      <c r="N46" s="17">
        <v>100</v>
      </c>
      <c r="O46" s="17">
        <v>2.33E-8</v>
      </c>
      <c r="P46" s="76">
        <v>4294967296</v>
      </c>
      <c r="Q46" s="77">
        <v>0.01</v>
      </c>
      <c r="R46" t="s">
        <v>2661</v>
      </c>
    </row>
    <row r="47" spans="1:18" x14ac:dyDescent="0.25">
      <c r="A47" t="s">
        <v>3009</v>
      </c>
      <c r="B47" t="s">
        <v>2953</v>
      </c>
      <c r="C47" t="s">
        <v>2954</v>
      </c>
      <c r="D47" t="s">
        <v>2703</v>
      </c>
      <c r="E47" t="s">
        <v>2704</v>
      </c>
      <c r="F47" t="s">
        <v>35</v>
      </c>
      <c r="G47" t="s">
        <v>2705</v>
      </c>
      <c r="H47" s="8" t="s">
        <v>113</v>
      </c>
      <c r="J47" s="16" t="s">
        <v>2955</v>
      </c>
      <c r="K47" t="s">
        <v>14</v>
      </c>
      <c r="L47" t="s">
        <v>2660</v>
      </c>
      <c r="M47" s="17">
        <v>-100</v>
      </c>
      <c r="N47" s="17">
        <v>100</v>
      </c>
      <c r="O47" s="17">
        <v>4.66E-8</v>
      </c>
      <c r="P47" s="76">
        <v>4294967296</v>
      </c>
      <c r="Q47" s="77">
        <v>0.01</v>
      </c>
      <c r="R47" t="s">
        <v>2661</v>
      </c>
    </row>
    <row r="48" spans="1:18" x14ac:dyDescent="0.25">
      <c r="A48" t="s">
        <v>3010</v>
      </c>
      <c r="B48" t="s">
        <v>2956</v>
      </c>
      <c r="C48" t="s">
        <v>2957</v>
      </c>
      <c r="D48" t="s">
        <v>2703</v>
      </c>
      <c r="E48" t="s">
        <v>2704</v>
      </c>
      <c r="F48" t="s">
        <v>35</v>
      </c>
      <c r="G48" t="s">
        <v>2705</v>
      </c>
      <c r="H48" s="8" t="s">
        <v>113</v>
      </c>
      <c r="J48" s="16" t="s">
        <v>2958</v>
      </c>
      <c r="K48" t="s">
        <v>14</v>
      </c>
      <c r="L48" t="s">
        <v>2660</v>
      </c>
      <c r="M48" s="17">
        <v>0</v>
      </c>
      <c r="N48" s="17">
        <v>100</v>
      </c>
      <c r="O48" s="17">
        <v>2.33E-8</v>
      </c>
      <c r="P48" s="76">
        <v>4294967296</v>
      </c>
      <c r="Q48" s="77">
        <v>0.01</v>
      </c>
      <c r="R48" t="s">
        <v>2661</v>
      </c>
    </row>
    <row r="49" spans="1:18" x14ac:dyDescent="0.25">
      <c r="A49" t="s">
        <v>3011</v>
      </c>
      <c r="B49" t="s">
        <v>1070</v>
      </c>
      <c r="C49" t="s">
        <v>1070</v>
      </c>
      <c r="D49" t="s">
        <v>2703</v>
      </c>
      <c r="E49" t="s">
        <v>2704</v>
      </c>
      <c r="F49" t="s">
        <v>35</v>
      </c>
      <c r="G49" t="s">
        <v>2705</v>
      </c>
      <c r="H49" s="8" t="s">
        <v>113</v>
      </c>
      <c r="J49" s="16" t="s">
        <v>2959</v>
      </c>
      <c r="K49" t="s">
        <v>14</v>
      </c>
      <c r="L49" t="s">
        <v>2660</v>
      </c>
      <c r="M49" s="17">
        <v>0</v>
      </c>
      <c r="N49" s="17">
        <v>100</v>
      </c>
      <c r="O49" s="17">
        <v>2.33E-8</v>
      </c>
      <c r="P49" s="76">
        <v>4294967296</v>
      </c>
      <c r="Q49" s="77">
        <v>0.01</v>
      </c>
      <c r="R49" t="s">
        <v>2661</v>
      </c>
    </row>
    <row r="50" spans="1:18" x14ac:dyDescent="0.25">
      <c r="A50" t="s">
        <v>3012</v>
      </c>
      <c r="B50" t="s">
        <v>2960</v>
      </c>
      <c r="C50" t="s">
        <v>2961</v>
      </c>
      <c r="D50" t="s">
        <v>2703</v>
      </c>
      <c r="E50" t="s">
        <v>2704</v>
      </c>
      <c r="F50" t="s">
        <v>35</v>
      </c>
      <c r="G50" t="s">
        <v>2707</v>
      </c>
      <c r="H50" s="8" t="s">
        <v>79</v>
      </c>
      <c r="J50" s="16" t="s">
        <v>3268</v>
      </c>
      <c r="K50" t="s">
        <v>14</v>
      </c>
      <c r="L50" t="s">
        <v>2660</v>
      </c>
      <c r="M50" s="17">
        <v>0</v>
      </c>
      <c r="N50" s="17">
        <v>150</v>
      </c>
      <c r="O50" s="17">
        <v>3.4900000000000001E-8</v>
      </c>
      <c r="P50" s="76">
        <v>4294967296</v>
      </c>
      <c r="Q50" s="77">
        <v>0.01</v>
      </c>
      <c r="R50" t="s">
        <v>2661</v>
      </c>
    </row>
    <row r="51" spans="1:18" x14ac:dyDescent="0.25">
      <c r="A51" t="s">
        <v>3013</v>
      </c>
      <c r="B51" t="s">
        <v>2962</v>
      </c>
      <c r="C51" t="s">
        <v>2963</v>
      </c>
      <c r="D51" t="s">
        <v>2703</v>
      </c>
      <c r="E51" t="s">
        <v>2704</v>
      </c>
      <c r="F51" t="s">
        <v>35</v>
      </c>
      <c r="G51" t="s">
        <v>2709</v>
      </c>
      <c r="H51" s="8" t="s">
        <v>71</v>
      </c>
      <c r="J51" s="16" t="s">
        <v>3269</v>
      </c>
      <c r="K51" t="s">
        <v>14</v>
      </c>
      <c r="L51" t="s">
        <v>2660</v>
      </c>
      <c r="M51" s="17">
        <v>0</v>
      </c>
      <c r="N51" s="17">
        <v>10000</v>
      </c>
      <c r="O51" s="17">
        <v>2.3282999999999998E-6</v>
      </c>
      <c r="P51" s="76">
        <v>4294967296</v>
      </c>
      <c r="Q51" s="77">
        <v>0.01</v>
      </c>
      <c r="R51" t="s">
        <v>2661</v>
      </c>
    </row>
    <row r="52" spans="1:18" x14ac:dyDescent="0.25">
      <c r="A52" t="s">
        <v>3014</v>
      </c>
      <c r="B52" t="s">
        <v>2964</v>
      </c>
      <c r="C52" t="s">
        <v>2965</v>
      </c>
      <c r="D52" t="s">
        <v>2703</v>
      </c>
      <c r="E52" t="s">
        <v>2704</v>
      </c>
      <c r="F52" t="s">
        <v>35</v>
      </c>
      <c r="G52" t="s">
        <v>2705</v>
      </c>
      <c r="H52" s="8" t="s">
        <v>113</v>
      </c>
      <c r="J52" s="16" t="s">
        <v>3270</v>
      </c>
      <c r="K52" t="s">
        <v>14</v>
      </c>
      <c r="L52" t="s">
        <v>2660</v>
      </c>
      <c r="M52" s="17">
        <v>0</v>
      </c>
      <c r="N52" s="17">
        <v>100</v>
      </c>
      <c r="O52" s="17">
        <v>2.33E-8</v>
      </c>
      <c r="P52" s="76">
        <v>4294967296</v>
      </c>
      <c r="Q52" s="77">
        <v>0.01</v>
      </c>
      <c r="R52" t="s">
        <v>2661</v>
      </c>
    </row>
    <row r="53" spans="1:18" x14ac:dyDescent="0.25">
      <c r="A53" t="s">
        <v>3015</v>
      </c>
      <c r="B53" t="s">
        <v>2966</v>
      </c>
      <c r="C53" t="s">
        <v>2967</v>
      </c>
      <c r="D53" t="s">
        <v>2703</v>
      </c>
      <c r="E53" t="s">
        <v>2704</v>
      </c>
      <c r="F53" t="s">
        <v>35</v>
      </c>
      <c r="G53" t="s">
        <v>2707</v>
      </c>
      <c r="H53" s="8" t="s">
        <v>79</v>
      </c>
      <c r="J53" s="16" t="s">
        <v>2968</v>
      </c>
      <c r="K53" t="s">
        <v>14</v>
      </c>
      <c r="L53" t="s">
        <v>2660</v>
      </c>
      <c r="M53" s="17">
        <v>0</v>
      </c>
      <c r="N53" s="17">
        <v>150</v>
      </c>
      <c r="O53" s="17">
        <v>3.4900000000000001E-8</v>
      </c>
      <c r="P53" s="76">
        <v>4294967296</v>
      </c>
      <c r="Q53" s="77">
        <v>0.01</v>
      </c>
      <c r="R53" t="s">
        <v>2661</v>
      </c>
    </row>
    <row r="54" spans="1:18" x14ac:dyDescent="0.25">
      <c r="A54" t="s">
        <v>3016</v>
      </c>
      <c r="B54" t="s">
        <v>2969</v>
      </c>
      <c r="C54" t="s">
        <v>2970</v>
      </c>
      <c r="D54" t="s">
        <v>2703</v>
      </c>
      <c r="E54" t="s">
        <v>2704</v>
      </c>
      <c r="F54" t="s">
        <v>35</v>
      </c>
      <c r="G54" t="s">
        <v>2708</v>
      </c>
      <c r="H54" s="8" t="s">
        <v>113</v>
      </c>
      <c r="J54" s="16" t="s">
        <v>2971</v>
      </c>
      <c r="K54" t="s">
        <v>14</v>
      </c>
      <c r="L54" t="s">
        <v>2660</v>
      </c>
      <c r="M54" s="17">
        <v>0</v>
      </c>
      <c r="N54" s="17">
        <v>100</v>
      </c>
      <c r="O54" s="17">
        <v>2.33E-8</v>
      </c>
      <c r="P54" s="76">
        <v>4294967296</v>
      </c>
      <c r="Q54" s="77">
        <v>0.01</v>
      </c>
      <c r="R54" t="s">
        <v>2661</v>
      </c>
    </row>
    <row r="55" spans="1:18" x14ac:dyDescent="0.25">
      <c r="A55" t="s">
        <v>3017</v>
      </c>
      <c r="B55" t="s">
        <v>500</v>
      </c>
      <c r="C55" t="s">
        <v>501</v>
      </c>
      <c r="D55" t="s">
        <v>2703</v>
      </c>
      <c r="E55" t="s">
        <v>2704</v>
      </c>
      <c r="F55" t="s">
        <v>35</v>
      </c>
      <c r="G55" t="s">
        <v>2708</v>
      </c>
      <c r="H55" s="8" t="s">
        <v>113</v>
      </c>
      <c r="J55" s="16" t="s">
        <v>2710</v>
      </c>
      <c r="K55" t="s">
        <v>14</v>
      </c>
      <c r="L55" t="s">
        <v>2660</v>
      </c>
      <c r="M55" s="17">
        <v>0</v>
      </c>
      <c r="N55" s="17">
        <v>100</v>
      </c>
      <c r="O55" s="17">
        <v>2.33E-8</v>
      </c>
      <c r="P55" s="76">
        <v>4294967296</v>
      </c>
      <c r="Q55" s="77">
        <v>0.01</v>
      </c>
      <c r="R55" t="s">
        <v>2661</v>
      </c>
    </row>
    <row r="56" spans="1:18" x14ac:dyDescent="0.25">
      <c r="A56" t="s">
        <v>3018</v>
      </c>
      <c r="B56" t="s">
        <v>2972</v>
      </c>
      <c r="C56" t="s">
        <v>2973</v>
      </c>
      <c r="D56" t="s">
        <v>2703</v>
      </c>
      <c r="E56" t="s">
        <v>2704</v>
      </c>
      <c r="F56" t="s">
        <v>35</v>
      </c>
      <c r="G56" t="s">
        <v>2708</v>
      </c>
      <c r="H56" s="8" t="s">
        <v>113</v>
      </c>
      <c r="J56" s="16" t="s">
        <v>2974</v>
      </c>
      <c r="K56" t="s">
        <v>14</v>
      </c>
      <c r="L56" t="s">
        <v>2660</v>
      </c>
      <c r="M56" s="17">
        <v>0</v>
      </c>
      <c r="N56" s="17">
        <v>100</v>
      </c>
      <c r="O56" s="17">
        <v>2.33E-8</v>
      </c>
      <c r="P56" s="76">
        <v>4294967296</v>
      </c>
      <c r="Q56" s="77">
        <v>0.01</v>
      </c>
      <c r="R56" t="s">
        <v>2661</v>
      </c>
    </row>
    <row r="57" spans="1:18" x14ac:dyDescent="0.25">
      <c r="A57" t="s">
        <v>3019</v>
      </c>
      <c r="B57" t="s">
        <v>2975</v>
      </c>
      <c r="C57" t="s">
        <v>2976</v>
      </c>
      <c r="D57" t="s">
        <v>2703</v>
      </c>
      <c r="E57" t="s">
        <v>2704</v>
      </c>
      <c r="F57" t="s">
        <v>35</v>
      </c>
      <c r="G57" t="s">
        <v>2692</v>
      </c>
      <c r="H57" s="8" t="s">
        <v>100</v>
      </c>
      <c r="J57" s="16" t="s">
        <v>2977</v>
      </c>
      <c r="K57" t="s">
        <v>14</v>
      </c>
      <c r="L57" t="s">
        <v>2660</v>
      </c>
      <c r="M57" s="17">
        <v>-10000</v>
      </c>
      <c r="N57" s="17">
        <v>10000</v>
      </c>
      <c r="O57" s="17">
        <v>4.6565999999999996E-6</v>
      </c>
      <c r="P57" s="76">
        <v>4294967296</v>
      </c>
      <c r="Q57" s="77">
        <v>0.01</v>
      </c>
      <c r="R57" t="s">
        <v>2661</v>
      </c>
    </row>
    <row r="58" spans="1:18" x14ac:dyDescent="0.25">
      <c r="A58" t="s">
        <v>3020</v>
      </c>
      <c r="B58" t="s">
        <v>500</v>
      </c>
      <c r="C58" t="s">
        <v>501</v>
      </c>
      <c r="D58" t="s">
        <v>2713</v>
      </c>
      <c r="E58" t="s">
        <v>2713</v>
      </c>
      <c r="F58" t="s">
        <v>35</v>
      </c>
      <c r="G58" t="s">
        <v>2692</v>
      </c>
      <c r="H58" s="8" t="s">
        <v>100</v>
      </c>
      <c r="J58" s="16" t="s">
        <v>2978</v>
      </c>
      <c r="K58" t="s">
        <v>14</v>
      </c>
      <c r="L58" t="s">
        <v>2660</v>
      </c>
      <c r="M58" s="17">
        <v>-1000000</v>
      </c>
      <c r="N58" s="17">
        <v>1000000</v>
      </c>
      <c r="O58" s="17">
        <v>4.6566130000000002E-4</v>
      </c>
      <c r="P58" s="76">
        <v>4294967296</v>
      </c>
      <c r="Q58" s="77">
        <v>0.01</v>
      </c>
      <c r="R58" t="s">
        <v>2661</v>
      </c>
    </row>
    <row r="59" spans="1:18" x14ac:dyDescent="0.25">
      <c r="A59" t="s">
        <v>3021</v>
      </c>
      <c r="B59" t="s">
        <v>640</v>
      </c>
      <c r="C59" t="s">
        <v>641</v>
      </c>
      <c r="D59" t="s">
        <v>2713</v>
      </c>
      <c r="E59" t="s">
        <v>2713</v>
      </c>
      <c r="F59" t="s">
        <v>35</v>
      </c>
      <c r="G59" t="s">
        <v>2709</v>
      </c>
      <c r="H59" s="8" t="s">
        <v>71</v>
      </c>
      <c r="J59" s="16" t="s">
        <v>2717</v>
      </c>
      <c r="K59" t="s">
        <v>14</v>
      </c>
      <c r="L59" t="s">
        <v>2660</v>
      </c>
      <c r="M59" s="17">
        <v>-1000000</v>
      </c>
      <c r="N59" s="17">
        <v>1000000</v>
      </c>
      <c r="O59" s="17">
        <v>4.6566130000000002E-4</v>
      </c>
      <c r="P59" s="76">
        <v>4294967296</v>
      </c>
      <c r="Q59" s="77">
        <v>0.01</v>
      </c>
      <c r="R59" t="s">
        <v>2661</v>
      </c>
    </row>
    <row r="60" spans="1:18" x14ac:dyDescent="0.25">
      <c r="A60" t="s">
        <v>3022</v>
      </c>
      <c r="B60" t="s">
        <v>2714</v>
      </c>
      <c r="C60" t="s">
        <v>2715</v>
      </c>
      <c r="D60" t="s">
        <v>2713</v>
      </c>
      <c r="E60" t="s">
        <v>2713</v>
      </c>
      <c r="F60" t="s">
        <v>35</v>
      </c>
      <c r="G60" t="s">
        <v>2692</v>
      </c>
      <c r="H60" s="8" t="s">
        <v>100</v>
      </c>
      <c r="J60" s="16" t="s">
        <v>2716</v>
      </c>
      <c r="K60" t="s">
        <v>14</v>
      </c>
      <c r="L60" t="s">
        <v>2660</v>
      </c>
      <c r="M60" s="17">
        <v>-1000000</v>
      </c>
      <c r="N60" s="17">
        <v>1000000</v>
      </c>
      <c r="O60" s="17">
        <v>4.6566130000000002E-4</v>
      </c>
      <c r="P60" s="76">
        <v>4294967296</v>
      </c>
      <c r="Q60" s="77">
        <v>0.01</v>
      </c>
      <c r="R60" t="s">
        <v>2661</v>
      </c>
    </row>
    <row r="61" spans="1:18" x14ac:dyDescent="0.25">
      <c r="A61" t="s">
        <v>3023</v>
      </c>
      <c r="B61" t="s">
        <v>2719</v>
      </c>
      <c r="C61" t="s">
        <v>2720</v>
      </c>
      <c r="D61" t="s">
        <v>2713</v>
      </c>
      <c r="E61" t="s">
        <v>2713</v>
      </c>
      <c r="F61" t="s">
        <v>35</v>
      </c>
      <c r="G61" t="s">
        <v>2692</v>
      </c>
      <c r="H61" s="8" t="s">
        <v>100</v>
      </c>
      <c r="J61" s="16" t="s">
        <v>2979</v>
      </c>
      <c r="K61" t="s">
        <v>14</v>
      </c>
      <c r="L61" t="s">
        <v>2660</v>
      </c>
      <c r="M61" s="17">
        <v>-1000000</v>
      </c>
      <c r="N61" s="17">
        <v>1000000</v>
      </c>
      <c r="O61" s="17">
        <v>4.6566130000000002E-4</v>
      </c>
      <c r="P61" s="76">
        <v>4294967296</v>
      </c>
      <c r="Q61" s="77">
        <v>0.01</v>
      </c>
      <c r="R61" t="s">
        <v>2661</v>
      </c>
    </row>
    <row r="62" spans="1:18" x14ac:dyDescent="0.25">
      <c r="A62" t="s">
        <v>3024</v>
      </c>
      <c r="B62" t="s">
        <v>2980</v>
      </c>
      <c r="C62" t="s">
        <v>2981</v>
      </c>
      <c r="D62" t="s">
        <v>2713</v>
      </c>
      <c r="E62" t="s">
        <v>2713</v>
      </c>
      <c r="F62" t="s">
        <v>35</v>
      </c>
      <c r="G62" t="s">
        <v>2692</v>
      </c>
      <c r="H62" s="8" t="s">
        <v>100</v>
      </c>
      <c r="J62" s="16" t="s">
        <v>2982</v>
      </c>
      <c r="K62" t="s">
        <v>14</v>
      </c>
      <c r="L62" t="s">
        <v>2660</v>
      </c>
      <c r="M62" s="17">
        <v>-1000000</v>
      </c>
      <c r="N62" s="17">
        <v>1000000</v>
      </c>
      <c r="O62" s="17">
        <v>4.6566130000000002E-4</v>
      </c>
      <c r="P62" s="76">
        <v>4294967296</v>
      </c>
      <c r="Q62" s="77">
        <v>0.01</v>
      </c>
      <c r="R62" t="s">
        <v>2661</v>
      </c>
    </row>
    <row r="63" spans="1:18" x14ac:dyDescent="0.25">
      <c r="A63" t="s">
        <v>3025</v>
      </c>
      <c r="B63" t="s">
        <v>2711</v>
      </c>
      <c r="C63" t="s">
        <v>2712</v>
      </c>
      <c r="D63" t="s">
        <v>2713</v>
      </c>
      <c r="E63" t="s">
        <v>2713</v>
      </c>
      <c r="F63" t="s">
        <v>35</v>
      </c>
      <c r="G63" t="s">
        <v>2708</v>
      </c>
      <c r="H63" s="8" t="s">
        <v>113</v>
      </c>
      <c r="J63" s="16" t="s">
        <v>2983</v>
      </c>
      <c r="K63" t="s">
        <v>14</v>
      </c>
      <c r="L63" t="s">
        <v>2660</v>
      </c>
      <c r="M63" s="17">
        <v>-1000000</v>
      </c>
      <c r="N63" s="17">
        <v>1000000</v>
      </c>
      <c r="O63" s="17">
        <v>4.6566130000000002E-4</v>
      </c>
      <c r="P63" s="76">
        <v>4294967296</v>
      </c>
      <c r="Q63" s="77">
        <v>0.01</v>
      </c>
      <c r="R63" t="s">
        <v>2661</v>
      </c>
    </row>
    <row r="64" spans="1:18" x14ac:dyDescent="0.25">
      <c r="A64" t="s">
        <v>3026</v>
      </c>
      <c r="B64" t="s">
        <v>2984</v>
      </c>
      <c r="C64" t="s">
        <v>2985</v>
      </c>
      <c r="D64" t="s">
        <v>2713</v>
      </c>
      <c r="E64" t="s">
        <v>2713</v>
      </c>
      <c r="F64" t="s">
        <v>35</v>
      </c>
      <c r="G64" t="s">
        <v>2709</v>
      </c>
      <c r="H64" s="8" t="s">
        <v>71</v>
      </c>
      <c r="J64" s="16" t="s">
        <v>2986</v>
      </c>
      <c r="K64" t="s">
        <v>14</v>
      </c>
      <c r="L64" t="s">
        <v>2660</v>
      </c>
      <c r="M64" s="17">
        <v>-1000000</v>
      </c>
      <c r="N64" s="17">
        <v>1000000</v>
      </c>
      <c r="O64" s="17">
        <v>4.6566130000000002E-4</v>
      </c>
      <c r="P64" s="76">
        <v>4294967296</v>
      </c>
      <c r="Q64" s="77">
        <v>0.01</v>
      </c>
      <c r="R64" t="s">
        <v>2661</v>
      </c>
    </row>
    <row r="65" spans="1:18" x14ac:dyDescent="0.25">
      <c r="A65" t="s">
        <v>3027</v>
      </c>
      <c r="B65" t="s">
        <v>2984</v>
      </c>
      <c r="C65" t="s">
        <v>2985</v>
      </c>
      <c r="D65" t="s">
        <v>2713</v>
      </c>
      <c r="E65" t="s">
        <v>2713</v>
      </c>
      <c r="F65" t="s">
        <v>35</v>
      </c>
      <c r="G65" t="s">
        <v>2692</v>
      </c>
      <c r="H65" s="8" t="s">
        <v>100</v>
      </c>
      <c r="J65" s="16" t="s">
        <v>2987</v>
      </c>
      <c r="K65" t="s">
        <v>14</v>
      </c>
      <c r="L65" t="s">
        <v>2660</v>
      </c>
      <c r="M65" s="17">
        <v>-1000000</v>
      </c>
      <c r="N65" s="17">
        <v>1000000</v>
      </c>
      <c r="O65" s="17">
        <v>4.6566130000000002E-4</v>
      </c>
      <c r="P65" s="76">
        <v>4294967296</v>
      </c>
      <c r="Q65" s="77">
        <v>0.01</v>
      </c>
      <c r="R65" t="s">
        <v>2661</v>
      </c>
    </row>
    <row r="66" spans="1:18" x14ac:dyDescent="0.25">
      <c r="A66" t="s">
        <v>3028</v>
      </c>
      <c r="B66" t="s">
        <v>2989</v>
      </c>
      <c r="C66" t="s">
        <v>2990</v>
      </c>
      <c r="D66" t="s">
        <v>2713</v>
      </c>
      <c r="E66" t="s">
        <v>2713</v>
      </c>
      <c r="F66" t="s">
        <v>35</v>
      </c>
      <c r="G66" t="s">
        <v>2907</v>
      </c>
      <c r="H66" s="8" t="s">
        <v>2908</v>
      </c>
      <c r="J66" s="16" t="s">
        <v>2991</v>
      </c>
      <c r="K66" t="s">
        <v>14</v>
      </c>
      <c r="L66" t="s">
        <v>2660</v>
      </c>
      <c r="M66" s="17">
        <v>-1000000</v>
      </c>
      <c r="N66" s="17">
        <v>1000000</v>
      </c>
      <c r="O66" s="17">
        <v>4.6566130000000002E-4</v>
      </c>
      <c r="P66" s="76">
        <v>4294967296</v>
      </c>
      <c r="Q66" s="77">
        <v>0.01</v>
      </c>
      <c r="R66" t="s">
        <v>2661</v>
      </c>
    </row>
    <row r="67" spans="1:18" x14ac:dyDescent="0.25">
      <c r="A67" t="s">
        <v>3029</v>
      </c>
      <c r="B67" t="s">
        <v>2989</v>
      </c>
      <c r="C67" t="s">
        <v>2990</v>
      </c>
      <c r="D67" t="s">
        <v>2713</v>
      </c>
      <c r="E67" t="s">
        <v>2713</v>
      </c>
      <c r="F67" t="s">
        <v>35</v>
      </c>
      <c r="G67" t="s">
        <v>2718</v>
      </c>
      <c r="H67" s="8" t="s">
        <v>2606</v>
      </c>
      <c r="J67" s="16" t="s">
        <v>2992</v>
      </c>
      <c r="K67" t="s">
        <v>14</v>
      </c>
      <c r="L67" t="s">
        <v>2660</v>
      </c>
      <c r="M67" s="17">
        <v>-1000000</v>
      </c>
      <c r="N67" s="17">
        <v>1000000</v>
      </c>
      <c r="O67" s="17">
        <v>4.6566130000000002E-4</v>
      </c>
      <c r="P67" s="76">
        <v>4294967296</v>
      </c>
      <c r="Q67" s="77">
        <v>0.01</v>
      </c>
      <c r="R67" t="s">
        <v>2661</v>
      </c>
    </row>
    <row r="68" spans="1:18" x14ac:dyDescent="0.25">
      <c r="A68" t="s">
        <v>3030</v>
      </c>
      <c r="B68" t="s">
        <v>2993</v>
      </c>
      <c r="C68" t="s">
        <v>2994</v>
      </c>
      <c r="D68" t="s">
        <v>2713</v>
      </c>
      <c r="E68" t="s">
        <v>2713</v>
      </c>
      <c r="F68" t="s">
        <v>35</v>
      </c>
      <c r="G68" t="s">
        <v>2692</v>
      </c>
      <c r="H68" s="8" t="s">
        <v>100</v>
      </c>
      <c r="J68" s="16" t="s">
        <v>2995</v>
      </c>
      <c r="K68" t="s">
        <v>14</v>
      </c>
      <c r="L68" t="s">
        <v>2660</v>
      </c>
      <c r="M68" s="17">
        <v>-1000000</v>
      </c>
      <c r="N68" s="17">
        <v>1000000</v>
      </c>
      <c r="O68" s="17">
        <v>4.6566130000000002E-4</v>
      </c>
      <c r="P68" s="76">
        <v>4294967296</v>
      </c>
      <c r="Q68" s="77">
        <v>0.01</v>
      </c>
      <c r="R68" t="s">
        <v>2661</v>
      </c>
    </row>
    <row r="69" spans="1:18" x14ac:dyDescent="0.25">
      <c r="A69" t="s">
        <v>3031</v>
      </c>
      <c r="B69" t="s">
        <v>2996</v>
      </c>
      <c r="C69" t="s">
        <v>2997</v>
      </c>
      <c r="D69" t="s">
        <v>2713</v>
      </c>
      <c r="E69" t="s">
        <v>2713</v>
      </c>
      <c r="F69" t="s">
        <v>35</v>
      </c>
      <c r="G69" t="s">
        <v>2692</v>
      </c>
      <c r="H69" s="8" t="s">
        <v>100</v>
      </c>
      <c r="J69" s="16" t="s">
        <v>2998</v>
      </c>
      <c r="K69" t="s">
        <v>14</v>
      </c>
      <c r="L69" t="s">
        <v>2660</v>
      </c>
      <c r="M69" s="17">
        <v>-1000000</v>
      </c>
      <c r="N69" s="17">
        <v>1000000</v>
      </c>
      <c r="O69" s="17">
        <v>4.6566130000000002E-4</v>
      </c>
      <c r="P69" s="76">
        <v>4294967296</v>
      </c>
      <c r="Q69" s="77">
        <v>0.01</v>
      </c>
      <c r="R69" t="s">
        <v>2661</v>
      </c>
    </row>
    <row r="70" spans="1:18" x14ac:dyDescent="0.25">
      <c r="A70" t="s">
        <v>3032</v>
      </c>
      <c r="B70" t="s">
        <v>763</v>
      </c>
      <c r="C70" t="s">
        <v>764</v>
      </c>
      <c r="D70" t="s">
        <v>2713</v>
      </c>
      <c r="E70" t="s">
        <v>2713</v>
      </c>
      <c r="F70" t="s">
        <v>35</v>
      </c>
      <c r="G70" t="s">
        <v>2907</v>
      </c>
      <c r="H70" s="8" t="s">
        <v>2908</v>
      </c>
      <c r="J70" s="16" t="s">
        <v>2999</v>
      </c>
      <c r="K70" t="s">
        <v>14</v>
      </c>
      <c r="L70" t="s">
        <v>2660</v>
      </c>
      <c r="M70" s="17">
        <v>-1000000</v>
      </c>
      <c r="N70" s="17">
        <v>1000000</v>
      </c>
      <c r="O70" s="17">
        <v>4.6566130000000002E-4</v>
      </c>
      <c r="P70" s="76">
        <v>4294967296</v>
      </c>
      <c r="Q70" s="77">
        <v>0.01</v>
      </c>
      <c r="R70" t="s">
        <v>2661</v>
      </c>
    </row>
    <row r="71" spans="1:18" x14ac:dyDescent="0.25">
      <c r="A71" t="s">
        <v>3033</v>
      </c>
      <c r="B71" t="s">
        <v>763</v>
      </c>
      <c r="C71" t="s">
        <v>764</v>
      </c>
      <c r="D71" t="s">
        <v>2713</v>
      </c>
      <c r="E71" t="s">
        <v>2713</v>
      </c>
      <c r="F71" t="s">
        <v>35</v>
      </c>
      <c r="G71" t="s">
        <v>2718</v>
      </c>
      <c r="H71" s="8" t="s">
        <v>2606</v>
      </c>
      <c r="J71" s="16" t="s">
        <v>3000</v>
      </c>
      <c r="K71" t="s">
        <v>14</v>
      </c>
      <c r="L71" t="s">
        <v>2660</v>
      </c>
      <c r="M71" s="17">
        <v>-1000000</v>
      </c>
      <c r="N71" s="17">
        <v>1000000</v>
      </c>
      <c r="O71" s="17">
        <v>4.6566130000000002E-4</v>
      </c>
      <c r="P71" s="76">
        <v>4294967296</v>
      </c>
      <c r="Q71" s="77">
        <v>0.01</v>
      </c>
      <c r="R71" t="s">
        <v>2661</v>
      </c>
    </row>
    <row r="72" spans="1:18" x14ac:dyDescent="0.25">
      <c r="A72" t="s">
        <v>3034</v>
      </c>
      <c r="B72" t="s">
        <v>3003</v>
      </c>
      <c r="C72" t="s">
        <v>3004</v>
      </c>
      <c r="D72" t="s">
        <v>2713</v>
      </c>
      <c r="E72" t="s">
        <v>2713</v>
      </c>
      <c r="F72" t="s">
        <v>35</v>
      </c>
      <c r="G72" t="s">
        <v>2692</v>
      </c>
      <c r="H72" s="8" t="s">
        <v>100</v>
      </c>
      <c r="J72" s="16" t="s">
        <v>3005</v>
      </c>
      <c r="K72" t="s">
        <v>14</v>
      </c>
      <c r="L72" t="s">
        <v>2660</v>
      </c>
      <c r="M72" s="17">
        <v>-1000000</v>
      </c>
      <c r="N72" s="17">
        <v>1000000</v>
      </c>
      <c r="O72" s="17">
        <v>4.6566130000000002E-4</v>
      </c>
      <c r="P72" s="76">
        <v>4294967296</v>
      </c>
      <c r="Q72" s="77">
        <v>0.01</v>
      </c>
      <c r="R72" t="s">
        <v>2661</v>
      </c>
    </row>
    <row r="73" spans="1:18" x14ac:dyDescent="0.25">
      <c r="A73" t="s">
        <v>3035</v>
      </c>
      <c r="B73" t="s">
        <v>3006</v>
      </c>
      <c r="C73" t="s">
        <v>3007</v>
      </c>
      <c r="D73" t="s">
        <v>2713</v>
      </c>
      <c r="E73" t="s">
        <v>2713</v>
      </c>
      <c r="F73" t="s">
        <v>35</v>
      </c>
      <c r="G73" t="s">
        <v>2692</v>
      </c>
      <c r="H73" s="8" t="s">
        <v>100</v>
      </c>
      <c r="J73" s="16" t="s">
        <v>3008</v>
      </c>
      <c r="K73" t="s">
        <v>14</v>
      </c>
      <c r="L73" t="s">
        <v>2660</v>
      </c>
      <c r="M73" s="17">
        <v>-1000000</v>
      </c>
      <c r="N73" s="17">
        <v>1000000</v>
      </c>
      <c r="O73" s="17">
        <v>4.6566130000000002E-4</v>
      </c>
      <c r="P73" s="76">
        <v>4294967296</v>
      </c>
      <c r="Q73" s="77">
        <v>0.01</v>
      </c>
      <c r="R73" t="s">
        <v>2661</v>
      </c>
    </row>
    <row r="74" spans="1:18" x14ac:dyDescent="0.25">
      <c r="A74" t="s">
        <v>3036</v>
      </c>
      <c r="B74" t="s">
        <v>2719</v>
      </c>
      <c r="C74" t="s">
        <v>2720</v>
      </c>
      <c r="D74" t="s">
        <v>2713</v>
      </c>
      <c r="E74" t="s">
        <v>2713</v>
      </c>
      <c r="F74" t="s">
        <v>35</v>
      </c>
      <c r="G74" t="s">
        <v>2709</v>
      </c>
      <c r="H74" s="8" t="s">
        <v>71</v>
      </c>
      <c r="J74" s="16" t="s">
        <v>2721</v>
      </c>
      <c r="K74" t="s">
        <v>14</v>
      </c>
      <c r="L74" t="s">
        <v>2660</v>
      </c>
      <c r="M74" s="17">
        <v>-1000000</v>
      </c>
      <c r="N74" s="17">
        <v>1000000</v>
      </c>
      <c r="O74" s="17">
        <v>4.6566130000000002E-4</v>
      </c>
      <c r="P74" s="76">
        <v>4294967296</v>
      </c>
      <c r="Q74" s="77">
        <v>0.01</v>
      </c>
      <c r="R74" t="s">
        <v>2661</v>
      </c>
    </row>
    <row r="75" spans="1:18" x14ac:dyDescent="0.25">
      <c r="A75" t="s">
        <v>3037</v>
      </c>
      <c r="B75" t="s">
        <v>3038</v>
      </c>
      <c r="C75" t="s">
        <v>3039</v>
      </c>
      <c r="D75" t="s">
        <v>2723</v>
      </c>
      <c r="E75" t="s">
        <v>2724</v>
      </c>
      <c r="F75" t="s">
        <v>35</v>
      </c>
      <c r="G75" t="s">
        <v>2709</v>
      </c>
      <c r="H75" s="8" t="s">
        <v>71</v>
      </c>
      <c r="J75" s="16" t="s">
        <v>3271</v>
      </c>
      <c r="K75" t="s">
        <v>14</v>
      </c>
      <c r="L75" t="s">
        <v>2660</v>
      </c>
      <c r="M75" s="17">
        <v>0</v>
      </c>
      <c r="N75" s="17">
        <v>10000</v>
      </c>
      <c r="O75" s="17">
        <v>2.3282999999999998E-6</v>
      </c>
      <c r="P75" s="76">
        <v>4294967296</v>
      </c>
      <c r="Q75" s="77">
        <v>0.02</v>
      </c>
      <c r="R75" t="s">
        <v>2661</v>
      </c>
    </row>
    <row r="76" spans="1:18" x14ac:dyDescent="0.25">
      <c r="A76" t="s">
        <v>3040</v>
      </c>
      <c r="B76" t="s">
        <v>3041</v>
      </c>
      <c r="C76" t="s">
        <v>3042</v>
      </c>
      <c r="D76" t="s">
        <v>2723</v>
      </c>
      <c r="E76" t="s">
        <v>2724</v>
      </c>
      <c r="F76" t="s">
        <v>35</v>
      </c>
      <c r="G76" t="s">
        <v>2692</v>
      </c>
      <c r="H76" s="8" t="s">
        <v>100</v>
      </c>
      <c r="J76" s="16" t="s">
        <v>3272</v>
      </c>
      <c r="K76" t="s">
        <v>14</v>
      </c>
      <c r="L76" t="s">
        <v>2660</v>
      </c>
      <c r="M76" s="17">
        <v>0</v>
      </c>
      <c r="N76" s="17">
        <v>10000</v>
      </c>
      <c r="O76" s="17">
        <v>2.3282999999999998E-6</v>
      </c>
      <c r="P76" s="76">
        <v>4294967296</v>
      </c>
      <c r="Q76" s="77">
        <v>0.02</v>
      </c>
      <c r="R76" t="s">
        <v>2661</v>
      </c>
    </row>
    <row r="77" spans="1:18" x14ac:dyDescent="0.25">
      <c r="A77" t="s">
        <v>3043</v>
      </c>
      <c r="B77" t="s">
        <v>3044</v>
      </c>
      <c r="C77" t="s">
        <v>3045</v>
      </c>
      <c r="D77" t="s">
        <v>2723</v>
      </c>
      <c r="E77" t="s">
        <v>2724</v>
      </c>
      <c r="F77" t="s">
        <v>35</v>
      </c>
      <c r="G77" t="s">
        <v>2707</v>
      </c>
      <c r="H77" s="8" t="s">
        <v>79</v>
      </c>
      <c r="J77" s="16" t="s">
        <v>3273</v>
      </c>
      <c r="K77" t="s">
        <v>14</v>
      </c>
      <c r="L77" t="s">
        <v>2660</v>
      </c>
      <c r="M77" s="17">
        <v>0</v>
      </c>
      <c r="N77" s="17">
        <v>150</v>
      </c>
      <c r="O77" s="17">
        <v>3.4900000000000001E-8</v>
      </c>
      <c r="P77" s="76">
        <v>4294967296</v>
      </c>
      <c r="Q77" s="77">
        <v>0.02</v>
      </c>
      <c r="R77" t="s">
        <v>2661</v>
      </c>
    </row>
    <row r="78" spans="1:18" x14ac:dyDescent="0.25">
      <c r="A78" t="s">
        <v>3048</v>
      </c>
      <c r="B78" t="s">
        <v>3049</v>
      </c>
      <c r="C78" t="s">
        <v>3050</v>
      </c>
      <c r="D78" t="s">
        <v>2723</v>
      </c>
      <c r="E78" t="s">
        <v>2724</v>
      </c>
      <c r="F78" t="s">
        <v>35</v>
      </c>
      <c r="G78" t="s">
        <v>2707</v>
      </c>
      <c r="H78" s="8" t="s">
        <v>79</v>
      </c>
      <c r="J78" s="16" t="s">
        <v>3274</v>
      </c>
      <c r="K78" t="s">
        <v>14</v>
      </c>
      <c r="L78" t="s">
        <v>2660</v>
      </c>
      <c r="M78" s="17">
        <v>0</v>
      </c>
      <c r="N78" s="17">
        <v>150</v>
      </c>
      <c r="O78" s="17">
        <v>3.4900000000000001E-8</v>
      </c>
      <c r="P78" s="76">
        <v>4294967296</v>
      </c>
      <c r="Q78" s="77">
        <v>0.02</v>
      </c>
      <c r="R78" t="s">
        <v>2661</v>
      </c>
    </row>
    <row r="79" spans="1:18" x14ac:dyDescent="0.25">
      <c r="A79" t="s">
        <v>3051</v>
      </c>
      <c r="B79" t="s">
        <v>3052</v>
      </c>
      <c r="C79" t="s">
        <v>3053</v>
      </c>
      <c r="D79" t="s">
        <v>2723</v>
      </c>
      <c r="E79" t="s">
        <v>2724</v>
      </c>
      <c r="F79" t="s">
        <v>35</v>
      </c>
      <c r="G79" t="s">
        <v>2707</v>
      </c>
      <c r="H79" s="8" t="s">
        <v>79</v>
      </c>
      <c r="J79" s="16" t="s">
        <v>3275</v>
      </c>
      <c r="K79" t="s">
        <v>14</v>
      </c>
      <c r="L79" t="s">
        <v>2660</v>
      </c>
      <c r="M79" s="17">
        <v>0</v>
      </c>
      <c r="N79" s="17">
        <v>150</v>
      </c>
      <c r="O79" s="17">
        <v>3.4900000000000001E-8</v>
      </c>
      <c r="P79" s="76">
        <v>4294967296</v>
      </c>
      <c r="Q79" s="77">
        <v>0.02</v>
      </c>
      <c r="R79" t="s">
        <v>2661</v>
      </c>
    </row>
    <row r="80" spans="1:18" x14ac:dyDescent="0.25">
      <c r="A80" t="s">
        <v>3056</v>
      </c>
      <c r="B80" t="s">
        <v>3057</v>
      </c>
      <c r="C80" t="s">
        <v>3058</v>
      </c>
      <c r="D80" t="s">
        <v>2723</v>
      </c>
      <c r="E80" t="s">
        <v>2724</v>
      </c>
      <c r="F80" t="s">
        <v>35</v>
      </c>
      <c r="G80" t="s">
        <v>2795</v>
      </c>
      <c r="H80" s="8" t="s">
        <v>2600</v>
      </c>
      <c r="J80" s="16" t="s">
        <v>3059</v>
      </c>
      <c r="K80" t="s">
        <v>14</v>
      </c>
      <c r="L80" t="s">
        <v>2660</v>
      </c>
      <c r="M80" s="17">
        <v>0</v>
      </c>
      <c r="N80" s="17">
        <v>1000</v>
      </c>
      <c r="O80" s="17">
        <v>2.3279999999999999E-7</v>
      </c>
      <c r="P80" s="76">
        <v>4294967296</v>
      </c>
      <c r="Q80" s="77">
        <v>0.02</v>
      </c>
      <c r="R80" t="s">
        <v>2661</v>
      </c>
    </row>
    <row r="81" spans="1:18" x14ac:dyDescent="0.25">
      <c r="A81" t="s">
        <v>3060</v>
      </c>
      <c r="B81" t="s">
        <v>3061</v>
      </c>
      <c r="C81" t="s">
        <v>3062</v>
      </c>
      <c r="D81" t="s">
        <v>2723</v>
      </c>
      <c r="E81" t="s">
        <v>2724</v>
      </c>
      <c r="F81" t="s">
        <v>35</v>
      </c>
      <c r="G81" t="s">
        <v>2709</v>
      </c>
      <c r="H81" s="8" t="s">
        <v>71</v>
      </c>
      <c r="J81" s="16" t="s">
        <v>3063</v>
      </c>
      <c r="K81" t="s">
        <v>14</v>
      </c>
      <c r="L81" t="s">
        <v>2660</v>
      </c>
      <c r="M81" s="17">
        <v>0</v>
      </c>
      <c r="N81" s="17">
        <v>10000</v>
      </c>
      <c r="O81" s="17">
        <v>2.3282999999999998E-6</v>
      </c>
      <c r="P81" s="76">
        <v>4294967296</v>
      </c>
      <c r="Q81" s="77">
        <v>0.02</v>
      </c>
      <c r="R81" t="s">
        <v>2661</v>
      </c>
    </row>
    <row r="82" spans="1:18" x14ac:dyDescent="0.25">
      <c r="A82" t="s">
        <v>3054</v>
      </c>
      <c r="B82" t="s">
        <v>3070</v>
      </c>
      <c r="C82" t="s">
        <v>3071</v>
      </c>
      <c r="D82" t="s">
        <v>2723</v>
      </c>
      <c r="E82" t="s">
        <v>2724</v>
      </c>
      <c r="F82" t="s">
        <v>35</v>
      </c>
      <c r="G82" t="s">
        <v>2707</v>
      </c>
      <c r="H82" s="8" t="s">
        <v>79</v>
      </c>
      <c r="J82" s="16" t="s">
        <v>3276</v>
      </c>
      <c r="K82" t="s">
        <v>14</v>
      </c>
      <c r="L82" t="s">
        <v>2660</v>
      </c>
      <c r="M82" s="17">
        <v>0</v>
      </c>
      <c r="N82" s="17">
        <v>150</v>
      </c>
      <c r="O82" s="17">
        <v>3.4900000000000001E-8</v>
      </c>
      <c r="P82" s="76">
        <v>4294967296</v>
      </c>
      <c r="Q82" s="77">
        <v>0.02</v>
      </c>
      <c r="R82" t="s">
        <v>2661</v>
      </c>
    </row>
    <row r="83" spans="1:18" x14ac:dyDescent="0.25">
      <c r="A83" t="s">
        <v>2722</v>
      </c>
      <c r="B83" t="s">
        <v>3072</v>
      </c>
      <c r="C83" t="s">
        <v>3073</v>
      </c>
      <c r="D83" t="s">
        <v>2723</v>
      </c>
      <c r="E83" t="s">
        <v>2724</v>
      </c>
      <c r="F83" t="s">
        <v>35</v>
      </c>
      <c r="G83" t="s">
        <v>2692</v>
      </c>
      <c r="H83" s="8" t="s">
        <v>100</v>
      </c>
      <c r="J83" s="16" t="s">
        <v>3277</v>
      </c>
      <c r="K83" t="s">
        <v>14</v>
      </c>
      <c r="L83" t="s">
        <v>2660</v>
      </c>
      <c r="M83" s="17">
        <v>0</v>
      </c>
      <c r="N83" s="17">
        <v>10000</v>
      </c>
      <c r="O83" s="17">
        <v>2.3282999999999998E-6</v>
      </c>
      <c r="P83" s="76">
        <v>4294967296</v>
      </c>
      <c r="Q83" s="77">
        <v>0.02</v>
      </c>
      <c r="R83" t="s">
        <v>2661</v>
      </c>
    </row>
    <row r="84" spans="1:18" x14ac:dyDescent="0.25">
      <c r="A84" t="s">
        <v>3069</v>
      </c>
      <c r="B84" t="s">
        <v>640</v>
      </c>
      <c r="C84" t="s">
        <v>641</v>
      </c>
      <c r="D84" t="s">
        <v>2713</v>
      </c>
      <c r="E84" t="s">
        <v>2713</v>
      </c>
      <c r="F84" t="s">
        <v>35</v>
      </c>
      <c r="G84" t="s">
        <v>3076</v>
      </c>
      <c r="H84" s="8" t="s">
        <v>3074</v>
      </c>
      <c r="J84" s="16" t="s">
        <v>3077</v>
      </c>
      <c r="K84" t="s">
        <v>14</v>
      </c>
      <c r="L84" t="s">
        <v>2660</v>
      </c>
      <c r="M84" s="17">
        <v>-1000000</v>
      </c>
      <c r="N84" s="17">
        <v>1000000</v>
      </c>
      <c r="O84" s="17">
        <v>4.6566130000000002E-4</v>
      </c>
      <c r="P84" s="76">
        <v>4294967296</v>
      </c>
      <c r="Q84" s="77">
        <v>0.01</v>
      </c>
      <c r="R84" t="s">
        <v>2661</v>
      </c>
    </row>
    <row r="85" spans="1:18" x14ac:dyDescent="0.25">
      <c r="A85" t="s">
        <v>3083</v>
      </c>
      <c r="B85" t="s">
        <v>2765</v>
      </c>
      <c r="C85" t="s">
        <v>2766</v>
      </c>
      <c r="D85" t="s">
        <v>2723</v>
      </c>
      <c r="E85" t="s">
        <v>2724</v>
      </c>
      <c r="F85" t="s">
        <v>35</v>
      </c>
      <c r="G85" t="s">
        <v>2707</v>
      </c>
      <c r="H85" s="8" t="s">
        <v>79</v>
      </c>
      <c r="J85" s="16" t="s">
        <v>3078</v>
      </c>
      <c r="K85" t="s">
        <v>14</v>
      </c>
      <c r="L85" t="s">
        <v>2660</v>
      </c>
      <c r="M85" s="17">
        <v>0</v>
      </c>
      <c r="N85" s="17">
        <v>150</v>
      </c>
      <c r="O85" s="17">
        <v>3.4900000000000001E-8</v>
      </c>
      <c r="P85" s="76">
        <v>4294967296</v>
      </c>
      <c r="Q85" s="77">
        <v>0.02</v>
      </c>
      <c r="R85" t="s">
        <v>2661</v>
      </c>
    </row>
    <row r="86" spans="1:18" x14ac:dyDescent="0.25">
      <c r="A86" t="s">
        <v>3079</v>
      </c>
      <c r="B86" t="s">
        <v>2767</v>
      </c>
      <c r="C86" t="s">
        <v>2768</v>
      </c>
      <c r="D86" t="s">
        <v>2723</v>
      </c>
      <c r="E86" t="s">
        <v>2724</v>
      </c>
      <c r="F86" t="s">
        <v>35</v>
      </c>
      <c r="G86" t="s">
        <v>2707</v>
      </c>
      <c r="H86" s="8" t="s">
        <v>79</v>
      </c>
      <c r="J86" s="16" t="s">
        <v>3080</v>
      </c>
      <c r="K86" t="s">
        <v>14</v>
      </c>
      <c r="L86" t="s">
        <v>2660</v>
      </c>
      <c r="M86" s="17">
        <v>0</v>
      </c>
      <c r="N86" s="17">
        <v>150</v>
      </c>
      <c r="O86" s="17">
        <v>3.4900000000000001E-8</v>
      </c>
      <c r="P86" s="76">
        <v>4294967296</v>
      </c>
      <c r="Q86" s="77">
        <v>0.02</v>
      </c>
      <c r="R86" t="s">
        <v>2661</v>
      </c>
    </row>
    <row r="87" spans="1:18" x14ac:dyDescent="0.25">
      <c r="A87" t="s">
        <v>3081</v>
      </c>
      <c r="B87" t="s">
        <v>2769</v>
      </c>
      <c r="C87" t="s">
        <v>2770</v>
      </c>
      <c r="D87" t="s">
        <v>2723</v>
      </c>
      <c r="E87" t="s">
        <v>2724</v>
      </c>
      <c r="F87" t="s">
        <v>35</v>
      </c>
      <c r="G87" t="s">
        <v>2707</v>
      </c>
      <c r="H87" s="8" t="s">
        <v>79</v>
      </c>
      <c r="J87" s="16" t="s">
        <v>3082</v>
      </c>
      <c r="K87" t="s">
        <v>14</v>
      </c>
      <c r="L87" t="s">
        <v>2660</v>
      </c>
      <c r="M87" s="17">
        <v>0</v>
      </c>
      <c r="N87" s="17">
        <v>150</v>
      </c>
      <c r="O87" s="17">
        <v>3.4900000000000001E-8</v>
      </c>
      <c r="P87" s="76">
        <v>4294967296</v>
      </c>
      <c r="Q87" s="77">
        <v>0.02</v>
      </c>
      <c r="R87" t="s">
        <v>2661</v>
      </c>
    </row>
    <row r="88" spans="1:18" x14ac:dyDescent="0.25">
      <c r="A88" t="s">
        <v>3084</v>
      </c>
      <c r="B88" t="s">
        <v>3085</v>
      </c>
      <c r="C88" t="s">
        <v>3086</v>
      </c>
      <c r="D88" t="s">
        <v>2799</v>
      </c>
      <c r="E88" t="s">
        <v>2799</v>
      </c>
      <c r="F88" t="s">
        <v>35</v>
      </c>
      <c r="G88" t="s">
        <v>3087</v>
      </c>
      <c r="H88" s="8" t="s">
        <v>82</v>
      </c>
      <c r="J88" s="16" t="s">
        <v>3088</v>
      </c>
      <c r="K88" t="s">
        <v>14</v>
      </c>
      <c r="L88" t="s">
        <v>2660</v>
      </c>
      <c r="M88" s="17">
        <v>-32768</v>
      </c>
      <c r="N88" s="17">
        <v>32767</v>
      </c>
      <c r="O88" s="17">
        <v>0.99998474120000003</v>
      </c>
      <c r="P88" s="76">
        <v>65536</v>
      </c>
      <c r="Q88" s="77">
        <v>1E-3</v>
      </c>
      <c r="R88" t="s">
        <v>2661</v>
      </c>
    </row>
    <row r="89" spans="1:18" x14ac:dyDescent="0.25">
      <c r="A89" t="s">
        <v>3089</v>
      </c>
      <c r="B89" t="s">
        <v>3090</v>
      </c>
      <c r="C89" t="s">
        <v>3091</v>
      </c>
      <c r="D89" t="s">
        <v>2799</v>
      </c>
      <c r="E89" t="s">
        <v>2799</v>
      </c>
      <c r="F89" t="s">
        <v>35</v>
      </c>
      <c r="G89" t="s">
        <v>3087</v>
      </c>
      <c r="H89" s="8" t="s">
        <v>82</v>
      </c>
      <c r="J89" s="16" t="s">
        <v>3092</v>
      </c>
      <c r="K89" t="s">
        <v>14</v>
      </c>
      <c r="L89" t="s">
        <v>2660</v>
      </c>
      <c r="M89" s="17">
        <v>-32768</v>
      </c>
      <c r="N89" s="17">
        <v>32767</v>
      </c>
      <c r="O89" s="17">
        <v>0.99998474120000003</v>
      </c>
      <c r="P89" s="76">
        <v>65536</v>
      </c>
      <c r="Q89" s="77">
        <v>1E-3</v>
      </c>
      <c r="R89" t="s">
        <v>2661</v>
      </c>
    </row>
    <row r="90" spans="1:18" x14ac:dyDescent="0.25">
      <c r="A90" t="s">
        <v>3093</v>
      </c>
      <c r="B90" t="s">
        <v>3094</v>
      </c>
      <c r="C90" t="s">
        <v>3095</v>
      </c>
      <c r="D90" t="s">
        <v>2799</v>
      </c>
      <c r="E90" t="s">
        <v>2799</v>
      </c>
      <c r="F90" t="s">
        <v>35</v>
      </c>
      <c r="G90" t="s">
        <v>3087</v>
      </c>
      <c r="H90" s="8" t="s">
        <v>82</v>
      </c>
      <c r="J90" s="16" t="s">
        <v>3096</v>
      </c>
      <c r="K90" t="s">
        <v>14</v>
      </c>
      <c r="L90" t="s">
        <v>2660</v>
      </c>
      <c r="M90" s="17">
        <v>-2147483648</v>
      </c>
      <c r="N90" s="17">
        <v>2147483647</v>
      </c>
      <c r="O90" s="17">
        <v>0.99999999979999998</v>
      </c>
      <c r="P90" s="76">
        <v>4294967296</v>
      </c>
      <c r="Q90" s="77">
        <v>1E-3</v>
      </c>
      <c r="R90" t="s">
        <v>2661</v>
      </c>
    </row>
    <row r="91" spans="1:18" x14ac:dyDescent="0.25">
      <c r="A91" t="s">
        <v>3097</v>
      </c>
      <c r="B91" t="s">
        <v>3097</v>
      </c>
      <c r="C91" t="s">
        <v>3098</v>
      </c>
      <c r="D91" t="s">
        <v>2799</v>
      </c>
      <c r="E91" t="s">
        <v>2799</v>
      </c>
      <c r="F91" t="s">
        <v>35</v>
      </c>
      <c r="G91" t="s">
        <v>3099</v>
      </c>
      <c r="H91" s="8" t="s">
        <v>93</v>
      </c>
      <c r="J91" s="16" t="s">
        <v>3278</v>
      </c>
      <c r="K91" t="s">
        <v>14</v>
      </c>
      <c r="L91" t="s">
        <v>2660</v>
      </c>
      <c r="M91" s="17">
        <v>-214</v>
      </c>
      <c r="N91" s="17">
        <v>2147</v>
      </c>
      <c r="O91" s="17">
        <v>5.4970000000000001E-7</v>
      </c>
      <c r="P91" s="76">
        <v>4294967296</v>
      </c>
      <c r="Q91" s="77">
        <v>1E-3</v>
      </c>
      <c r="R91" t="s">
        <v>2661</v>
      </c>
    </row>
    <row r="92" spans="1:18" x14ac:dyDescent="0.25">
      <c r="A92" t="s">
        <v>3100</v>
      </c>
      <c r="B92" t="s">
        <v>3101</v>
      </c>
      <c r="C92" t="s">
        <v>3102</v>
      </c>
      <c r="D92" t="s">
        <v>2799</v>
      </c>
      <c r="E92" t="s">
        <v>2799</v>
      </c>
      <c r="F92" t="s">
        <v>35</v>
      </c>
      <c r="G92" t="s">
        <v>2692</v>
      </c>
      <c r="H92" s="8" t="s">
        <v>100</v>
      </c>
      <c r="J92" s="16" t="s">
        <v>3103</v>
      </c>
      <c r="K92" t="s">
        <v>14</v>
      </c>
      <c r="L92" t="s">
        <v>2660</v>
      </c>
      <c r="M92" s="17">
        <v>-21470</v>
      </c>
      <c r="N92" s="17">
        <v>214748</v>
      </c>
      <c r="O92" s="17">
        <v>5.4998799999999999E-5</v>
      </c>
      <c r="P92" s="76">
        <v>4294967296</v>
      </c>
      <c r="Q92" s="77">
        <v>1E-3</v>
      </c>
      <c r="R92" t="s">
        <v>2661</v>
      </c>
    </row>
    <row r="93" spans="1:18" x14ac:dyDescent="0.25">
      <c r="A93" t="s">
        <v>3104</v>
      </c>
      <c r="B93" t="s">
        <v>3105</v>
      </c>
      <c r="C93" t="s">
        <v>3106</v>
      </c>
      <c r="D93" t="s">
        <v>2799</v>
      </c>
      <c r="E93" t="s">
        <v>2799</v>
      </c>
      <c r="F93" t="s">
        <v>35</v>
      </c>
      <c r="G93" t="s">
        <v>2709</v>
      </c>
      <c r="H93" s="8" t="s">
        <v>71</v>
      </c>
      <c r="J93" s="16" t="s">
        <v>3107</v>
      </c>
      <c r="K93" t="s">
        <v>14</v>
      </c>
      <c r="L93" t="s">
        <v>2660</v>
      </c>
      <c r="M93" s="17">
        <v>-21470</v>
      </c>
      <c r="N93" s="17">
        <v>21474</v>
      </c>
      <c r="O93" s="17">
        <v>9.9986999999999997E-6</v>
      </c>
      <c r="P93" s="76">
        <v>4294967296</v>
      </c>
      <c r="Q93" s="77">
        <v>1E-3</v>
      </c>
      <c r="R93" t="s">
        <v>2661</v>
      </c>
    </row>
    <row r="94" spans="1:18" x14ac:dyDescent="0.25">
      <c r="A94" t="s">
        <v>3108</v>
      </c>
      <c r="B94" t="s">
        <v>2806</v>
      </c>
      <c r="C94" t="s">
        <v>2807</v>
      </c>
      <c r="D94" t="s">
        <v>2799</v>
      </c>
      <c r="E94" t="s">
        <v>2799</v>
      </c>
      <c r="F94" t="s">
        <v>35</v>
      </c>
      <c r="G94" t="s">
        <v>2907</v>
      </c>
      <c r="H94" s="8" t="s">
        <v>2908</v>
      </c>
      <c r="J94" s="16" t="s">
        <v>3109</v>
      </c>
      <c r="K94" t="s">
        <v>14</v>
      </c>
      <c r="L94" t="s">
        <v>2660</v>
      </c>
      <c r="M94" s="17">
        <v>-21</v>
      </c>
      <c r="N94" s="17">
        <v>214700</v>
      </c>
      <c r="O94" s="17">
        <v>4.9993600000000002E-5</v>
      </c>
      <c r="P94" s="76">
        <v>4294967296</v>
      </c>
      <c r="Q94" s="77">
        <v>1E-3</v>
      </c>
      <c r="R94" t="s">
        <v>2661</v>
      </c>
    </row>
    <row r="95" spans="1:18" x14ac:dyDescent="0.25">
      <c r="A95" t="s">
        <v>3110</v>
      </c>
      <c r="B95" t="s">
        <v>2808</v>
      </c>
      <c r="C95" t="s">
        <v>2809</v>
      </c>
      <c r="D95" t="s">
        <v>2799</v>
      </c>
      <c r="E95" t="s">
        <v>2799</v>
      </c>
      <c r="F95" t="s">
        <v>35</v>
      </c>
      <c r="G95" t="s">
        <v>2907</v>
      </c>
      <c r="H95" s="8" t="s">
        <v>2908</v>
      </c>
      <c r="J95" s="16" t="s">
        <v>3111</v>
      </c>
      <c r="K95" t="s">
        <v>14</v>
      </c>
      <c r="L95" t="s">
        <v>2660</v>
      </c>
      <c r="M95" s="17">
        <v>-21</v>
      </c>
      <c r="N95" s="17">
        <v>214700</v>
      </c>
      <c r="O95" s="17">
        <v>4.9993600000000002E-5</v>
      </c>
      <c r="P95" s="76">
        <v>4294967296</v>
      </c>
      <c r="Q95" s="77">
        <v>1E-3</v>
      </c>
      <c r="R95" t="s">
        <v>2661</v>
      </c>
    </row>
    <row r="96" spans="1:18" x14ac:dyDescent="0.25">
      <c r="A96" t="s">
        <v>3112</v>
      </c>
      <c r="B96" t="s">
        <v>2810</v>
      </c>
      <c r="C96" t="s">
        <v>2811</v>
      </c>
      <c r="D96" t="s">
        <v>2799</v>
      </c>
      <c r="E96" t="s">
        <v>2799</v>
      </c>
      <c r="F96" t="s">
        <v>35</v>
      </c>
      <c r="G96" t="s">
        <v>2907</v>
      </c>
      <c r="H96" s="8" t="s">
        <v>2908</v>
      </c>
      <c r="J96" s="16" t="s">
        <v>3113</v>
      </c>
      <c r="K96" t="s">
        <v>14</v>
      </c>
      <c r="L96" t="s">
        <v>2660</v>
      </c>
      <c r="M96" s="17">
        <v>-21</v>
      </c>
      <c r="N96" s="17">
        <v>214700</v>
      </c>
      <c r="O96" s="17">
        <v>4.9993600000000002E-5</v>
      </c>
      <c r="P96" s="76">
        <v>4294967296</v>
      </c>
      <c r="Q96" s="77">
        <v>1E-3</v>
      </c>
      <c r="R96" t="s">
        <v>2661</v>
      </c>
    </row>
    <row r="97" spans="1:18" x14ac:dyDescent="0.25">
      <c r="A97" t="s">
        <v>3114</v>
      </c>
      <c r="B97" t="s">
        <v>2812</v>
      </c>
      <c r="C97" t="s">
        <v>2813</v>
      </c>
      <c r="D97" t="s">
        <v>2799</v>
      </c>
      <c r="E97" t="s">
        <v>2799</v>
      </c>
      <c r="F97" t="s">
        <v>35</v>
      </c>
      <c r="G97" t="s">
        <v>2907</v>
      </c>
      <c r="H97" s="8" t="s">
        <v>2908</v>
      </c>
      <c r="J97" s="16" t="s">
        <v>3115</v>
      </c>
      <c r="K97" t="s">
        <v>14</v>
      </c>
      <c r="L97" t="s">
        <v>2660</v>
      </c>
      <c r="M97" s="17">
        <v>-21</v>
      </c>
      <c r="N97" s="17">
        <v>214700</v>
      </c>
      <c r="O97" s="17">
        <v>4.9993600000000002E-5</v>
      </c>
      <c r="P97" s="76">
        <v>4294967296</v>
      </c>
      <c r="Q97" s="77">
        <v>1E-3</v>
      </c>
      <c r="R97" t="s">
        <v>2661</v>
      </c>
    </row>
    <row r="98" spans="1:18" x14ac:dyDescent="0.25">
      <c r="A98" t="s">
        <v>3116</v>
      </c>
      <c r="B98" t="s">
        <v>2821</v>
      </c>
      <c r="C98" t="s">
        <v>2822</v>
      </c>
      <c r="D98" t="s">
        <v>2799</v>
      </c>
      <c r="E98" t="s">
        <v>2799</v>
      </c>
      <c r="F98" t="s">
        <v>35</v>
      </c>
      <c r="G98" t="s">
        <v>2907</v>
      </c>
      <c r="H98" s="8" t="s">
        <v>2908</v>
      </c>
      <c r="J98" s="16" t="s">
        <v>3117</v>
      </c>
      <c r="K98" t="s">
        <v>14</v>
      </c>
      <c r="L98" t="s">
        <v>2660</v>
      </c>
      <c r="M98" s="17">
        <v>-21</v>
      </c>
      <c r="N98" s="17">
        <v>20000000</v>
      </c>
      <c r="O98" s="17">
        <v>4.6566178000000003E-3</v>
      </c>
      <c r="P98" s="76">
        <v>4294967296</v>
      </c>
      <c r="Q98" s="77">
        <v>1E-3</v>
      </c>
      <c r="R98" t="s">
        <v>2661</v>
      </c>
    </row>
    <row r="99" spans="1:18" x14ac:dyDescent="0.25">
      <c r="A99" t="s">
        <v>3118</v>
      </c>
      <c r="B99" t="s">
        <v>3118</v>
      </c>
      <c r="C99" t="s">
        <v>3119</v>
      </c>
      <c r="D99" t="s">
        <v>2799</v>
      </c>
      <c r="E99" t="s">
        <v>2799</v>
      </c>
      <c r="F99" t="s">
        <v>35</v>
      </c>
      <c r="G99" t="s">
        <v>2907</v>
      </c>
      <c r="H99" s="8" t="s">
        <v>2908</v>
      </c>
      <c r="J99" s="16" t="s">
        <v>3120</v>
      </c>
      <c r="K99" t="s">
        <v>14</v>
      </c>
      <c r="L99" t="s">
        <v>2660</v>
      </c>
      <c r="M99" s="17">
        <v>0</v>
      </c>
      <c r="N99" s="17">
        <v>10000000</v>
      </c>
      <c r="O99" s="17">
        <v>2.3283064000000002E-3</v>
      </c>
      <c r="P99" s="76">
        <v>4294967296</v>
      </c>
      <c r="Q99" s="77">
        <v>1E-3</v>
      </c>
      <c r="R99" t="s">
        <v>2661</v>
      </c>
    </row>
    <row r="100" spans="1:18" x14ac:dyDescent="0.25">
      <c r="A100" t="s">
        <v>3121</v>
      </c>
      <c r="B100" t="s">
        <v>3122</v>
      </c>
      <c r="C100" t="s">
        <v>3123</v>
      </c>
      <c r="D100" t="s">
        <v>2626</v>
      </c>
      <c r="E100" t="s">
        <v>3124</v>
      </c>
      <c r="F100" t="s">
        <v>35</v>
      </c>
      <c r="G100" t="s">
        <v>2692</v>
      </c>
      <c r="H100" s="8" t="s">
        <v>100</v>
      </c>
      <c r="J100" s="16" t="s">
        <v>3125</v>
      </c>
      <c r="K100" t="s">
        <v>14</v>
      </c>
      <c r="L100" t="s">
        <v>2660</v>
      </c>
      <c r="M100" s="17">
        <v>-128</v>
      </c>
      <c r="N100" s="17">
        <v>127</v>
      </c>
      <c r="O100" s="17">
        <v>0.99609375</v>
      </c>
      <c r="P100" s="76">
        <v>256</v>
      </c>
      <c r="Q100" s="77">
        <v>0.01</v>
      </c>
      <c r="R100" t="s">
        <v>2661</v>
      </c>
    </row>
    <row r="101" spans="1:18" x14ac:dyDescent="0.25">
      <c r="A101" t="s">
        <v>3126</v>
      </c>
      <c r="B101" t="s">
        <v>3122</v>
      </c>
      <c r="C101" t="s">
        <v>3123</v>
      </c>
      <c r="D101" t="s">
        <v>2626</v>
      </c>
      <c r="E101" t="s">
        <v>3124</v>
      </c>
      <c r="F101" t="s">
        <v>35</v>
      </c>
      <c r="G101" t="s">
        <v>2718</v>
      </c>
      <c r="H101" s="8" t="s">
        <v>2606</v>
      </c>
      <c r="J101" s="16" t="s">
        <v>3127</v>
      </c>
      <c r="K101" t="s">
        <v>14</v>
      </c>
      <c r="L101" t="s">
        <v>2660</v>
      </c>
      <c r="M101" s="17">
        <v>-2147483648</v>
      </c>
      <c r="N101" s="17">
        <v>2147483647</v>
      </c>
      <c r="O101" s="17">
        <v>0.99999999979999998</v>
      </c>
      <c r="P101" s="76">
        <v>4294967296</v>
      </c>
      <c r="Q101" s="77">
        <v>0.01</v>
      </c>
      <c r="R101" t="s">
        <v>2661</v>
      </c>
    </row>
    <row r="102" spans="1:18" x14ac:dyDescent="0.25">
      <c r="A102" t="s">
        <v>3128</v>
      </c>
      <c r="B102" t="s">
        <v>3129</v>
      </c>
      <c r="C102" t="s">
        <v>3130</v>
      </c>
      <c r="D102" t="s">
        <v>2626</v>
      </c>
      <c r="E102" t="s">
        <v>3131</v>
      </c>
      <c r="F102" t="s">
        <v>35</v>
      </c>
      <c r="G102" t="s">
        <v>2796</v>
      </c>
      <c r="H102" s="8" t="s">
        <v>96</v>
      </c>
      <c r="J102" s="16" t="s">
        <v>3132</v>
      </c>
      <c r="K102" t="s">
        <v>14</v>
      </c>
      <c r="L102" t="s">
        <v>2660</v>
      </c>
      <c r="M102" s="17">
        <v>-273.14999999999998</v>
      </c>
      <c r="N102" s="17">
        <v>1500</v>
      </c>
      <c r="O102" s="17">
        <v>6.7089999999999996E-6</v>
      </c>
      <c r="P102" s="76">
        <v>4294967296</v>
      </c>
      <c r="Q102" s="77">
        <v>0.01</v>
      </c>
      <c r="R102" t="s">
        <v>2661</v>
      </c>
    </row>
    <row r="103" spans="1:18" x14ac:dyDescent="0.25">
      <c r="A103" t="s">
        <v>3133</v>
      </c>
      <c r="B103" t="s">
        <v>3134</v>
      </c>
      <c r="C103" t="s">
        <v>3135</v>
      </c>
      <c r="D103" t="s">
        <v>2626</v>
      </c>
      <c r="E103" t="s">
        <v>3131</v>
      </c>
      <c r="F103" t="s">
        <v>35</v>
      </c>
      <c r="G103" t="s">
        <v>2796</v>
      </c>
      <c r="H103" s="8" t="s">
        <v>96</v>
      </c>
      <c r="J103" s="16" t="s">
        <v>3136</v>
      </c>
      <c r="K103" t="s">
        <v>14</v>
      </c>
      <c r="L103" t="s">
        <v>2660</v>
      </c>
      <c r="M103" s="17">
        <v>-273.14999999999998</v>
      </c>
      <c r="N103" s="17">
        <v>1500</v>
      </c>
      <c r="O103" s="17">
        <v>6.7089999999999996E-6</v>
      </c>
      <c r="P103" s="76">
        <v>4294967296</v>
      </c>
      <c r="Q103" s="77">
        <v>0.01</v>
      </c>
      <c r="R103" t="s">
        <v>2661</v>
      </c>
    </row>
    <row r="104" spans="1:18" x14ac:dyDescent="0.25">
      <c r="A104" t="s">
        <v>3137</v>
      </c>
      <c r="B104" t="s">
        <v>3138</v>
      </c>
      <c r="C104" t="s">
        <v>3139</v>
      </c>
      <c r="D104" t="s">
        <v>2626</v>
      </c>
      <c r="E104" t="s">
        <v>3131</v>
      </c>
      <c r="F104" t="s">
        <v>34</v>
      </c>
      <c r="G104" t="s">
        <v>2796</v>
      </c>
      <c r="H104" s="8" t="s">
        <v>96</v>
      </c>
      <c r="J104" s="16" t="s">
        <v>3140</v>
      </c>
      <c r="K104" t="s">
        <v>14</v>
      </c>
      <c r="L104" t="s">
        <v>2660</v>
      </c>
      <c r="M104" s="17">
        <v>-273.14999999999998</v>
      </c>
      <c r="N104" s="17">
        <v>1500</v>
      </c>
      <c r="O104" s="17">
        <v>6.7089999999999996E-6</v>
      </c>
      <c r="P104" s="76">
        <v>4294967296</v>
      </c>
      <c r="Q104" s="77">
        <v>0.01</v>
      </c>
      <c r="R104" t="s">
        <v>2661</v>
      </c>
    </row>
    <row r="105" spans="1:18" x14ac:dyDescent="0.25">
      <c r="A105" t="s">
        <v>3141</v>
      </c>
      <c r="B105" t="s">
        <v>3142</v>
      </c>
      <c r="C105" t="s">
        <v>3143</v>
      </c>
      <c r="D105" t="s">
        <v>2626</v>
      </c>
      <c r="E105" t="s">
        <v>3131</v>
      </c>
      <c r="F105" t="s">
        <v>34</v>
      </c>
      <c r="G105" t="s">
        <v>2708</v>
      </c>
      <c r="H105" s="8" t="s">
        <v>113</v>
      </c>
      <c r="J105" s="16" t="s">
        <v>3144</v>
      </c>
      <c r="K105" t="s">
        <v>14</v>
      </c>
      <c r="L105" t="s">
        <v>2660</v>
      </c>
      <c r="M105" s="17">
        <v>0</v>
      </c>
      <c r="N105" s="17">
        <v>1</v>
      </c>
      <c r="O105" s="17">
        <v>2.0000000000000001E-10</v>
      </c>
      <c r="P105" s="76">
        <v>4294967296</v>
      </c>
      <c r="Q105" s="77">
        <v>0.01</v>
      </c>
      <c r="R105" t="s">
        <v>2661</v>
      </c>
    </row>
    <row r="106" spans="1:18" x14ac:dyDescent="0.25">
      <c r="A106" t="s">
        <v>3145</v>
      </c>
      <c r="B106" t="s">
        <v>3146</v>
      </c>
      <c r="C106" t="s">
        <v>3147</v>
      </c>
      <c r="D106" t="s">
        <v>2626</v>
      </c>
      <c r="E106" t="s">
        <v>3146</v>
      </c>
      <c r="F106" t="s">
        <v>35</v>
      </c>
      <c r="G106" t="s">
        <v>2709</v>
      </c>
      <c r="H106" s="8" t="s">
        <v>71</v>
      </c>
      <c r="J106" s="16" t="s">
        <v>3148</v>
      </c>
      <c r="K106" t="s">
        <v>14</v>
      </c>
      <c r="L106" t="s">
        <v>2660</v>
      </c>
      <c r="M106" s="17">
        <v>0</v>
      </c>
      <c r="N106" s="17">
        <v>50000</v>
      </c>
      <c r="O106" s="17">
        <v>1.16415E-5</v>
      </c>
      <c r="P106" s="76">
        <v>4294967296</v>
      </c>
      <c r="Q106" s="77">
        <v>0.01</v>
      </c>
      <c r="R106" t="s">
        <v>2661</v>
      </c>
    </row>
    <row r="107" spans="1:18" x14ac:dyDescent="0.25">
      <c r="A107" t="s">
        <v>3149</v>
      </c>
      <c r="B107" t="s">
        <v>3146</v>
      </c>
      <c r="C107" t="s">
        <v>3147</v>
      </c>
      <c r="D107" t="s">
        <v>2626</v>
      </c>
      <c r="E107" t="s">
        <v>3146</v>
      </c>
      <c r="F107" t="s">
        <v>35</v>
      </c>
      <c r="G107" t="s">
        <v>2718</v>
      </c>
      <c r="H107" s="8" t="s">
        <v>2606</v>
      </c>
      <c r="J107" s="16" t="s">
        <v>3150</v>
      </c>
      <c r="K107" t="s">
        <v>14</v>
      </c>
      <c r="L107" t="s">
        <v>2660</v>
      </c>
      <c r="M107" s="17">
        <v>0</v>
      </c>
      <c r="N107" s="17">
        <v>1000000</v>
      </c>
      <c r="O107" s="17">
        <v>2.3283059999999999E-4</v>
      </c>
      <c r="P107" s="76">
        <v>4294967296</v>
      </c>
      <c r="Q107" s="77">
        <v>0.01</v>
      </c>
      <c r="R107" t="s">
        <v>2661</v>
      </c>
    </row>
    <row r="108" spans="1:18" x14ac:dyDescent="0.25">
      <c r="A108" t="s">
        <v>3151</v>
      </c>
      <c r="B108" t="s">
        <v>3152</v>
      </c>
      <c r="C108" t="s">
        <v>3153</v>
      </c>
      <c r="D108" t="s">
        <v>2626</v>
      </c>
      <c r="E108" t="s">
        <v>3146</v>
      </c>
      <c r="F108" t="s">
        <v>35</v>
      </c>
      <c r="G108" t="s">
        <v>2692</v>
      </c>
      <c r="H108" s="8" t="s">
        <v>100</v>
      </c>
      <c r="J108" s="16" t="s">
        <v>3154</v>
      </c>
      <c r="K108" t="s">
        <v>14</v>
      </c>
      <c r="L108" t="s">
        <v>2660</v>
      </c>
      <c r="M108" s="17">
        <v>0</v>
      </c>
      <c r="N108" s="17">
        <v>50000</v>
      </c>
      <c r="O108" s="17">
        <v>1.16415E-5</v>
      </c>
      <c r="P108" s="76">
        <v>4294967296</v>
      </c>
      <c r="Q108" s="77">
        <v>0.01</v>
      </c>
      <c r="R108" t="s">
        <v>2661</v>
      </c>
    </row>
    <row r="109" spans="1:18" x14ac:dyDescent="0.25">
      <c r="A109" t="s">
        <v>3155</v>
      </c>
      <c r="B109" t="s">
        <v>3146</v>
      </c>
      <c r="C109" t="s">
        <v>3147</v>
      </c>
      <c r="D109" t="s">
        <v>2626</v>
      </c>
      <c r="E109" t="s">
        <v>3146</v>
      </c>
      <c r="F109" t="s">
        <v>34</v>
      </c>
      <c r="G109" t="s">
        <v>3087</v>
      </c>
      <c r="H109" s="8" t="s">
        <v>82</v>
      </c>
      <c r="J109" s="16" t="s">
        <v>3156</v>
      </c>
      <c r="K109" t="s">
        <v>14</v>
      </c>
      <c r="L109" t="s">
        <v>2660</v>
      </c>
      <c r="M109" s="17">
        <v>0</v>
      </c>
      <c r="N109" s="17">
        <v>5000000</v>
      </c>
      <c r="O109" s="17">
        <v>1.1641532000000001E-3</v>
      </c>
      <c r="P109" s="76">
        <v>4294967296</v>
      </c>
      <c r="Q109" s="77">
        <v>0.01</v>
      </c>
      <c r="R109" t="s">
        <v>2661</v>
      </c>
    </row>
    <row r="110" spans="1:18" x14ac:dyDescent="0.25">
      <c r="A110" t="s">
        <v>3157</v>
      </c>
      <c r="B110" t="s">
        <v>3158</v>
      </c>
      <c r="C110" t="s">
        <v>3159</v>
      </c>
      <c r="D110" t="s">
        <v>2626</v>
      </c>
      <c r="E110" t="s">
        <v>3146</v>
      </c>
      <c r="F110" t="s">
        <v>34</v>
      </c>
      <c r="G110" t="s">
        <v>2708</v>
      </c>
      <c r="H110" s="8" t="s">
        <v>113</v>
      </c>
      <c r="J110" s="16" t="s">
        <v>3160</v>
      </c>
      <c r="K110" t="s">
        <v>14</v>
      </c>
      <c r="L110" t="s">
        <v>2660</v>
      </c>
      <c r="M110" s="17">
        <v>0</v>
      </c>
      <c r="N110" s="17">
        <v>1</v>
      </c>
      <c r="O110" s="17">
        <v>2.0000000000000001E-10</v>
      </c>
      <c r="P110" s="76">
        <v>4294967296</v>
      </c>
      <c r="Q110" s="77">
        <v>0.01</v>
      </c>
      <c r="R110" t="s">
        <v>2661</v>
      </c>
    </row>
    <row r="111" spans="1:18" x14ac:dyDescent="0.25">
      <c r="A111" t="s">
        <v>3161</v>
      </c>
      <c r="B111" t="s">
        <v>3162</v>
      </c>
      <c r="C111" t="s">
        <v>3163</v>
      </c>
      <c r="D111" t="s">
        <v>2626</v>
      </c>
      <c r="E111" t="s">
        <v>3146</v>
      </c>
      <c r="F111" t="s">
        <v>34</v>
      </c>
      <c r="G111" t="s">
        <v>2795</v>
      </c>
      <c r="H111" s="8" t="s">
        <v>2600</v>
      </c>
      <c r="J111" s="16" t="s">
        <v>3164</v>
      </c>
      <c r="K111" t="s">
        <v>14</v>
      </c>
      <c r="L111" t="s">
        <v>2660</v>
      </c>
      <c r="M111" s="17">
        <v>0</v>
      </c>
      <c r="N111" s="17">
        <v>500000</v>
      </c>
      <c r="O111" s="17">
        <v>1.164153E-4</v>
      </c>
      <c r="P111" s="76">
        <v>4294967296</v>
      </c>
      <c r="Q111" s="77">
        <v>0.01</v>
      </c>
      <c r="R111" t="s">
        <v>2661</v>
      </c>
    </row>
    <row r="112" spans="1:18" x14ac:dyDescent="0.25">
      <c r="A112" t="s">
        <v>3165</v>
      </c>
      <c r="B112" t="s">
        <v>3166</v>
      </c>
      <c r="C112" t="s">
        <v>3167</v>
      </c>
      <c r="D112" t="s">
        <v>2626</v>
      </c>
      <c r="E112" t="s">
        <v>3168</v>
      </c>
      <c r="F112" t="s">
        <v>34</v>
      </c>
      <c r="G112" t="s">
        <v>2795</v>
      </c>
      <c r="H112" s="8" t="s">
        <v>2600</v>
      </c>
      <c r="J112" s="16" t="s">
        <v>3169</v>
      </c>
      <c r="K112" t="s">
        <v>14</v>
      </c>
      <c r="L112" t="s">
        <v>2660</v>
      </c>
      <c r="M112" s="17">
        <v>0</v>
      </c>
      <c r="N112" s="17">
        <v>500000</v>
      </c>
      <c r="O112" s="17">
        <v>1.164153E-4</v>
      </c>
      <c r="P112" s="76">
        <v>4294967296</v>
      </c>
      <c r="Q112" s="77">
        <v>0.01</v>
      </c>
      <c r="R112" t="s">
        <v>2661</v>
      </c>
    </row>
    <row r="113" spans="1:18" x14ac:dyDescent="0.25">
      <c r="A113" t="s">
        <v>3170</v>
      </c>
      <c r="B113" t="s">
        <v>3168</v>
      </c>
      <c r="C113" t="s">
        <v>3171</v>
      </c>
      <c r="D113" t="s">
        <v>2626</v>
      </c>
      <c r="E113" t="s">
        <v>3168</v>
      </c>
      <c r="F113" t="s">
        <v>34</v>
      </c>
      <c r="G113" t="s">
        <v>2692</v>
      </c>
      <c r="H113" s="8" t="s">
        <v>100</v>
      </c>
      <c r="J113" s="16" t="s">
        <v>3172</v>
      </c>
      <c r="K113" t="s">
        <v>14</v>
      </c>
      <c r="L113" t="s">
        <v>2660</v>
      </c>
      <c r="M113" s="17">
        <v>0</v>
      </c>
      <c r="N113" s="17">
        <v>50000</v>
      </c>
      <c r="O113" s="17">
        <v>1.16415E-5</v>
      </c>
      <c r="P113" s="76">
        <v>4294967296</v>
      </c>
      <c r="Q113" s="77">
        <v>0.01</v>
      </c>
      <c r="R113" t="s">
        <v>2661</v>
      </c>
    </row>
    <row r="114" spans="1:18" x14ac:dyDescent="0.25">
      <c r="A114" t="s">
        <v>3173</v>
      </c>
      <c r="B114" t="s">
        <v>3174</v>
      </c>
      <c r="C114" t="s">
        <v>3175</v>
      </c>
      <c r="D114" t="s">
        <v>2626</v>
      </c>
      <c r="E114" t="s">
        <v>3168</v>
      </c>
      <c r="F114" t="s">
        <v>35</v>
      </c>
      <c r="G114" t="s">
        <v>2692</v>
      </c>
      <c r="H114" s="8" t="s">
        <v>100</v>
      </c>
      <c r="J114" s="16" t="s">
        <v>3176</v>
      </c>
      <c r="K114" t="s">
        <v>14</v>
      </c>
      <c r="L114" t="s">
        <v>2660</v>
      </c>
      <c r="M114" s="17">
        <v>0</v>
      </c>
      <c r="N114" s="17">
        <v>50000</v>
      </c>
      <c r="O114" s="17">
        <v>1.16415E-5</v>
      </c>
      <c r="P114" s="76">
        <v>4294967296</v>
      </c>
      <c r="Q114" s="77">
        <v>0.01</v>
      </c>
      <c r="R114" t="s">
        <v>2661</v>
      </c>
    </row>
    <row r="115" spans="1:18" x14ac:dyDescent="0.25">
      <c r="A115" t="s">
        <v>3177</v>
      </c>
      <c r="B115" t="s">
        <v>3168</v>
      </c>
      <c r="C115" t="s">
        <v>3171</v>
      </c>
      <c r="D115" t="s">
        <v>2626</v>
      </c>
      <c r="E115" t="s">
        <v>3168</v>
      </c>
      <c r="F115" t="s">
        <v>35</v>
      </c>
      <c r="G115" t="s">
        <v>2709</v>
      </c>
      <c r="H115" s="8" t="s">
        <v>71</v>
      </c>
      <c r="J115" s="16" t="s">
        <v>3178</v>
      </c>
      <c r="K115" t="s">
        <v>14</v>
      </c>
      <c r="L115" t="s">
        <v>2660</v>
      </c>
      <c r="M115" s="17">
        <v>0</v>
      </c>
      <c r="N115" s="17">
        <v>50000</v>
      </c>
      <c r="O115" s="17">
        <v>1.16415E-5</v>
      </c>
      <c r="P115" s="76">
        <v>4294967296</v>
      </c>
      <c r="Q115" s="77">
        <v>0.01</v>
      </c>
      <c r="R115" t="s">
        <v>2661</v>
      </c>
    </row>
    <row r="116" spans="1:18" x14ac:dyDescent="0.25">
      <c r="A116" t="s">
        <v>3179</v>
      </c>
      <c r="B116" t="s">
        <v>3168</v>
      </c>
      <c r="C116" t="s">
        <v>3171</v>
      </c>
      <c r="D116" t="s">
        <v>2626</v>
      </c>
      <c r="E116" t="s">
        <v>3168</v>
      </c>
      <c r="F116" t="s">
        <v>35</v>
      </c>
      <c r="G116" t="s">
        <v>2718</v>
      </c>
      <c r="H116" s="8" t="s">
        <v>2606</v>
      </c>
      <c r="J116" s="16" t="s">
        <v>3180</v>
      </c>
      <c r="K116" t="s">
        <v>14</v>
      </c>
      <c r="L116" t="s">
        <v>2660</v>
      </c>
      <c r="M116" s="17">
        <v>0</v>
      </c>
      <c r="N116" s="17">
        <v>1000000</v>
      </c>
      <c r="O116" s="17">
        <v>2.3283059999999999E-4</v>
      </c>
      <c r="P116" s="76">
        <v>4294967296</v>
      </c>
      <c r="Q116" s="77">
        <v>0.01</v>
      </c>
      <c r="R116" t="s">
        <v>2661</v>
      </c>
    </row>
    <row r="117" spans="1:18" x14ac:dyDescent="0.25">
      <c r="A117" t="s">
        <v>3181</v>
      </c>
      <c r="B117" t="s">
        <v>3182</v>
      </c>
      <c r="C117" t="s">
        <v>3183</v>
      </c>
      <c r="D117" t="s">
        <v>2626</v>
      </c>
      <c r="E117" t="s">
        <v>3184</v>
      </c>
      <c r="F117" t="s">
        <v>35</v>
      </c>
      <c r="G117" t="s">
        <v>2718</v>
      </c>
      <c r="H117" s="8" t="s">
        <v>2606</v>
      </c>
      <c r="J117" s="16" t="s">
        <v>3185</v>
      </c>
      <c r="K117" t="s">
        <v>14</v>
      </c>
      <c r="L117" t="s">
        <v>2660</v>
      </c>
      <c r="M117" s="17">
        <v>0</v>
      </c>
      <c r="N117" s="17">
        <v>1000000</v>
      </c>
      <c r="O117" s="17">
        <v>2.3283059999999999E-4</v>
      </c>
      <c r="P117" s="76">
        <v>4294967296</v>
      </c>
      <c r="Q117" s="77">
        <v>0.01</v>
      </c>
      <c r="R117" t="s">
        <v>2661</v>
      </c>
    </row>
    <row r="118" spans="1:18" x14ac:dyDescent="0.25">
      <c r="A118" t="s">
        <v>3186</v>
      </c>
      <c r="B118" t="s">
        <v>3187</v>
      </c>
      <c r="C118" t="s">
        <v>3188</v>
      </c>
      <c r="D118" t="s">
        <v>2626</v>
      </c>
      <c r="E118" t="s">
        <v>3184</v>
      </c>
      <c r="F118" t="s">
        <v>35</v>
      </c>
      <c r="G118" t="s">
        <v>2692</v>
      </c>
      <c r="H118" s="8" t="s">
        <v>100</v>
      </c>
      <c r="J118" s="16" t="s">
        <v>3189</v>
      </c>
      <c r="K118" t="s">
        <v>14</v>
      </c>
      <c r="L118" t="s">
        <v>2660</v>
      </c>
      <c r="M118" s="17">
        <v>0</v>
      </c>
      <c r="N118" s="17">
        <v>50000</v>
      </c>
      <c r="O118" s="17">
        <v>1.16415E-5</v>
      </c>
      <c r="P118" s="76">
        <v>4294967296</v>
      </c>
      <c r="Q118" s="77">
        <v>0.01</v>
      </c>
      <c r="R118" t="s">
        <v>2661</v>
      </c>
    </row>
    <row r="119" spans="1:18" x14ac:dyDescent="0.25">
      <c r="A119" t="s">
        <v>3190</v>
      </c>
      <c r="B119" t="s">
        <v>3184</v>
      </c>
      <c r="C119" t="s">
        <v>3191</v>
      </c>
      <c r="D119" t="s">
        <v>2626</v>
      </c>
      <c r="E119" t="s">
        <v>3184</v>
      </c>
      <c r="F119" t="s">
        <v>35</v>
      </c>
      <c r="G119" t="s">
        <v>2709</v>
      </c>
      <c r="H119" s="8" t="s">
        <v>71</v>
      </c>
      <c r="J119" s="16" t="s">
        <v>3192</v>
      </c>
      <c r="K119" t="s">
        <v>14</v>
      </c>
      <c r="L119" t="s">
        <v>2660</v>
      </c>
      <c r="M119" s="17">
        <v>0</v>
      </c>
      <c r="N119" s="17">
        <v>50000</v>
      </c>
      <c r="O119" s="17">
        <v>1.16415E-5</v>
      </c>
      <c r="P119" s="76">
        <v>4294967296</v>
      </c>
      <c r="Q119" s="77">
        <v>0.01</v>
      </c>
      <c r="R119" t="s">
        <v>2661</v>
      </c>
    </row>
    <row r="120" spans="1:18" x14ac:dyDescent="0.25">
      <c r="A120" t="s">
        <v>3193</v>
      </c>
      <c r="B120" t="s">
        <v>3194</v>
      </c>
      <c r="C120" t="s">
        <v>3195</v>
      </c>
      <c r="D120" t="s">
        <v>2626</v>
      </c>
      <c r="E120" t="s">
        <v>3196</v>
      </c>
      <c r="F120" t="s">
        <v>35</v>
      </c>
      <c r="G120" t="s">
        <v>2692</v>
      </c>
      <c r="H120" s="8" t="s">
        <v>100</v>
      </c>
      <c r="J120" s="16" t="s">
        <v>3197</v>
      </c>
      <c r="K120" t="s">
        <v>14</v>
      </c>
      <c r="L120" t="s">
        <v>2660</v>
      </c>
      <c r="M120" s="17">
        <v>-2147483648</v>
      </c>
      <c r="N120" s="17">
        <v>2147483647</v>
      </c>
      <c r="O120" s="17">
        <v>1</v>
      </c>
      <c r="P120" s="76">
        <v>4294967296</v>
      </c>
      <c r="Q120" s="77">
        <v>0.01</v>
      </c>
      <c r="R120" t="s">
        <v>2661</v>
      </c>
    </row>
    <row r="121" spans="1:18" x14ac:dyDescent="0.25">
      <c r="A121" t="s">
        <v>3198</v>
      </c>
      <c r="B121" t="s">
        <v>3199</v>
      </c>
      <c r="C121" t="s">
        <v>3200</v>
      </c>
      <c r="D121" t="s">
        <v>2626</v>
      </c>
      <c r="E121" t="s">
        <v>3124</v>
      </c>
      <c r="F121" t="s">
        <v>35</v>
      </c>
      <c r="G121" t="s">
        <v>2692</v>
      </c>
      <c r="H121" s="8" t="s">
        <v>100</v>
      </c>
      <c r="J121" s="16" t="s">
        <v>3201</v>
      </c>
      <c r="K121" t="s">
        <v>14</v>
      </c>
      <c r="L121" t="s">
        <v>2660</v>
      </c>
      <c r="M121" s="17">
        <v>-2147483648</v>
      </c>
      <c r="N121" s="17">
        <v>2147483647</v>
      </c>
      <c r="O121" s="17">
        <v>1</v>
      </c>
      <c r="P121" s="76">
        <v>4294967296</v>
      </c>
      <c r="Q121" s="77">
        <v>0.01</v>
      </c>
      <c r="R121" t="s">
        <v>2661</v>
      </c>
    </row>
    <row r="122" spans="1:18" x14ac:dyDescent="0.25">
      <c r="A122" t="s">
        <v>3202</v>
      </c>
      <c r="B122" t="s">
        <v>3203</v>
      </c>
      <c r="C122" t="s">
        <v>3204</v>
      </c>
      <c r="D122" t="s">
        <v>2626</v>
      </c>
      <c r="E122" t="s">
        <v>3124</v>
      </c>
      <c r="F122" t="s">
        <v>35</v>
      </c>
      <c r="G122" t="s">
        <v>3087</v>
      </c>
      <c r="H122" s="8" t="s">
        <v>82</v>
      </c>
      <c r="J122" s="16" t="s">
        <v>3205</v>
      </c>
      <c r="K122" t="s">
        <v>14</v>
      </c>
      <c r="L122" t="s">
        <v>2660</v>
      </c>
      <c r="M122" s="17">
        <v>-2147483648</v>
      </c>
      <c r="N122" s="17">
        <v>2147483647</v>
      </c>
      <c r="O122" s="17">
        <v>1</v>
      </c>
      <c r="P122" s="76">
        <v>4294967296</v>
      </c>
      <c r="Q122" s="77">
        <v>0.01</v>
      </c>
      <c r="R122" t="s">
        <v>2661</v>
      </c>
    </row>
    <row r="123" spans="1:18" x14ac:dyDescent="0.25">
      <c r="A123" t="s">
        <v>3206</v>
      </c>
      <c r="B123" t="s">
        <v>3207</v>
      </c>
      <c r="C123" t="s">
        <v>3208</v>
      </c>
      <c r="D123" t="s">
        <v>2626</v>
      </c>
      <c r="E123" t="s">
        <v>3124</v>
      </c>
      <c r="F123" t="s">
        <v>35</v>
      </c>
      <c r="G123" t="s">
        <v>3087</v>
      </c>
      <c r="H123" s="8" t="s">
        <v>82</v>
      </c>
      <c r="J123" s="16" t="s">
        <v>3209</v>
      </c>
      <c r="K123" t="s">
        <v>14</v>
      </c>
      <c r="L123" t="s">
        <v>2660</v>
      </c>
      <c r="M123" s="17">
        <v>-2147483648</v>
      </c>
      <c r="N123" s="17">
        <v>2147483647</v>
      </c>
      <c r="O123" s="17">
        <v>1</v>
      </c>
      <c r="P123" s="76">
        <v>4294967296</v>
      </c>
      <c r="Q123" s="77">
        <v>0.01</v>
      </c>
      <c r="R123" t="s">
        <v>2661</v>
      </c>
    </row>
    <row r="124" spans="1:18" x14ac:dyDescent="0.25">
      <c r="A124" t="s">
        <v>3210</v>
      </c>
      <c r="B124" t="s">
        <v>3211</v>
      </c>
      <c r="C124" t="s">
        <v>3212</v>
      </c>
      <c r="D124" t="s">
        <v>2626</v>
      </c>
      <c r="E124" t="s">
        <v>3124</v>
      </c>
      <c r="F124" t="s">
        <v>35</v>
      </c>
      <c r="G124" t="s">
        <v>3213</v>
      </c>
      <c r="H124" s="8" t="s">
        <v>2607</v>
      </c>
      <c r="J124" s="16" t="s">
        <v>3214</v>
      </c>
      <c r="K124" t="s">
        <v>14</v>
      </c>
      <c r="L124" t="s">
        <v>2660</v>
      </c>
      <c r="M124" s="17">
        <v>-2147483648</v>
      </c>
      <c r="N124" s="17">
        <v>2147483647</v>
      </c>
      <c r="O124" s="17">
        <v>1</v>
      </c>
      <c r="P124" s="76">
        <v>4294967296</v>
      </c>
      <c r="Q124" s="77">
        <v>0.01</v>
      </c>
      <c r="R124" t="s">
        <v>2661</v>
      </c>
    </row>
    <row r="125" spans="1:18" x14ac:dyDescent="0.25">
      <c r="A125" t="s">
        <v>3215</v>
      </c>
      <c r="B125" t="s">
        <v>3216</v>
      </c>
      <c r="C125" t="s">
        <v>3217</v>
      </c>
      <c r="D125" t="s">
        <v>2626</v>
      </c>
      <c r="E125" t="s">
        <v>3124</v>
      </c>
      <c r="F125" t="s">
        <v>35</v>
      </c>
      <c r="G125" t="s">
        <v>3218</v>
      </c>
      <c r="H125" s="8" t="s">
        <v>2637</v>
      </c>
      <c r="J125" s="16" t="s">
        <v>3219</v>
      </c>
      <c r="K125" t="s">
        <v>14</v>
      </c>
      <c r="L125" t="s">
        <v>2660</v>
      </c>
      <c r="M125" s="17">
        <v>-2147483648</v>
      </c>
      <c r="N125" s="17">
        <v>2147483647</v>
      </c>
      <c r="O125" s="17">
        <v>1</v>
      </c>
      <c r="P125" s="76">
        <v>4294967296</v>
      </c>
      <c r="Q125" s="77">
        <v>0.01</v>
      </c>
      <c r="R125" t="s">
        <v>2661</v>
      </c>
    </row>
    <row r="126" spans="1:18" x14ac:dyDescent="0.25">
      <c r="A126" t="s">
        <v>3220</v>
      </c>
      <c r="B126" t="s">
        <v>3221</v>
      </c>
      <c r="C126" t="s">
        <v>3222</v>
      </c>
      <c r="D126" t="s">
        <v>2626</v>
      </c>
      <c r="E126" t="s">
        <v>3124</v>
      </c>
      <c r="F126" t="s">
        <v>35</v>
      </c>
      <c r="G126" t="s">
        <v>3218</v>
      </c>
      <c r="H126" s="8" t="s">
        <v>2637</v>
      </c>
      <c r="J126" s="16" t="s">
        <v>3223</v>
      </c>
      <c r="K126" t="s">
        <v>14</v>
      </c>
      <c r="L126" t="s">
        <v>2660</v>
      </c>
      <c r="M126" s="17">
        <v>-2147483648</v>
      </c>
      <c r="N126" s="17">
        <v>2147483647</v>
      </c>
      <c r="O126" s="17">
        <v>1</v>
      </c>
      <c r="P126" s="76">
        <v>4294967296</v>
      </c>
      <c r="Q126" s="77">
        <v>0.01</v>
      </c>
      <c r="R126" t="s">
        <v>2661</v>
      </c>
    </row>
    <row r="127" spans="1:18" x14ac:dyDescent="0.25">
      <c r="A127" t="s">
        <v>3224</v>
      </c>
      <c r="B127" t="s">
        <v>3225</v>
      </c>
      <c r="C127" t="s">
        <v>3226</v>
      </c>
      <c r="D127" t="s">
        <v>2626</v>
      </c>
      <c r="E127" t="s">
        <v>3124</v>
      </c>
      <c r="F127" t="s">
        <v>35</v>
      </c>
      <c r="G127" t="s">
        <v>3218</v>
      </c>
      <c r="H127" s="8" t="s">
        <v>2637</v>
      </c>
      <c r="J127" s="16" t="s">
        <v>3227</v>
      </c>
      <c r="K127" t="s">
        <v>14</v>
      </c>
      <c r="L127" t="s">
        <v>2660</v>
      </c>
      <c r="M127" s="17">
        <v>-2147483648</v>
      </c>
      <c r="N127" s="17">
        <v>2147483647</v>
      </c>
      <c r="O127" s="17">
        <v>1</v>
      </c>
      <c r="P127" s="76">
        <v>4294967296</v>
      </c>
      <c r="Q127" s="77">
        <v>0.01</v>
      </c>
      <c r="R127" t="s">
        <v>2661</v>
      </c>
    </row>
    <row r="128" spans="1:18" x14ac:dyDescent="0.25">
      <c r="A128" t="s">
        <v>3228</v>
      </c>
      <c r="B128" t="s">
        <v>3229</v>
      </c>
      <c r="C128" t="s">
        <v>3230</v>
      </c>
      <c r="D128" t="s">
        <v>2626</v>
      </c>
      <c r="E128" t="s">
        <v>3124</v>
      </c>
      <c r="F128" t="s">
        <v>35</v>
      </c>
      <c r="G128" t="s">
        <v>3218</v>
      </c>
      <c r="H128" s="8" t="s">
        <v>2637</v>
      </c>
      <c r="J128" s="16" t="s">
        <v>3231</v>
      </c>
      <c r="K128" t="s">
        <v>14</v>
      </c>
      <c r="L128" t="s">
        <v>2660</v>
      </c>
      <c r="M128" s="17">
        <v>-2147483648</v>
      </c>
      <c r="N128" s="17">
        <v>2147483647</v>
      </c>
      <c r="O128" s="17">
        <v>1</v>
      </c>
      <c r="P128" s="76">
        <v>4294967296</v>
      </c>
      <c r="Q128" s="77">
        <v>0.01</v>
      </c>
      <c r="R128" t="s">
        <v>2661</v>
      </c>
    </row>
    <row r="129" spans="1:18" x14ac:dyDescent="0.25">
      <c r="A129" t="s">
        <v>3232</v>
      </c>
      <c r="B129" t="s">
        <v>3233</v>
      </c>
      <c r="C129" t="s">
        <v>3234</v>
      </c>
      <c r="D129" t="s">
        <v>2626</v>
      </c>
      <c r="E129" t="s">
        <v>3124</v>
      </c>
      <c r="F129" t="s">
        <v>35</v>
      </c>
      <c r="G129" t="s">
        <v>3218</v>
      </c>
      <c r="H129" s="8" t="s">
        <v>2637</v>
      </c>
      <c r="J129" s="16" t="s">
        <v>3235</v>
      </c>
      <c r="K129" t="s">
        <v>14</v>
      </c>
      <c r="L129" t="s">
        <v>2660</v>
      </c>
      <c r="M129" s="17">
        <v>-2147483648</v>
      </c>
      <c r="N129" s="17">
        <v>2147483647</v>
      </c>
      <c r="O129" s="17">
        <v>1</v>
      </c>
      <c r="P129" s="76">
        <v>4294967296</v>
      </c>
      <c r="Q129" s="77">
        <v>0.01</v>
      </c>
      <c r="R129" t="s">
        <v>2661</v>
      </c>
    </row>
    <row r="130" spans="1:18" x14ac:dyDescent="0.25">
      <c r="A130" t="s">
        <v>3236</v>
      </c>
      <c r="B130" t="s">
        <v>3237</v>
      </c>
      <c r="C130" t="s">
        <v>3238</v>
      </c>
      <c r="D130" t="s">
        <v>2626</v>
      </c>
      <c r="E130" t="s">
        <v>3124</v>
      </c>
      <c r="F130" t="s">
        <v>35</v>
      </c>
      <c r="G130" t="s">
        <v>2763</v>
      </c>
      <c r="H130" s="8" t="s">
        <v>1679</v>
      </c>
      <c r="J130" s="16" t="s">
        <v>3239</v>
      </c>
      <c r="K130" t="s">
        <v>14</v>
      </c>
      <c r="L130" t="s">
        <v>2660</v>
      </c>
      <c r="M130" s="17">
        <v>-2147483648</v>
      </c>
      <c r="N130" s="17">
        <v>2147483647</v>
      </c>
      <c r="O130" s="17">
        <v>1</v>
      </c>
      <c r="P130" s="76">
        <v>4294967296</v>
      </c>
      <c r="Q130" s="77">
        <v>0.01</v>
      </c>
      <c r="R130" t="s">
        <v>2661</v>
      </c>
    </row>
    <row r="131" spans="1:18" x14ac:dyDescent="0.25">
      <c r="A131" t="s">
        <v>3240</v>
      </c>
      <c r="B131" t="s">
        <v>3122</v>
      </c>
      <c r="C131" t="s">
        <v>3123</v>
      </c>
      <c r="D131" t="s">
        <v>2791</v>
      </c>
      <c r="E131" t="s">
        <v>3241</v>
      </c>
      <c r="F131" t="s">
        <v>35</v>
      </c>
      <c r="G131" t="s">
        <v>2671</v>
      </c>
      <c r="H131" s="8" t="s">
        <v>113</v>
      </c>
      <c r="J131" s="16" t="s">
        <v>3281</v>
      </c>
      <c r="K131" t="s">
        <v>14</v>
      </c>
      <c r="L131" t="s">
        <v>2660</v>
      </c>
      <c r="M131" s="17">
        <v>0</v>
      </c>
      <c r="N131" s="17">
        <v>1</v>
      </c>
      <c r="O131" s="17">
        <v>2.0000000000000001E-10</v>
      </c>
      <c r="P131" s="76">
        <v>4294967296</v>
      </c>
      <c r="Q131" s="77">
        <v>0.01</v>
      </c>
      <c r="R131" t="s">
        <v>2661</v>
      </c>
    </row>
    <row r="132" spans="1:18" x14ac:dyDescent="0.25">
      <c r="A132" t="s">
        <v>3242</v>
      </c>
      <c r="B132" t="s">
        <v>3243</v>
      </c>
      <c r="C132" t="s">
        <v>3244</v>
      </c>
      <c r="D132" t="s">
        <v>2791</v>
      </c>
      <c r="E132" t="s">
        <v>3241</v>
      </c>
      <c r="F132" t="s">
        <v>35</v>
      </c>
      <c r="G132" t="s">
        <v>2671</v>
      </c>
      <c r="H132" s="8" t="s">
        <v>113</v>
      </c>
      <c r="J132" s="16" t="s">
        <v>3279</v>
      </c>
      <c r="K132" t="s">
        <v>14</v>
      </c>
      <c r="L132" t="s">
        <v>2660</v>
      </c>
      <c r="M132" s="17">
        <v>-128</v>
      </c>
      <c r="N132" s="17">
        <v>127</v>
      </c>
      <c r="O132" s="17">
        <v>0.99609375</v>
      </c>
      <c r="P132" s="76">
        <v>256</v>
      </c>
      <c r="Q132" s="77">
        <v>0.01</v>
      </c>
      <c r="R132" t="s">
        <v>2661</v>
      </c>
    </row>
    <row r="133" spans="1:18" x14ac:dyDescent="0.25">
      <c r="A133" t="s">
        <v>3245</v>
      </c>
      <c r="B133" t="s">
        <v>3122</v>
      </c>
      <c r="C133" t="s">
        <v>3123</v>
      </c>
      <c r="D133" t="s">
        <v>2626</v>
      </c>
      <c r="E133" t="s">
        <v>3124</v>
      </c>
      <c r="F133" t="s">
        <v>35</v>
      </c>
      <c r="G133" t="s">
        <v>2709</v>
      </c>
      <c r="H133" s="8" t="s">
        <v>71</v>
      </c>
      <c r="J133" s="16" t="s">
        <v>3246</v>
      </c>
      <c r="K133" t="s">
        <v>14</v>
      </c>
      <c r="L133" t="s">
        <v>2660</v>
      </c>
      <c r="M133" s="17">
        <v>-2147483648</v>
      </c>
      <c r="N133" s="17">
        <v>2147483647</v>
      </c>
      <c r="O133" s="17">
        <v>1</v>
      </c>
      <c r="P133" s="76">
        <v>4294967296</v>
      </c>
      <c r="Q133" s="77">
        <v>0.01</v>
      </c>
      <c r="R133" t="s">
        <v>2661</v>
      </c>
    </row>
    <row r="134" spans="1:18" x14ac:dyDescent="0.25">
      <c r="A134" t="s">
        <v>3133</v>
      </c>
      <c r="B134" t="s">
        <v>3134</v>
      </c>
      <c r="C134" t="s">
        <v>3135</v>
      </c>
      <c r="D134" t="s">
        <v>2626</v>
      </c>
      <c r="E134" t="s">
        <v>3131</v>
      </c>
      <c r="F134" t="s">
        <v>34</v>
      </c>
      <c r="G134" t="s">
        <v>2796</v>
      </c>
      <c r="H134" s="8" t="s">
        <v>96</v>
      </c>
      <c r="J134" s="16" t="s">
        <v>3247</v>
      </c>
      <c r="K134" t="s">
        <v>14</v>
      </c>
      <c r="L134" t="s">
        <v>2660</v>
      </c>
      <c r="M134" s="17">
        <v>-273.14999999999998</v>
      </c>
      <c r="N134" s="17">
        <v>1500</v>
      </c>
      <c r="O134" s="17">
        <v>6.7089999999999996E-6</v>
      </c>
      <c r="P134" s="76">
        <v>4294967296</v>
      </c>
      <c r="Q134" s="77">
        <v>0.01</v>
      </c>
      <c r="R134" t="s">
        <v>2661</v>
      </c>
    </row>
    <row r="135" spans="1:18" x14ac:dyDescent="0.25">
      <c r="A135" t="s">
        <v>3282</v>
      </c>
      <c r="B135" t="s">
        <v>3283</v>
      </c>
      <c r="C135" t="s">
        <v>3284</v>
      </c>
      <c r="D135" t="s">
        <v>2723</v>
      </c>
      <c r="E135" t="s">
        <v>2724</v>
      </c>
      <c r="F135" t="s">
        <v>35</v>
      </c>
      <c r="G135" t="s">
        <v>2708</v>
      </c>
      <c r="H135" s="8" t="s">
        <v>113</v>
      </c>
      <c r="J135" s="16" t="s">
        <v>3285</v>
      </c>
      <c r="K135" t="s">
        <v>14</v>
      </c>
      <c r="L135" t="s">
        <v>2660</v>
      </c>
      <c r="M135" s="17">
        <v>0</v>
      </c>
      <c r="N135" s="17">
        <v>10</v>
      </c>
      <c r="O135" s="17">
        <v>2.2999999999999999E-9</v>
      </c>
      <c r="P135" s="76">
        <v>4294967296</v>
      </c>
      <c r="Q135" s="77">
        <v>0.02</v>
      </c>
      <c r="R135" t="s">
        <v>2661</v>
      </c>
    </row>
    <row r="136" spans="1:18" x14ac:dyDescent="0.25">
      <c r="A136" t="s">
        <v>3286</v>
      </c>
      <c r="B136" t="s">
        <v>3287</v>
      </c>
      <c r="C136" t="s">
        <v>3288</v>
      </c>
      <c r="D136" t="s">
        <v>2723</v>
      </c>
      <c r="E136" t="s">
        <v>2724</v>
      </c>
      <c r="F136" t="s">
        <v>35</v>
      </c>
      <c r="G136" t="s">
        <v>2658</v>
      </c>
      <c r="H136" s="8" t="s">
        <v>3068</v>
      </c>
      <c r="J136" s="16" t="s">
        <v>3289</v>
      </c>
      <c r="K136" t="s">
        <v>14</v>
      </c>
      <c r="L136" t="s">
        <v>2660</v>
      </c>
      <c r="M136" s="17">
        <v>0</v>
      </c>
      <c r="N136" s="17">
        <v>500</v>
      </c>
      <c r="O136" s="17">
        <v>1.164E-7</v>
      </c>
      <c r="P136" s="76">
        <v>4294967296</v>
      </c>
      <c r="Q136" s="77">
        <v>0.02</v>
      </c>
      <c r="R136" t="s">
        <v>2661</v>
      </c>
    </row>
    <row r="137" spans="1:18" x14ac:dyDescent="0.25">
      <c r="A137" t="s">
        <v>3290</v>
      </c>
      <c r="B137" t="s">
        <v>3291</v>
      </c>
      <c r="C137" t="s">
        <v>3292</v>
      </c>
      <c r="D137" t="s">
        <v>2723</v>
      </c>
      <c r="E137" t="s">
        <v>2724</v>
      </c>
      <c r="F137" t="s">
        <v>35</v>
      </c>
      <c r="G137" t="s">
        <v>2658</v>
      </c>
      <c r="H137" s="8" t="s">
        <v>3068</v>
      </c>
      <c r="J137" s="16" t="s">
        <v>3293</v>
      </c>
      <c r="K137" t="s">
        <v>14</v>
      </c>
      <c r="L137" t="s">
        <v>2660</v>
      </c>
      <c r="M137" s="17">
        <v>0</v>
      </c>
      <c r="N137" s="17">
        <v>500</v>
      </c>
      <c r="O137" s="17">
        <v>1.164E-7</v>
      </c>
      <c r="P137" s="76">
        <v>4294967296</v>
      </c>
      <c r="Q137" s="77">
        <v>0.02</v>
      </c>
      <c r="R137" t="s">
        <v>2661</v>
      </c>
    </row>
    <row r="138" spans="1:18" x14ac:dyDescent="0.25">
      <c r="A138" t="s">
        <v>3294</v>
      </c>
      <c r="B138" t="s">
        <v>3294</v>
      </c>
      <c r="C138" t="s">
        <v>3295</v>
      </c>
      <c r="D138" t="s">
        <v>2665</v>
      </c>
      <c r="E138" t="s">
        <v>2665</v>
      </c>
      <c r="F138" t="s">
        <v>35</v>
      </c>
      <c r="G138" t="s">
        <v>2707</v>
      </c>
      <c r="H138" s="8" t="s">
        <v>79</v>
      </c>
      <c r="J138" s="16" t="s">
        <v>3296</v>
      </c>
      <c r="K138" t="s">
        <v>14</v>
      </c>
      <c r="L138" t="s">
        <v>2660</v>
      </c>
      <c r="M138" s="17">
        <v>0</v>
      </c>
      <c r="N138" s="17">
        <v>100</v>
      </c>
      <c r="O138" s="17">
        <v>2.33E-8</v>
      </c>
      <c r="P138" s="76">
        <v>4294967296</v>
      </c>
      <c r="Q138" s="77">
        <v>0.01</v>
      </c>
      <c r="R138" t="s">
        <v>2661</v>
      </c>
    </row>
    <row r="139" spans="1:18" x14ac:dyDescent="0.25">
      <c r="A139" t="s">
        <v>2668</v>
      </c>
      <c r="B139" t="s">
        <v>2668</v>
      </c>
      <c r="C139" t="s">
        <v>2669</v>
      </c>
      <c r="D139" t="s">
        <v>2665</v>
      </c>
      <c r="E139" t="s">
        <v>2665</v>
      </c>
      <c r="F139" t="s">
        <v>35</v>
      </c>
      <c r="G139" t="s">
        <v>2707</v>
      </c>
      <c r="H139" s="8" t="s">
        <v>79</v>
      </c>
      <c r="J139" s="16" t="s">
        <v>3297</v>
      </c>
      <c r="K139" t="s">
        <v>14</v>
      </c>
      <c r="L139" t="s">
        <v>2660</v>
      </c>
      <c r="M139" s="17">
        <v>0</v>
      </c>
      <c r="N139" s="17">
        <v>100</v>
      </c>
      <c r="O139" s="17">
        <v>2.33E-8</v>
      </c>
      <c r="P139" s="76">
        <v>4294967296</v>
      </c>
      <c r="Q139" s="77">
        <v>0.01</v>
      </c>
      <c r="R139" t="s">
        <v>2661</v>
      </c>
    </row>
    <row r="140" spans="1:18" x14ac:dyDescent="0.25">
      <c r="A140" t="s">
        <v>3298</v>
      </c>
      <c r="B140" t="s">
        <v>3299</v>
      </c>
      <c r="C140" t="s">
        <v>3300</v>
      </c>
      <c r="D140" t="s">
        <v>2665</v>
      </c>
      <c r="E140" t="s">
        <v>2665</v>
      </c>
      <c r="F140" t="s">
        <v>35</v>
      </c>
      <c r="G140" t="s">
        <v>2671</v>
      </c>
      <c r="H140" s="8" t="s">
        <v>113</v>
      </c>
      <c r="J140" s="16" t="s">
        <v>3301</v>
      </c>
      <c r="K140" t="s">
        <v>14</v>
      </c>
      <c r="L140" t="s">
        <v>2660</v>
      </c>
      <c r="M140" s="17">
        <v>0</v>
      </c>
      <c r="N140" s="17">
        <v>1</v>
      </c>
      <c r="O140" s="17">
        <v>2.0000000000000001E-10</v>
      </c>
      <c r="P140" s="76">
        <v>4294967296</v>
      </c>
      <c r="Q140" s="77">
        <v>0.01</v>
      </c>
      <c r="R140" t="s">
        <v>2661</v>
      </c>
    </row>
    <row r="141" spans="1:18" x14ac:dyDescent="0.25">
      <c r="A141" t="s">
        <v>3302</v>
      </c>
      <c r="B141" t="s">
        <v>3303</v>
      </c>
      <c r="C141" t="s">
        <v>3304</v>
      </c>
      <c r="D141" t="s">
        <v>2665</v>
      </c>
      <c r="E141" t="s">
        <v>2665</v>
      </c>
      <c r="F141" t="s">
        <v>35</v>
      </c>
      <c r="G141" t="s">
        <v>2671</v>
      </c>
      <c r="H141" s="8" t="s">
        <v>113</v>
      </c>
      <c r="J141" s="16" t="s">
        <v>3305</v>
      </c>
      <c r="K141" t="s">
        <v>14</v>
      </c>
      <c r="L141" t="s">
        <v>2660</v>
      </c>
      <c r="M141" s="17">
        <v>0</v>
      </c>
      <c r="N141" s="17">
        <v>1</v>
      </c>
      <c r="O141" s="17">
        <v>2.0000000000000001E-10</v>
      </c>
      <c r="P141" s="76">
        <v>4294967296</v>
      </c>
      <c r="Q141" s="77">
        <v>0.01</v>
      </c>
      <c r="R141" t="s">
        <v>2661</v>
      </c>
    </row>
    <row r="142" spans="1:18" x14ac:dyDescent="0.25">
      <c r="A142" t="s">
        <v>2670</v>
      </c>
      <c r="B142" t="s">
        <v>3283</v>
      </c>
      <c r="C142" t="s">
        <v>3284</v>
      </c>
      <c r="D142" t="s">
        <v>2665</v>
      </c>
      <c r="E142" t="s">
        <v>2665</v>
      </c>
      <c r="F142" t="s">
        <v>35</v>
      </c>
      <c r="G142" t="s">
        <v>2671</v>
      </c>
      <c r="H142" s="8" t="s">
        <v>113</v>
      </c>
      <c r="J142" s="16" t="s">
        <v>3306</v>
      </c>
      <c r="K142" t="s">
        <v>14</v>
      </c>
      <c r="L142" t="s">
        <v>2660</v>
      </c>
      <c r="M142" s="17">
        <v>0</v>
      </c>
      <c r="N142" s="17">
        <v>1</v>
      </c>
      <c r="O142" s="17">
        <v>2.0000000000000001E-10</v>
      </c>
      <c r="P142" s="76">
        <v>4294967296</v>
      </c>
      <c r="Q142" s="77">
        <v>0.01</v>
      </c>
      <c r="R142" t="s">
        <v>2661</v>
      </c>
    </row>
    <row r="143" spans="1:18" x14ac:dyDescent="0.25">
      <c r="A143" t="s">
        <v>3307</v>
      </c>
      <c r="B143" t="s">
        <v>3308</v>
      </c>
      <c r="C143" t="s">
        <v>3309</v>
      </c>
      <c r="D143" t="s">
        <v>2665</v>
      </c>
      <c r="E143" t="s">
        <v>2665</v>
      </c>
      <c r="F143" t="s">
        <v>35</v>
      </c>
      <c r="G143" t="s">
        <v>2658</v>
      </c>
      <c r="H143" s="8" t="s">
        <v>3068</v>
      </c>
      <c r="J143" s="16" t="s">
        <v>3310</v>
      </c>
      <c r="K143" t="s">
        <v>14</v>
      </c>
      <c r="L143" t="s">
        <v>2660</v>
      </c>
      <c r="M143" s="17">
        <v>0</v>
      </c>
      <c r="N143" s="17">
        <v>250</v>
      </c>
      <c r="O143" s="17">
        <v>5.8199999999999998E-8</v>
      </c>
      <c r="P143" s="76">
        <v>4294967296</v>
      </c>
      <c r="Q143" s="77">
        <v>0.01</v>
      </c>
      <c r="R143" t="s">
        <v>2661</v>
      </c>
    </row>
    <row r="144" spans="1:18" x14ac:dyDescent="0.25">
      <c r="A144" t="s">
        <v>3311</v>
      </c>
      <c r="B144" t="s">
        <v>3312</v>
      </c>
      <c r="C144" t="s">
        <v>3313</v>
      </c>
      <c r="D144" t="s">
        <v>2665</v>
      </c>
      <c r="E144" t="s">
        <v>2665</v>
      </c>
      <c r="F144" t="s">
        <v>35</v>
      </c>
      <c r="G144" t="s">
        <v>2671</v>
      </c>
      <c r="H144" s="8" t="s">
        <v>113</v>
      </c>
      <c r="J144" s="16" t="s">
        <v>3314</v>
      </c>
      <c r="K144" t="s">
        <v>14</v>
      </c>
      <c r="L144" t="s">
        <v>2660</v>
      </c>
      <c r="M144" s="17">
        <v>0</v>
      </c>
      <c r="N144" s="17">
        <v>1</v>
      </c>
      <c r="O144" s="17">
        <v>2.0000000000000001E-10</v>
      </c>
      <c r="P144" s="76">
        <v>4294967296</v>
      </c>
      <c r="Q144" s="77">
        <v>0.01</v>
      </c>
      <c r="R144" t="s">
        <v>2661</v>
      </c>
    </row>
    <row r="145" spans="1:18" x14ac:dyDescent="0.25">
      <c r="A145" t="s">
        <v>3315</v>
      </c>
      <c r="B145" t="s">
        <v>3316</v>
      </c>
      <c r="C145" t="s">
        <v>3317</v>
      </c>
      <c r="D145" t="s">
        <v>2665</v>
      </c>
      <c r="E145" t="s">
        <v>2665</v>
      </c>
      <c r="F145" t="s">
        <v>35</v>
      </c>
      <c r="G145" t="s">
        <v>2658</v>
      </c>
      <c r="H145" s="8" t="s">
        <v>3068</v>
      </c>
      <c r="J145" s="16" t="s">
        <v>3318</v>
      </c>
      <c r="K145" t="s">
        <v>14</v>
      </c>
      <c r="L145" t="s">
        <v>2660</v>
      </c>
      <c r="M145" s="17">
        <v>0</v>
      </c>
      <c r="N145" s="17">
        <v>250</v>
      </c>
      <c r="O145" s="17">
        <v>5.8199999999999998E-8</v>
      </c>
      <c r="P145" s="76">
        <v>4294967296</v>
      </c>
      <c r="Q145" s="77">
        <v>0.01</v>
      </c>
      <c r="R145" t="s">
        <v>2661</v>
      </c>
    </row>
    <row r="146" spans="1:18" x14ac:dyDescent="0.25">
      <c r="A146" t="s">
        <v>3319</v>
      </c>
      <c r="B146" t="s">
        <v>2616</v>
      </c>
      <c r="C146" t="s">
        <v>2617</v>
      </c>
      <c r="D146" t="s">
        <v>2676</v>
      </c>
      <c r="E146" t="s">
        <v>2676</v>
      </c>
      <c r="F146" t="s">
        <v>35</v>
      </c>
      <c r="G146" t="s">
        <v>2763</v>
      </c>
      <c r="H146" s="8" t="s">
        <v>1679</v>
      </c>
      <c r="J146" s="16" t="s">
        <v>3320</v>
      </c>
      <c r="K146" t="s">
        <v>14</v>
      </c>
      <c r="L146" t="s">
        <v>2660</v>
      </c>
      <c r="M146" s="17">
        <v>0</v>
      </c>
      <c r="N146" s="17">
        <v>500000</v>
      </c>
      <c r="O146" s="17">
        <v>1.164153E-4</v>
      </c>
      <c r="P146" s="76">
        <v>4294967296</v>
      </c>
      <c r="Q146" s="77">
        <v>0.01</v>
      </c>
      <c r="R146" t="s">
        <v>2661</v>
      </c>
    </row>
    <row r="147" spans="1:18" x14ac:dyDescent="0.25">
      <c r="A147" t="s">
        <v>3321</v>
      </c>
      <c r="B147" t="s">
        <v>2616</v>
      </c>
      <c r="C147" t="s">
        <v>2617</v>
      </c>
      <c r="D147" t="s">
        <v>2676</v>
      </c>
      <c r="E147" t="s">
        <v>2676</v>
      </c>
      <c r="F147" t="s">
        <v>35</v>
      </c>
      <c r="G147" t="s">
        <v>2796</v>
      </c>
      <c r="H147" s="8" t="s">
        <v>96</v>
      </c>
      <c r="J147" s="16" t="s">
        <v>3322</v>
      </c>
      <c r="K147" t="s">
        <v>14</v>
      </c>
      <c r="L147" t="s">
        <v>2660</v>
      </c>
      <c r="M147" s="17">
        <v>-500</v>
      </c>
      <c r="N147" s="17">
        <v>500</v>
      </c>
      <c r="O147" s="17">
        <v>2.3279999999999999E-7</v>
      </c>
      <c r="P147" s="76">
        <v>4294967296</v>
      </c>
      <c r="Q147" s="77">
        <v>0.01</v>
      </c>
      <c r="R147" t="s">
        <v>2661</v>
      </c>
    </row>
    <row r="148" spans="1:18" x14ac:dyDescent="0.25">
      <c r="A148" t="s">
        <v>3329</v>
      </c>
      <c r="B148" t="s">
        <v>3323</v>
      </c>
      <c r="C148" t="s">
        <v>3324</v>
      </c>
      <c r="D148" t="s">
        <v>2799</v>
      </c>
      <c r="E148" t="s">
        <v>2799</v>
      </c>
      <c r="F148" t="s">
        <v>35</v>
      </c>
      <c r="G148" t="s">
        <v>2763</v>
      </c>
      <c r="H148" s="8" t="s">
        <v>1679</v>
      </c>
      <c r="J148" s="16" t="s">
        <v>3325</v>
      </c>
      <c r="K148" t="s">
        <v>14</v>
      </c>
      <c r="L148" t="s">
        <v>2660</v>
      </c>
      <c r="M148" s="17">
        <v>0</v>
      </c>
      <c r="N148" s="17">
        <v>1000000</v>
      </c>
      <c r="O148" s="17">
        <v>2.3283059999999999E-4</v>
      </c>
      <c r="P148" s="76">
        <v>4294967296</v>
      </c>
      <c r="Q148" s="77">
        <v>1E-3</v>
      </c>
      <c r="R148" t="s">
        <v>2661</v>
      </c>
    </row>
    <row r="149" spans="1:18" x14ac:dyDescent="0.25">
      <c r="A149" t="s">
        <v>3330</v>
      </c>
      <c r="B149" t="s">
        <v>3326</v>
      </c>
      <c r="C149" t="s">
        <v>3327</v>
      </c>
      <c r="D149" t="s">
        <v>2799</v>
      </c>
      <c r="E149" t="s">
        <v>2799</v>
      </c>
      <c r="F149" t="s">
        <v>35</v>
      </c>
      <c r="G149" t="s">
        <v>2763</v>
      </c>
      <c r="H149" s="8" t="s">
        <v>1679</v>
      </c>
      <c r="J149" s="16" t="s">
        <v>3328</v>
      </c>
      <c r="K149" t="s">
        <v>14</v>
      </c>
      <c r="L149" t="s">
        <v>2660</v>
      </c>
      <c r="M149" s="17">
        <v>0</v>
      </c>
      <c r="N149" s="17">
        <v>1000000</v>
      </c>
      <c r="O149" s="17">
        <v>2.3283059999999999E-4</v>
      </c>
      <c r="P149" s="76">
        <v>4294967296</v>
      </c>
      <c r="Q149" s="77">
        <v>1E-3</v>
      </c>
      <c r="R149" t="s">
        <v>2661</v>
      </c>
    </row>
    <row r="150" spans="1:18" x14ac:dyDescent="0.25">
      <c r="A150" t="s">
        <v>3331</v>
      </c>
      <c r="B150" t="s">
        <v>3332</v>
      </c>
      <c r="C150" t="s">
        <v>3333</v>
      </c>
      <c r="D150" t="s">
        <v>2799</v>
      </c>
      <c r="E150" t="s">
        <v>2799</v>
      </c>
      <c r="F150" t="s">
        <v>35</v>
      </c>
      <c r="G150" t="s">
        <v>2763</v>
      </c>
      <c r="H150" s="8" t="s">
        <v>1679</v>
      </c>
      <c r="J150" s="16" t="s">
        <v>3334</v>
      </c>
      <c r="K150" t="s">
        <v>14</v>
      </c>
      <c r="L150" t="s">
        <v>2660</v>
      </c>
      <c r="M150" s="17">
        <v>0</v>
      </c>
      <c r="N150" s="17">
        <v>1000000</v>
      </c>
      <c r="O150" s="17">
        <v>2.3283059999999999E-4</v>
      </c>
      <c r="P150" s="76">
        <v>4294967296</v>
      </c>
      <c r="Q150" s="77">
        <v>1E-3</v>
      </c>
      <c r="R150" t="s">
        <v>2661</v>
      </c>
    </row>
    <row r="151" spans="1:18" x14ac:dyDescent="0.25">
      <c r="A151" t="s">
        <v>3335</v>
      </c>
      <c r="B151" t="s">
        <v>3332</v>
      </c>
      <c r="C151" t="s">
        <v>3333</v>
      </c>
      <c r="D151" t="s">
        <v>2799</v>
      </c>
      <c r="E151" t="s">
        <v>2799</v>
      </c>
      <c r="F151" t="s">
        <v>35</v>
      </c>
      <c r="G151" t="s">
        <v>2796</v>
      </c>
      <c r="H151" s="8" t="s">
        <v>96</v>
      </c>
      <c r="J151" s="16" t="s">
        <v>3336</v>
      </c>
      <c r="K151" t="s">
        <v>14</v>
      </c>
      <c r="L151" t="s">
        <v>2660</v>
      </c>
      <c r="M151" s="17">
        <v>-250</v>
      </c>
      <c r="N151" s="17">
        <v>1000</v>
      </c>
      <c r="O151" s="17">
        <v>2.91E-7</v>
      </c>
      <c r="P151" s="76">
        <v>4294967296</v>
      </c>
      <c r="Q151" s="77">
        <v>1E-3</v>
      </c>
      <c r="R151" t="s">
        <v>2661</v>
      </c>
    </row>
    <row r="152" spans="1:18" x14ac:dyDescent="0.25">
      <c r="A152" t="s">
        <v>3337</v>
      </c>
      <c r="B152" t="s">
        <v>3338</v>
      </c>
      <c r="C152" t="s">
        <v>3339</v>
      </c>
      <c r="D152" t="s">
        <v>2799</v>
      </c>
      <c r="E152" t="s">
        <v>2799</v>
      </c>
      <c r="F152" t="s">
        <v>35</v>
      </c>
      <c r="G152" t="s">
        <v>2796</v>
      </c>
      <c r="H152" s="8" t="s">
        <v>96</v>
      </c>
      <c r="J152" s="16" t="s">
        <v>3340</v>
      </c>
      <c r="K152" t="s">
        <v>14</v>
      </c>
      <c r="L152" t="s">
        <v>2660</v>
      </c>
      <c r="M152" s="17">
        <v>-250</v>
      </c>
      <c r="N152" s="17">
        <v>1000</v>
      </c>
      <c r="O152" s="17">
        <v>2.91E-7</v>
      </c>
      <c r="P152" s="76">
        <v>4294967296</v>
      </c>
      <c r="Q152" s="77">
        <v>1E-3</v>
      </c>
      <c r="R152" t="s">
        <v>2661</v>
      </c>
    </row>
    <row r="153" spans="1:18" x14ac:dyDescent="0.25">
      <c r="A153" t="s">
        <v>3341</v>
      </c>
      <c r="B153" t="s">
        <v>1056</v>
      </c>
      <c r="C153" t="s">
        <v>1057</v>
      </c>
      <c r="D153" t="s">
        <v>2799</v>
      </c>
      <c r="E153" t="s">
        <v>2799</v>
      </c>
      <c r="F153" t="s">
        <v>35</v>
      </c>
      <c r="G153" t="s">
        <v>2796</v>
      </c>
      <c r="H153" s="8" t="s">
        <v>96</v>
      </c>
      <c r="J153" s="16" t="s">
        <v>3342</v>
      </c>
      <c r="K153" t="s">
        <v>14</v>
      </c>
      <c r="L153" t="s">
        <v>2660</v>
      </c>
      <c r="M153" s="17">
        <v>-250</v>
      </c>
      <c r="N153" s="17">
        <v>1000</v>
      </c>
      <c r="O153" s="17">
        <v>2.91E-7</v>
      </c>
      <c r="P153" s="76">
        <v>4294967296</v>
      </c>
      <c r="Q153" s="77">
        <v>1E-3</v>
      </c>
      <c r="R153" t="s">
        <v>2661</v>
      </c>
    </row>
    <row r="154" spans="1:18" x14ac:dyDescent="0.25">
      <c r="A154" t="s">
        <v>3343</v>
      </c>
      <c r="B154" t="s">
        <v>1614</v>
      </c>
      <c r="C154" t="s">
        <v>1614</v>
      </c>
      <c r="D154" t="s">
        <v>2799</v>
      </c>
      <c r="E154" t="s">
        <v>2799</v>
      </c>
      <c r="F154" t="s">
        <v>35</v>
      </c>
      <c r="G154" t="s">
        <v>2796</v>
      </c>
      <c r="H154" s="8" t="s">
        <v>96</v>
      </c>
      <c r="J154" s="16" t="s">
        <v>3344</v>
      </c>
      <c r="K154" t="s">
        <v>14</v>
      </c>
      <c r="L154" t="s">
        <v>2660</v>
      </c>
      <c r="M154" s="17">
        <v>-250</v>
      </c>
      <c r="N154" s="17">
        <v>1000</v>
      </c>
      <c r="O154" s="17">
        <v>2.91E-7</v>
      </c>
      <c r="P154" s="76">
        <v>4294967296</v>
      </c>
      <c r="Q154" s="77">
        <v>1E-3</v>
      </c>
      <c r="R154" t="s">
        <v>2661</v>
      </c>
    </row>
    <row r="155" spans="1:18" x14ac:dyDescent="0.25">
      <c r="A155" t="s">
        <v>3345</v>
      </c>
      <c r="B155" t="s">
        <v>3346</v>
      </c>
      <c r="C155" t="s">
        <v>2476</v>
      </c>
      <c r="D155" t="s">
        <v>2685</v>
      </c>
      <c r="E155" t="s">
        <v>2686</v>
      </c>
      <c r="F155" t="s">
        <v>35</v>
      </c>
      <c r="G155" t="s">
        <v>3347</v>
      </c>
      <c r="H155" s="8" t="s">
        <v>2603</v>
      </c>
      <c r="J155" s="16" t="s">
        <v>3348</v>
      </c>
      <c r="K155" t="s">
        <v>14</v>
      </c>
      <c r="L155" t="s">
        <v>2660</v>
      </c>
      <c r="M155" s="17">
        <v>-2000</v>
      </c>
      <c r="N155" s="17">
        <v>2000</v>
      </c>
      <c r="O155" s="17">
        <v>9.3129999999999998E-7</v>
      </c>
      <c r="P155" s="76">
        <v>4294967296</v>
      </c>
      <c r="Q155" s="77">
        <v>0.01</v>
      </c>
      <c r="R155" t="s">
        <v>2661</v>
      </c>
    </row>
    <row r="156" spans="1:18" x14ac:dyDescent="0.25">
      <c r="A156" t="s">
        <v>3349</v>
      </c>
      <c r="B156" t="s">
        <v>3350</v>
      </c>
      <c r="C156" t="s">
        <v>3351</v>
      </c>
      <c r="D156" t="s">
        <v>2685</v>
      </c>
      <c r="E156" t="s">
        <v>2686</v>
      </c>
      <c r="F156" t="s">
        <v>35</v>
      </c>
      <c r="G156" t="s">
        <v>2816</v>
      </c>
      <c r="H156" s="8" t="s">
        <v>66</v>
      </c>
      <c r="J156" s="16" t="s">
        <v>3352</v>
      </c>
      <c r="K156" t="s">
        <v>14</v>
      </c>
      <c r="L156" t="s">
        <v>2660</v>
      </c>
      <c r="M156" s="17">
        <v>0</v>
      </c>
      <c r="N156" s="17">
        <v>100000</v>
      </c>
      <c r="O156" s="17">
        <v>2.3283100000000001E-5</v>
      </c>
      <c r="P156" s="76">
        <v>4294967296</v>
      </c>
      <c r="Q156" s="77">
        <v>0.01</v>
      </c>
      <c r="R156" t="s">
        <v>2661</v>
      </c>
    </row>
    <row r="157" spans="1:18" x14ac:dyDescent="0.25">
      <c r="A157" t="s">
        <v>3353</v>
      </c>
      <c r="B157" t="s">
        <v>3354</v>
      </c>
      <c r="C157" t="s">
        <v>3355</v>
      </c>
      <c r="D157" t="s">
        <v>2685</v>
      </c>
      <c r="E157" t="s">
        <v>2686</v>
      </c>
      <c r="F157" t="s">
        <v>35</v>
      </c>
      <c r="G157" t="s">
        <v>2692</v>
      </c>
      <c r="H157" s="8" t="s">
        <v>100</v>
      </c>
      <c r="J157" s="16" t="s">
        <v>3356</v>
      </c>
      <c r="K157" t="s">
        <v>14</v>
      </c>
      <c r="L157" t="s">
        <v>2660</v>
      </c>
      <c r="M157" s="17">
        <v>-9999999</v>
      </c>
      <c r="N157" s="17">
        <v>9999999</v>
      </c>
      <c r="O157" s="17">
        <v>4.6566124000000002E-3</v>
      </c>
      <c r="P157" s="76">
        <v>4294967296</v>
      </c>
      <c r="Q157" s="77">
        <v>0.01</v>
      </c>
      <c r="R157" t="s">
        <v>2661</v>
      </c>
    </row>
    <row r="158" spans="1:18" x14ac:dyDescent="0.25">
      <c r="A158" t="s">
        <v>3357</v>
      </c>
      <c r="B158" t="s">
        <v>3358</v>
      </c>
      <c r="C158" t="s">
        <v>3359</v>
      </c>
      <c r="D158" t="s">
        <v>2685</v>
      </c>
      <c r="E158" t="s">
        <v>2686</v>
      </c>
      <c r="F158" t="s">
        <v>35</v>
      </c>
      <c r="G158" t="s">
        <v>2718</v>
      </c>
      <c r="H158" s="8" t="s">
        <v>2606</v>
      </c>
      <c r="J158" s="16" t="s">
        <v>3360</v>
      </c>
      <c r="K158" t="s">
        <v>14</v>
      </c>
      <c r="L158" t="s">
        <v>2660</v>
      </c>
      <c r="M158" s="17">
        <v>0</v>
      </c>
      <c r="N158" s="17">
        <v>100000</v>
      </c>
      <c r="O158" s="17">
        <v>2.3283100000000001E-5</v>
      </c>
      <c r="P158" s="76">
        <v>4294967296</v>
      </c>
      <c r="Q158" s="77">
        <v>0.01</v>
      </c>
      <c r="R158" t="s">
        <v>2661</v>
      </c>
    </row>
    <row r="159" spans="1:18" x14ac:dyDescent="0.25">
      <c r="A159" t="s">
        <v>3361</v>
      </c>
      <c r="B159" t="s">
        <v>3362</v>
      </c>
      <c r="C159" t="s">
        <v>3363</v>
      </c>
      <c r="D159" t="s">
        <v>2685</v>
      </c>
      <c r="E159" t="s">
        <v>2686</v>
      </c>
      <c r="F159" t="s">
        <v>35</v>
      </c>
      <c r="G159" t="s">
        <v>2701</v>
      </c>
      <c r="H159" s="8" t="s">
        <v>64</v>
      </c>
      <c r="J159" s="16" t="s">
        <v>3364</v>
      </c>
      <c r="K159" t="s">
        <v>14</v>
      </c>
      <c r="L159" t="s">
        <v>2660</v>
      </c>
      <c r="M159" s="17">
        <v>0</v>
      </c>
      <c r="N159" s="17">
        <v>100</v>
      </c>
      <c r="O159" s="17">
        <v>2.33E-8</v>
      </c>
      <c r="P159" s="76">
        <v>4294967296</v>
      </c>
      <c r="Q159" s="77">
        <v>0.01</v>
      </c>
      <c r="R159" t="s">
        <v>2661</v>
      </c>
    </row>
    <row r="160" spans="1:18" x14ac:dyDescent="0.25">
      <c r="A160" t="s">
        <v>3240</v>
      </c>
      <c r="B160" t="s">
        <v>3122</v>
      </c>
      <c r="C160" t="s">
        <v>3123</v>
      </c>
      <c r="D160" t="s">
        <v>2723</v>
      </c>
      <c r="E160" t="s">
        <v>3365</v>
      </c>
      <c r="F160" t="s">
        <v>35</v>
      </c>
      <c r="G160" t="s">
        <v>2671</v>
      </c>
      <c r="H160" s="8" t="s">
        <v>113</v>
      </c>
      <c r="J160" s="16" t="s">
        <v>3367</v>
      </c>
      <c r="K160" t="s">
        <v>14</v>
      </c>
      <c r="L160" t="s">
        <v>2660</v>
      </c>
      <c r="M160" s="17">
        <v>0</v>
      </c>
      <c r="N160" s="17">
        <v>1</v>
      </c>
      <c r="O160" s="17">
        <v>2.0000000000000001E-10</v>
      </c>
      <c r="P160" s="76">
        <v>4294967296</v>
      </c>
      <c r="Q160" s="77">
        <v>0.02</v>
      </c>
      <c r="R160" t="s">
        <v>2661</v>
      </c>
    </row>
    <row r="161" spans="1:18" x14ac:dyDescent="0.25">
      <c r="A161" t="s">
        <v>3236</v>
      </c>
      <c r="B161" t="s">
        <v>3237</v>
      </c>
      <c r="C161" t="s">
        <v>3238</v>
      </c>
      <c r="D161" t="s">
        <v>2723</v>
      </c>
      <c r="E161" t="s">
        <v>3365</v>
      </c>
      <c r="F161" t="s">
        <v>35</v>
      </c>
      <c r="G161" t="s">
        <v>2763</v>
      </c>
      <c r="H161" s="8" t="s">
        <v>1679</v>
      </c>
      <c r="J161" s="16" t="s">
        <v>3368</v>
      </c>
      <c r="K161" t="s">
        <v>14</v>
      </c>
      <c r="L161" t="s">
        <v>2660</v>
      </c>
      <c r="M161" s="17">
        <v>0</v>
      </c>
      <c r="N161" s="17">
        <v>10000000</v>
      </c>
      <c r="O161" s="17">
        <v>2.3283064000000002E-3</v>
      </c>
      <c r="P161" s="76">
        <v>4294967296</v>
      </c>
      <c r="Q161" s="77">
        <v>0.02</v>
      </c>
      <c r="R161" t="s">
        <v>2661</v>
      </c>
    </row>
    <row r="162" spans="1:18" x14ac:dyDescent="0.25">
      <c r="A162" t="s">
        <v>3242</v>
      </c>
      <c r="B162" t="s">
        <v>3243</v>
      </c>
      <c r="C162" t="s">
        <v>3244</v>
      </c>
      <c r="D162" t="s">
        <v>2723</v>
      </c>
      <c r="E162" t="s">
        <v>3365</v>
      </c>
      <c r="F162" t="s">
        <v>35</v>
      </c>
      <c r="G162" t="s">
        <v>2671</v>
      </c>
      <c r="H162" s="8" t="s">
        <v>113</v>
      </c>
      <c r="J162" s="16" t="s">
        <v>3369</v>
      </c>
      <c r="K162" t="s">
        <v>14</v>
      </c>
      <c r="L162" t="s">
        <v>2660</v>
      </c>
      <c r="M162" s="17">
        <v>-128</v>
      </c>
      <c r="N162" s="17">
        <v>127</v>
      </c>
      <c r="O162" s="17">
        <v>5.9400000000000003E-8</v>
      </c>
      <c r="P162" s="76">
        <v>4294967296</v>
      </c>
      <c r="Q162" s="77">
        <v>0.02</v>
      </c>
      <c r="R162" t="s">
        <v>2661</v>
      </c>
    </row>
    <row r="163" spans="1:18" x14ac:dyDescent="0.25">
      <c r="A163" t="s">
        <v>3370</v>
      </c>
      <c r="B163" t="s">
        <v>3371</v>
      </c>
      <c r="C163" t="s">
        <v>3372</v>
      </c>
      <c r="D163" t="s">
        <v>2799</v>
      </c>
      <c r="E163" t="s">
        <v>2799</v>
      </c>
      <c r="F163" t="s">
        <v>35</v>
      </c>
      <c r="G163" t="s">
        <v>2795</v>
      </c>
      <c r="H163" s="8" t="s">
        <v>2600</v>
      </c>
      <c r="J163" s="16" t="s">
        <v>3373</v>
      </c>
      <c r="K163" t="s">
        <v>14</v>
      </c>
      <c r="L163" t="s">
        <v>2660</v>
      </c>
      <c r="M163" s="17">
        <v>0</v>
      </c>
      <c r="N163" s="17">
        <v>1000</v>
      </c>
      <c r="O163" s="17">
        <v>2.3279999999999999E-7</v>
      </c>
      <c r="P163" s="76">
        <v>4294967296</v>
      </c>
      <c r="Q163" s="77">
        <v>1E-3</v>
      </c>
      <c r="R163" t="s">
        <v>2661</v>
      </c>
    </row>
    <row r="164" spans="1:18" x14ac:dyDescent="0.25">
      <c r="A164" t="s">
        <v>3374</v>
      </c>
      <c r="B164" t="s">
        <v>1056</v>
      </c>
      <c r="C164" t="s">
        <v>1057</v>
      </c>
      <c r="D164" t="s">
        <v>2799</v>
      </c>
      <c r="E164" t="s">
        <v>2799</v>
      </c>
      <c r="F164" t="s">
        <v>35</v>
      </c>
      <c r="G164" t="s">
        <v>2795</v>
      </c>
      <c r="H164" s="8" t="s">
        <v>2600</v>
      </c>
      <c r="J164" s="16" t="s">
        <v>3375</v>
      </c>
      <c r="K164" t="s">
        <v>14</v>
      </c>
      <c r="L164" t="s">
        <v>2660</v>
      </c>
      <c r="M164" s="17">
        <v>0</v>
      </c>
      <c r="N164" s="17">
        <v>1000</v>
      </c>
      <c r="O164" s="17">
        <v>2.3279999999999999E-7</v>
      </c>
      <c r="P164" s="76">
        <v>4294967296</v>
      </c>
      <c r="Q164" s="77">
        <v>1E-3</v>
      </c>
      <c r="R164" t="s">
        <v>2661</v>
      </c>
    </row>
    <row r="165" spans="1:18" x14ac:dyDescent="0.25">
      <c r="A165" t="s">
        <v>3376</v>
      </c>
      <c r="B165" t="s">
        <v>2814</v>
      </c>
      <c r="C165" t="s">
        <v>2815</v>
      </c>
      <c r="D165" t="s">
        <v>2799</v>
      </c>
      <c r="E165" t="s">
        <v>2799</v>
      </c>
      <c r="F165" t="s">
        <v>35</v>
      </c>
      <c r="G165" t="s">
        <v>2907</v>
      </c>
      <c r="H165" s="8" t="s">
        <v>2908</v>
      </c>
      <c r="J165" s="16" t="s">
        <v>3377</v>
      </c>
      <c r="K165" t="s">
        <v>14</v>
      </c>
      <c r="L165" t="s">
        <v>2660</v>
      </c>
      <c r="M165" s="17">
        <v>0</v>
      </c>
      <c r="N165" s="17">
        <v>1000000</v>
      </c>
      <c r="O165" s="17">
        <v>2.3283059999999999E-4</v>
      </c>
      <c r="P165" s="76">
        <v>4294967296</v>
      </c>
      <c r="Q165" s="77">
        <v>1E-3</v>
      </c>
      <c r="R165" t="s">
        <v>2661</v>
      </c>
    </row>
    <row r="166" spans="1:18" x14ac:dyDescent="0.25">
      <c r="A166" t="s">
        <v>3378</v>
      </c>
      <c r="B166" t="s">
        <v>210</v>
      </c>
      <c r="C166" t="s">
        <v>210</v>
      </c>
      <c r="D166" t="s">
        <v>2676</v>
      </c>
      <c r="E166" t="s">
        <v>2676</v>
      </c>
      <c r="F166" t="s">
        <v>35</v>
      </c>
      <c r="G166" t="s">
        <v>3379</v>
      </c>
      <c r="H166" s="8" t="s">
        <v>2605</v>
      </c>
      <c r="J166" s="16" t="s">
        <v>3380</v>
      </c>
      <c r="K166" t="s">
        <v>14</v>
      </c>
      <c r="L166" t="s">
        <v>2660</v>
      </c>
      <c r="M166" s="17">
        <v>0</v>
      </c>
      <c r="N166" s="17">
        <v>10000</v>
      </c>
      <c r="O166" s="17">
        <v>2.3282999999999998E-6</v>
      </c>
      <c r="P166" s="76">
        <v>4294967296</v>
      </c>
      <c r="Q166" s="77">
        <v>1E-3</v>
      </c>
      <c r="R166" t="s">
        <v>2661</v>
      </c>
    </row>
    <row r="167" spans="1:18" x14ac:dyDescent="0.25">
      <c r="A167" t="s">
        <v>1099</v>
      </c>
      <c r="B167" t="s">
        <v>1099</v>
      </c>
      <c r="C167" t="s">
        <v>1100</v>
      </c>
      <c r="D167" t="s">
        <v>2676</v>
      </c>
      <c r="E167" t="s">
        <v>2676</v>
      </c>
      <c r="F167" t="s">
        <v>35</v>
      </c>
      <c r="G167" t="s">
        <v>3347</v>
      </c>
      <c r="H167" s="8" t="s">
        <v>2603</v>
      </c>
      <c r="J167" s="16" t="s">
        <v>3381</v>
      </c>
      <c r="K167" t="s">
        <v>14</v>
      </c>
      <c r="L167" t="s">
        <v>2660</v>
      </c>
      <c r="M167" s="17">
        <v>0</v>
      </c>
      <c r="N167" s="17">
        <v>100</v>
      </c>
      <c r="O167" s="17">
        <v>2.33E-8</v>
      </c>
      <c r="P167" s="76">
        <v>4294967296</v>
      </c>
      <c r="Q167" s="77">
        <v>1E-3</v>
      </c>
      <c r="R167" t="s">
        <v>2661</v>
      </c>
    </row>
    <row r="168" spans="1:18" x14ac:dyDescent="0.25">
      <c r="A168" t="s">
        <v>2654</v>
      </c>
      <c r="B168" t="s">
        <v>2655</v>
      </c>
      <c r="C168" t="s">
        <v>2656</v>
      </c>
      <c r="D168" t="s">
        <v>2657</v>
      </c>
      <c r="E168" t="s">
        <v>2657</v>
      </c>
      <c r="F168" t="s">
        <v>37</v>
      </c>
      <c r="G168" t="s">
        <v>2658</v>
      </c>
      <c r="H168" s="8" t="s">
        <v>3068</v>
      </c>
      <c r="J168" s="16" t="s">
        <v>2659</v>
      </c>
      <c r="K168" t="s">
        <v>14</v>
      </c>
      <c r="L168" t="s">
        <v>2660</v>
      </c>
      <c r="M168" s="17">
        <v>-1000</v>
      </c>
      <c r="N168" s="17">
        <v>1000</v>
      </c>
      <c r="O168" s="17">
        <v>4.6569999999999999E-7</v>
      </c>
      <c r="P168" s="76">
        <v>4294967296</v>
      </c>
      <c r="Q168" s="77">
        <v>0.01</v>
      </c>
      <c r="R168" t="s">
        <v>2661</v>
      </c>
    </row>
    <row r="169" spans="1:18" x14ac:dyDescent="0.25">
      <c r="A169" t="s">
        <v>3382</v>
      </c>
      <c r="B169" t="s">
        <v>3383</v>
      </c>
      <c r="C169" t="s">
        <v>3384</v>
      </c>
      <c r="D169" t="s">
        <v>2799</v>
      </c>
      <c r="E169" t="s">
        <v>2799</v>
      </c>
      <c r="F169" t="s">
        <v>35</v>
      </c>
      <c r="G169" t="s">
        <v>2796</v>
      </c>
      <c r="H169" s="8" t="s">
        <v>96</v>
      </c>
      <c r="J169" s="16" t="s">
        <v>3385</v>
      </c>
      <c r="K169" t="s">
        <v>14</v>
      </c>
      <c r="L169" t="s">
        <v>2660</v>
      </c>
      <c r="M169" s="17">
        <v>-100</v>
      </c>
      <c r="N169" s="17">
        <v>2000</v>
      </c>
      <c r="O169" s="17">
        <v>4.8889999999999999E-7</v>
      </c>
      <c r="P169" s="76">
        <v>4294967296</v>
      </c>
      <c r="Q169" s="77">
        <v>1E-3</v>
      </c>
      <c r="R169" t="s">
        <v>2661</v>
      </c>
    </row>
    <row r="170" spans="1:18" x14ac:dyDescent="0.25">
      <c r="A170" t="s">
        <v>3386</v>
      </c>
      <c r="B170" t="s">
        <v>3387</v>
      </c>
      <c r="C170" t="s">
        <v>3388</v>
      </c>
      <c r="D170" t="s">
        <v>2799</v>
      </c>
      <c r="E170" t="s">
        <v>2799</v>
      </c>
      <c r="F170" t="s">
        <v>35</v>
      </c>
      <c r="G170" t="s">
        <v>2796</v>
      </c>
      <c r="H170" s="8" t="s">
        <v>96</v>
      </c>
      <c r="J170" s="16" t="s">
        <v>3389</v>
      </c>
      <c r="K170" t="s">
        <v>14</v>
      </c>
      <c r="L170" t="s">
        <v>2660</v>
      </c>
      <c r="M170" s="17">
        <v>-100</v>
      </c>
      <c r="N170" s="17">
        <v>2000</v>
      </c>
      <c r="O170" s="17">
        <v>4.8889999999999999E-7</v>
      </c>
      <c r="P170" s="76">
        <v>4294967296</v>
      </c>
      <c r="Q170" s="77">
        <v>1E-3</v>
      </c>
      <c r="R170" t="s">
        <v>2661</v>
      </c>
    </row>
    <row r="171" spans="1:18" x14ac:dyDescent="0.25">
      <c r="M171" s="17"/>
      <c r="N171" s="17"/>
      <c r="O171" s="17"/>
      <c r="P171" s="76"/>
      <c r="Q171" s="77"/>
    </row>
    <row r="172" spans="1:18" x14ac:dyDescent="0.25">
      <c r="M172" s="17"/>
      <c r="N172" s="17"/>
      <c r="O172" s="17"/>
      <c r="P172" s="76"/>
      <c r="Q172" s="77"/>
    </row>
    <row r="173" spans="1:18" x14ac:dyDescent="0.25">
      <c r="M173" s="17"/>
      <c r="N173" s="17"/>
      <c r="O173" s="17"/>
      <c r="P173" s="76"/>
      <c r="Q173" s="77"/>
    </row>
    <row r="174" spans="1:18" x14ac:dyDescent="0.25">
      <c r="M174" s="17"/>
      <c r="N174" s="17"/>
      <c r="O174" s="17"/>
      <c r="P174" s="76"/>
      <c r="Q174" s="77"/>
    </row>
    <row r="175" spans="1:18" x14ac:dyDescent="0.25">
      <c r="M175" s="17"/>
      <c r="N175" s="17"/>
      <c r="O175" s="17"/>
      <c r="P175" s="76"/>
      <c r="Q175" s="77"/>
    </row>
    <row r="176" spans="1:18" x14ac:dyDescent="0.25">
      <c r="M176" s="17"/>
      <c r="N176" s="17"/>
      <c r="O176" s="17"/>
      <c r="P176" s="76"/>
      <c r="Q176" s="77"/>
    </row>
    <row r="177" spans="13:17" x14ac:dyDescent="0.25">
      <c r="M177" s="17"/>
      <c r="N177" s="17"/>
      <c r="O177" s="17"/>
      <c r="P177" s="76"/>
      <c r="Q177" s="77"/>
    </row>
    <row r="178" spans="13:17" x14ac:dyDescent="0.25">
      <c r="M178" s="17"/>
      <c r="N178" s="17"/>
      <c r="O178" s="17"/>
      <c r="P178" s="76"/>
      <c r="Q178" s="77"/>
    </row>
    <row r="179" spans="13:17" x14ac:dyDescent="0.25">
      <c r="M179" s="17"/>
      <c r="N179" s="17"/>
      <c r="O179" s="17"/>
      <c r="P179" s="76"/>
      <c r="Q179" s="77"/>
    </row>
    <row r="180" spans="13:17" x14ac:dyDescent="0.25">
      <c r="M180" s="17"/>
      <c r="N180" s="17"/>
      <c r="O180" s="17"/>
      <c r="P180" s="76"/>
      <c r="Q180" s="77"/>
    </row>
    <row r="181" spans="13:17" x14ac:dyDescent="0.25">
      <c r="M181" s="17"/>
      <c r="N181" s="17"/>
      <c r="O181" s="17"/>
      <c r="P181" s="76"/>
      <c r="Q181" s="77"/>
    </row>
    <row r="182" spans="13:17" x14ac:dyDescent="0.25">
      <c r="M182" s="17"/>
      <c r="N182" s="17"/>
      <c r="O182" s="17"/>
      <c r="P182" s="76"/>
      <c r="Q182" s="77"/>
    </row>
    <row r="183" spans="13:17" x14ac:dyDescent="0.25">
      <c r="M183" s="17"/>
      <c r="N183" s="17"/>
      <c r="O183" s="17"/>
      <c r="P183" s="76"/>
      <c r="Q183" s="77"/>
    </row>
    <row r="184" spans="13:17" x14ac:dyDescent="0.25">
      <c r="M184" s="17"/>
      <c r="N184" s="17"/>
      <c r="O184" s="17"/>
      <c r="P184" s="76"/>
      <c r="Q184" s="77"/>
    </row>
    <row r="185" spans="13:17" x14ac:dyDescent="0.25">
      <c r="M185" s="17"/>
      <c r="N185" s="17"/>
      <c r="O185" s="17"/>
      <c r="P185" s="76"/>
      <c r="Q185" s="77"/>
    </row>
    <row r="186" spans="13:17" x14ac:dyDescent="0.25">
      <c r="M186" s="17"/>
      <c r="N186" s="17"/>
      <c r="O186" s="17"/>
      <c r="P186" s="76"/>
      <c r="Q186" s="77"/>
    </row>
    <row r="187" spans="13:17" x14ac:dyDescent="0.25">
      <c r="M187" s="17"/>
      <c r="N187" s="17"/>
      <c r="O187" s="17"/>
      <c r="P187" s="76"/>
      <c r="Q187" s="77"/>
    </row>
    <row r="188" spans="13:17" x14ac:dyDescent="0.25">
      <c r="M188" s="17"/>
      <c r="N188" s="17"/>
      <c r="O188" s="17"/>
      <c r="P188" s="76"/>
      <c r="Q188" s="77"/>
    </row>
    <row r="189" spans="13:17" x14ac:dyDescent="0.25">
      <c r="M189" s="17"/>
      <c r="N189" s="17"/>
      <c r="O189" s="17"/>
      <c r="P189" s="76"/>
      <c r="Q189" s="77"/>
    </row>
    <row r="190" spans="13:17" x14ac:dyDescent="0.25">
      <c r="M190" s="17"/>
      <c r="N190" s="17"/>
      <c r="O190" s="17"/>
      <c r="P190" s="76"/>
      <c r="Q190" s="77"/>
    </row>
    <row r="191" spans="13:17" x14ac:dyDescent="0.25">
      <c r="M191" s="17"/>
      <c r="N191" s="17"/>
      <c r="O191" s="17"/>
      <c r="P191" s="76"/>
      <c r="Q191" s="77"/>
    </row>
    <row r="192" spans="13:17" x14ac:dyDescent="0.25">
      <c r="M192" s="17"/>
      <c r="N192" s="17"/>
      <c r="O192" s="17"/>
      <c r="P192" s="76"/>
      <c r="Q192" s="77"/>
    </row>
    <row r="193" spans="13:17" x14ac:dyDescent="0.25">
      <c r="M193" s="17"/>
      <c r="N193" s="17"/>
      <c r="O193" s="17"/>
      <c r="P193" s="76"/>
      <c r="Q193" s="77"/>
    </row>
    <row r="194" spans="13:17" x14ac:dyDescent="0.25">
      <c r="M194" s="17"/>
      <c r="N194" s="17"/>
      <c r="O194" s="17"/>
      <c r="P194" s="76"/>
      <c r="Q194" s="77"/>
    </row>
    <row r="195" spans="13:17" x14ac:dyDescent="0.25">
      <c r="M195" s="17"/>
      <c r="N195" s="17"/>
      <c r="O195" s="17"/>
      <c r="P195" s="76"/>
      <c r="Q195" s="77"/>
    </row>
    <row r="196" spans="13:17" x14ac:dyDescent="0.25">
      <c r="M196" s="17"/>
      <c r="N196" s="17"/>
      <c r="O196" s="17"/>
      <c r="P196" s="76"/>
      <c r="Q196" s="77"/>
    </row>
    <row r="197" spans="13:17" x14ac:dyDescent="0.25">
      <c r="M197" s="17"/>
      <c r="N197" s="17"/>
      <c r="O197" s="17"/>
      <c r="P197" s="76"/>
      <c r="Q197" s="77"/>
    </row>
    <row r="198" spans="13:17" x14ac:dyDescent="0.25">
      <c r="M198" s="17"/>
      <c r="N198" s="17"/>
      <c r="O198" s="17"/>
      <c r="P198" s="76"/>
      <c r="Q198" s="77"/>
    </row>
    <row r="199" spans="13:17" x14ac:dyDescent="0.25">
      <c r="M199" s="17"/>
      <c r="N199" s="17"/>
      <c r="O199" s="17"/>
      <c r="P199" s="76"/>
      <c r="Q199" s="77"/>
    </row>
    <row r="200" spans="13:17" x14ac:dyDescent="0.25">
      <c r="M200" s="17"/>
      <c r="N200" s="17"/>
      <c r="O200" s="17"/>
      <c r="P200" s="76"/>
      <c r="Q200" s="77"/>
    </row>
    <row r="201" spans="13:17" x14ac:dyDescent="0.25">
      <c r="M201" s="17"/>
      <c r="N201" s="17"/>
      <c r="O201" s="17"/>
      <c r="P201" s="76"/>
      <c r="Q201" s="77"/>
    </row>
    <row r="202" spans="13:17" x14ac:dyDescent="0.25">
      <c r="M202" s="17"/>
      <c r="N202" s="17"/>
      <c r="O202" s="17"/>
      <c r="P202" s="76"/>
      <c r="Q202" s="77"/>
    </row>
    <row r="203" spans="13:17" x14ac:dyDescent="0.25">
      <c r="M203" s="17"/>
      <c r="N203" s="17"/>
      <c r="O203" s="17"/>
      <c r="P203" s="76"/>
      <c r="Q203" s="77"/>
    </row>
    <row r="204" spans="13:17" x14ac:dyDescent="0.25">
      <c r="M204" s="17"/>
      <c r="N204" s="17"/>
      <c r="O204" s="17"/>
      <c r="P204" s="76"/>
      <c r="Q204" s="77"/>
    </row>
    <row r="205" spans="13:17" x14ac:dyDescent="0.25">
      <c r="M205" s="17"/>
      <c r="N205" s="17"/>
      <c r="O205" s="17"/>
      <c r="P205" s="76"/>
      <c r="Q205" s="77"/>
    </row>
    <row r="206" spans="13:17" x14ac:dyDescent="0.25">
      <c r="M206" s="17"/>
      <c r="N206" s="17"/>
      <c r="O206" s="17"/>
      <c r="P206" s="76"/>
      <c r="Q206" s="77"/>
    </row>
    <row r="207" spans="13:17" x14ac:dyDescent="0.25">
      <c r="M207" s="17"/>
      <c r="N207" s="17"/>
      <c r="O207" s="17"/>
      <c r="P207" s="76"/>
      <c r="Q207" s="77"/>
    </row>
    <row r="208" spans="13:17" x14ac:dyDescent="0.25">
      <c r="M208" s="17"/>
      <c r="N208" s="17"/>
      <c r="O208" s="17"/>
      <c r="P208" s="76"/>
      <c r="Q208" s="77"/>
    </row>
    <row r="209" spans="13:17" x14ac:dyDescent="0.25">
      <c r="M209" s="17"/>
      <c r="N209" s="17"/>
      <c r="O209" s="17"/>
      <c r="P209" s="76"/>
      <c r="Q209" s="77"/>
    </row>
    <row r="210" spans="13:17" x14ac:dyDescent="0.25">
      <c r="M210" s="17"/>
      <c r="N210" s="17"/>
      <c r="O210" s="17"/>
      <c r="P210" s="76"/>
      <c r="Q210" s="77"/>
    </row>
    <row r="211" spans="13:17" x14ac:dyDescent="0.25">
      <c r="M211" s="17"/>
      <c r="N211" s="17"/>
      <c r="O211" s="17"/>
      <c r="P211" s="76"/>
      <c r="Q211" s="77"/>
    </row>
    <row r="212" spans="13:17" x14ac:dyDescent="0.25">
      <c r="M212" s="17"/>
      <c r="N212" s="17"/>
      <c r="O212" s="17"/>
      <c r="P212" s="76"/>
      <c r="Q212" s="77"/>
    </row>
    <row r="213" spans="13:17" x14ac:dyDescent="0.25">
      <c r="M213" s="17"/>
      <c r="N213" s="17"/>
      <c r="O213" s="17"/>
      <c r="P213" s="76"/>
      <c r="Q213" s="77"/>
    </row>
    <row r="214" spans="13:17" x14ac:dyDescent="0.25">
      <c r="M214" s="17"/>
      <c r="N214" s="17"/>
      <c r="O214" s="17"/>
      <c r="P214" s="76"/>
      <c r="Q214" s="77"/>
    </row>
    <row r="215" spans="13:17" x14ac:dyDescent="0.25">
      <c r="M215" s="17"/>
      <c r="N215" s="17"/>
      <c r="O215" s="17"/>
      <c r="P215" s="76"/>
      <c r="Q215" s="77"/>
    </row>
    <row r="216" spans="13:17" x14ac:dyDescent="0.25">
      <c r="M216" s="17"/>
      <c r="N216" s="17"/>
      <c r="O216" s="17"/>
      <c r="P216" s="76"/>
      <c r="Q216" s="77"/>
    </row>
    <row r="217" spans="13:17" x14ac:dyDescent="0.25">
      <c r="M217" s="17"/>
      <c r="N217" s="17"/>
      <c r="O217" s="17"/>
      <c r="P217" s="76"/>
      <c r="Q217" s="77"/>
    </row>
    <row r="218" spans="13:17" x14ac:dyDescent="0.25">
      <c r="M218" s="17"/>
      <c r="N218" s="17"/>
      <c r="O218" s="17"/>
      <c r="P218" s="76"/>
      <c r="Q218" s="77"/>
    </row>
    <row r="219" spans="13:17" x14ac:dyDescent="0.25">
      <c r="M219" s="17"/>
      <c r="N219" s="17"/>
      <c r="O219" s="17"/>
      <c r="P219" s="76"/>
      <c r="Q219" s="77"/>
    </row>
    <row r="220" spans="13:17" x14ac:dyDescent="0.25">
      <c r="M220" s="17"/>
      <c r="N220" s="17"/>
      <c r="O220" s="17"/>
      <c r="P220" s="76"/>
      <c r="Q220" s="77"/>
    </row>
    <row r="221" spans="13:17" x14ac:dyDescent="0.25">
      <c r="M221" s="17"/>
      <c r="N221" s="17"/>
      <c r="O221" s="17"/>
      <c r="P221" s="76"/>
      <c r="Q221" s="77"/>
    </row>
    <row r="222" spans="13:17" x14ac:dyDescent="0.25">
      <c r="M222" s="17"/>
      <c r="N222" s="17"/>
      <c r="O222" s="17"/>
      <c r="P222" s="76"/>
      <c r="Q222" s="77"/>
    </row>
    <row r="223" spans="13:17" x14ac:dyDescent="0.25">
      <c r="M223" s="17"/>
      <c r="N223" s="17"/>
      <c r="O223" s="17"/>
      <c r="P223" s="76"/>
      <c r="Q223" s="77"/>
    </row>
    <row r="224" spans="13:17" x14ac:dyDescent="0.25">
      <c r="M224" s="17"/>
      <c r="N224" s="17"/>
      <c r="O224" s="17"/>
      <c r="P224" s="76"/>
      <c r="Q224" s="77"/>
    </row>
    <row r="225" spans="13:17" x14ac:dyDescent="0.25">
      <c r="M225" s="17"/>
      <c r="N225" s="17"/>
      <c r="O225" s="17"/>
      <c r="P225" s="76"/>
      <c r="Q225" s="77"/>
    </row>
    <row r="226" spans="13:17" x14ac:dyDescent="0.25">
      <c r="M226" s="17"/>
      <c r="N226" s="17"/>
      <c r="O226" s="17"/>
      <c r="P226" s="76"/>
      <c r="Q226" s="77"/>
    </row>
    <row r="227" spans="13:17" x14ac:dyDescent="0.25">
      <c r="M227" s="17"/>
      <c r="N227" s="17"/>
      <c r="O227" s="17"/>
      <c r="P227" s="76"/>
      <c r="Q227" s="77"/>
    </row>
    <row r="228" spans="13:17" x14ac:dyDescent="0.25">
      <c r="M228" s="17"/>
      <c r="N228" s="17"/>
      <c r="O228" s="17"/>
      <c r="P228" s="76"/>
      <c r="Q228" s="77"/>
    </row>
    <row r="229" spans="13:17" x14ac:dyDescent="0.25">
      <c r="M229" s="17"/>
      <c r="N229" s="17"/>
      <c r="O229" s="17"/>
      <c r="P229" s="76"/>
      <c r="Q229" s="77"/>
    </row>
    <row r="230" spans="13:17" x14ac:dyDescent="0.25">
      <c r="M230" s="17"/>
      <c r="N230" s="17"/>
      <c r="O230" s="17"/>
      <c r="P230" s="76"/>
      <c r="Q230" s="77"/>
    </row>
    <row r="231" spans="13:17" x14ac:dyDescent="0.25">
      <c r="M231" s="17"/>
      <c r="N231" s="17"/>
      <c r="O231" s="17"/>
      <c r="P231" s="76"/>
      <c r="Q231" s="77"/>
    </row>
    <row r="232" spans="13:17" x14ac:dyDescent="0.25">
      <c r="M232" s="17"/>
      <c r="N232" s="17"/>
      <c r="O232" s="17"/>
      <c r="P232" s="76"/>
      <c r="Q232" s="77"/>
    </row>
    <row r="233" spans="13:17" x14ac:dyDescent="0.25">
      <c r="M233" s="17"/>
      <c r="N233" s="17"/>
      <c r="O233" s="17"/>
      <c r="P233" s="76"/>
      <c r="Q233" s="77"/>
    </row>
    <row r="234" spans="13:17" x14ac:dyDescent="0.25">
      <c r="M234" s="17"/>
      <c r="N234" s="17"/>
      <c r="O234" s="17"/>
      <c r="P234" s="76"/>
      <c r="Q234" s="77"/>
    </row>
    <row r="235" spans="13:17" x14ac:dyDescent="0.25">
      <c r="M235" s="17"/>
      <c r="N235" s="17"/>
      <c r="O235" s="17"/>
      <c r="P235" s="76"/>
      <c r="Q235" s="77"/>
    </row>
    <row r="236" spans="13:17" x14ac:dyDescent="0.25">
      <c r="M236" s="17"/>
      <c r="N236" s="17"/>
      <c r="O236" s="17"/>
      <c r="P236" s="76"/>
      <c r="Q236" s="77"/>
    </row>
    <row r="237" spans="13:17" x14ac:dyDescent="0.25">
      <c r="M237" s="17"/>
      <c r="N237" s="17"/>
      <c r="O237" s="17"/>
      <c r="P237" s="76"/>
      <c r="Q237" s="77"/>
    </row>
    <row r="238" spans="13:17" x14ac:dyDescent="0.25">
      <c r="M238" s="17"/>
      <c r="N238" s="17"/>
      <c r="O238" s="17"/>
      <c r="P238" s="76"/>
      <c r="Q238" s="77"/>
    </row>
    <row r="239" spans="13:17" x14ac:dyDescent="0.25">
      <c r="M239" s="17"/>
      <c r="N239" s="17"/>
      <c r="O239" s="17"/>
      <c r="P239" s="76"/>
      <c r="Q239" s="77"/>
    </row>
    <row r="240" spans="13:17" x14ac:dyDescent="0.25">
      <c r="M240" s="17"/>
      <c r="N240" s="17"/>
      <c r="O240" s="17"/>
      <c r="P240" s="76"/>
      <c r="Q240" s="77"/>
    </row>
    <row r="241" spans="13:17" x14ac:dyDescent="0.25">
      <c r="M241" s="17"/>
      <c r="N241" s="17"/>
      <c r="O241" s="17"/>
      <c r="P241" s="76"/>
      <c r="Q241" s="77"/>
    </row>
    <row r="242" spans="13:17" x14ac:dyDescent="0.25">
      <c r="M242" s="17"/>
      <c r="N242" s="17"/>
      <c r="O242" s="17"/>
      <c r="P242" s="76"/>
      <c r="Q242" s="77"/>
    </row>
    <row r="243" spans="13:17" x14ac:dyDescent="0.25">
      <c r="M243" s="17"/>
      <c r="N243" s="17"/>
      <c r="O243" s="17"/>
      <c r="P243" s="76"/>
      <c r="Q243" s="77"/>
    </row>
    <row r="244" spans="13:17" x14ac:dyDescent="0.25">
      <c r="M244" s="17"/>
      <c r="N244" s="17"/>
      <c r="O244" s="17"/>
      <c r="P244" s="76"/>
      <c r="Q244" s="77"/>
    </row>
    <row r="245" spans="13:17" x14ac:dyDescent="0.25">
      <c r="M245" s="17"/>
      <c r="N245" s="17"/>
      <c r="O245" s="17"/>
      <c r="P245" s="76"/>
      <c r="Q245" s="77"/>
    </row>
    <row r="246" spans="13:17" x14ac:dyDescent="0.25">
      <c r="M246" s="17"/>
      <c r="N246" s="17"/>
      <c r="O246" s="17"/>
      <c r="P246" s="76"/>
      <c r="Q246" s="77"/>
    </row>
    <row r="247" spans="13:17" x14ac:dyDescent="0.25">
      <c r="M247" s="17"/>
      <c r="N247" s="17"/>
      <c r="O247" s="17"/>
      <c r="P247" s="76"/>
      <c r="Q247" s="77"/>
    </row>
    <row r="248" spans="13:17" x14ac:dyDescent="0.25">
      <c r="M248" s="17"/>
      <c r="N248" s="17"/>
      <c r="O248" s="17"/>
      <c r="P248" s="76"/>
      <c r="Q248" s="77"/>
    </row>
    <row r="249" spans="13:17" x14ac:dyDescent="0.25">
      <c r="M249" s="17"/>
      <c r="N249" s="17"/>
      <c r="O249" s="17"/>
      <c r="P249" s="76"/>
      <c r="Q249" s="77"/>
    </row>
    <row r="250" spans="13:17" x14ac:dyDescent="0.25">
      <c r="M250" s="17"/>
      <c r="N250" s="17"/>
      <c r="O250" s="17"/>
      <c r="P250" s="76"/>
      <c r="Q250" s="77"/>
    </row>
    <row r="251" spans="13:17" x14ac:dyDescent="0.25">
      <c r="M251" s="17"/>
      <c r="N251" s="17"/>
      <c r="O251" s="17"/>
      <c r="P251" s="76"/>
      <c r="Q251" s="77"/>
    </row>
    <row r="252" spans="13:17" x14ac:dyDescent="0.25">
      <c r="M252" s="17"/>
      <c r="N252" s="17"/>
      <c r="O252" s="17"/>
      <c r="P252" s="76"/>
      <c r="Q252" s="77"/>
    </row>
    <row r="253" spans="13:17" x14ac:dyDescent="0.25">
      <c r="M253" s="17"/>
      <c r="N253" s="17"/>
      <c r="O253" s="17"/>
      <c r="P253" s="76"/>
      <c r="Q253" s="77"/>
    </row>
    <row r="254" spans="13:17" x14ac:dyDescent="0.25">
      <c r="M254" s="17"/>
      <c r="N254" s="17"/>
      <c r="O254" s="17"/>
      <c r="P254" s="76"/>
      <c r="Q254" s="77"/>
    </row>
    <row r="255" spans="13:17" x14ac:dyDescent="0.25">
      <c r="M255" s="17"/>
      <c r="N255" s="17"/>
      <c r="O255" s="17"/>
      <c r="P255" s="76"/>
      <c r="Q255" s="77"/>
    </row>
    <row r="256" spans="13:17" x14ac:dyDescent="0.25">
      <c r="M256" s="17"/>
      <c r="N256" s="17"/>
      <c r="O256" s="17"/>
      <c r="P256" s="76"/>
      <c r="Q256" s="77"/>
    </row>
    <row r="257" spans="13:17" x14ac:dyDescent="0.25">
      <c r="M257" s="17"/>
      <c r="N257" s="17"/>
      <c r="O257" s="17"/>
      <c r="P257" s="76"/>
      <c r="Q257" s="77"/>
    </row>
    <row r="258" spans="13:17" x14ac:dyDescent="0.25">
      <c r="M258" s="17"/>
      <c r="N258" s="17"/>
      <c r="O258" s="17"/>
      <c r="P258" s="76"/>
      <c r="Q258" s="77"/>
    </row>
    <row r="259" spans="13:17" x14ac:dyDescent="0.25">
      <c r="M259" s="17"/>
      <c r="N259" s="17"/>
      <c r="O259" s="17"/>
      <c r="P259" s="76"/>
      <c r="Q259" s="77"/>
    </row>
    <row r="260" spans="13:17" x14ac:dyDescent="0.25">
      <c r="M260" s="17"/>
      <c r="N260" s="17"/>
      <c r="O260" s="17"/>
      <c r="P260" s="76"/>
      <c r="Q260" s="77"/>
    </row>
    <row r="261" spans="13:17" x14ac:dyDescent="0.25">
      <c r="M261" s="17"/>
      <c r="N261" s="17"/>
      <c r="O261" s="17"/>
      <c r="P261" s="76"/>
      <c r="Q261" s="77"/>
    </row>
    <row r="262" spans="13:17" x14ac:dyDescent="0.25">
      <c r="M262" s="17"/>
      <c r="N262" s="17"/>
      <c r="O262" s="17"/>
      <c r="P262" s="76"/>
      <c r="Q262" s="77"/>
    </row>
    <row r="263" spans="13:17" x14ac:dyDescent="0.25">
      <c r="M263" s="17"/>
      <c r="N263" s="17"/>
      <c r="O263" s="17"/>
      <c r="P263" s="76"/>
      <c r="Q263" s="77"/>
    </row>
    <row r="264" spans="13:17" x14ac:dyDescent="0.25">
      <c r="M264" s="17"/>
      <c r="N264" s="17"/>
      <c r="O264" s="17"/>
      <c r="P264" s="76"/>
      <c r="Q264" s="77"/>
    </row>
    <row r="265" spans="13:17" x14ac:dyDescent="0.25">
      <c r="M265" s="17"/>
      <c r="N265" s="17"/>
      <c r="O265" s="17"/>
      <c r="P265" s="76"/>
      <c r="Q265" s="77"/>
    </row>
    <row r="266" spans="13:17" x14ac:dyDescent="0.25">
      <c r="M266" s="17"/>
      <c r="N266" s="17"/>
      <c r="O266" s="17"/>
      <c r="P266" s="76"/>
      <c r="Q266" s="77"/>
    </row>
    <row r="267" spans="13:17" x14ac:dyDescent="0.25">
      <c r="M267" s="17"/>
      <c r="N267" s="17"/>
      <c r="O267" s="17"/>
      <c r="P267" s="76"/>
      <c r="Q267" s="77"/>
    </row>
    <row r="268" spans="13:17" x14ac:dyDescent="0.25">
      <c r="M268" s="17"/>
      <c r="N268" s="17"/>
      <c r="O268" s="17"/>
      <c r="P268" s="76"/>
      <c r="Q268" s="77"/>
    </row>
    <row r="269" spans="13:17" x14ac:dyDescent="0.25">
      <c r="M269" s="17"/>
      <c r="N269" s="17"/>
      <c r="O269" s="17"/>
      <c r="P269" s="76"/>
      <c r="Q269" s="77"/>
    </row>
    <row r="270" spans="13:17" x14ac:dyDescent="0.25">
      <c r="M270" s="17"/>
      <c r="N270" s="17"/>
      <c r="O270" s="17"/>
      <c r="P270" s="76"/>
      <c r="Q270" s="77"/>
    </row>
    <row r="271" spans="13:17" x14ac:dyDescent="0.25">
      <c r="M271" s="17"/>
      <c r="N271" s="17"/>
      <c r="O271" s="17"/>
      <c r="P271" s="76"/>
      <c r="Q271" s="77"/>
    </row>
    <row r="272" spans="13:17" x14ac:dyDescent="0.25">
      <c r="M272" s="17"/>
      <c r="N272" s="17"/>
      <c r="O272" s="17"/>
      <c r="P272" s="76"/>
      <c r="Q272" s="77"/>
    </row>
    <row r="273" spans="13:17" x14ac:dyDescent="0.25">
      <c r="M273" s="17"/>
      <c r="N273" s="17"/>
      <c r="O273" s="17"/>
      <c r="P273" s="76"/>
      <c r="Q273" s="77"/>
    </row>
    <row r="274" spans="13:17" x14ac:dyDescent="0.25">
      <c r="M274" s="17"/>
      <c r="N274" s="17"/>
      <c r="O274" s="17"/>
      <c r="P274" s="76"/>
      <c r="Q274" s="77"/>
    </row>
    <row r="275" spans="13:17" x14ac:dyDescent="0.25">
      <c r="M275" s="17"/>
      <c r="N275" s="17"/>
      <c r="O275" s="17"/>
      <c r="P275" s="76"/>
      <c r="Q275" s="77"/>
    </row>
    <row r="276" spans="13:17" x14ac:dyDescent="0.25">
      <c r="M276" s="17"/>
      <c r="N276" s="17"/>
      <c r="O276" s="17"/>
      <c r="P276" s="76"/>
      <c r="Q276" s="77"/>
    </row>
    <row r="277" spans="13:17" x14ac:dyDescent="0.25">
      <c r="M277" s="17"/>
      <c r="N277" s="17"/>
      <c r="O277" s="17"/>
      <c r="P277" s="76"/>
      <c r="Q277" s="77"/>
    </row>
    <row r="278" spans="13:17" x14ac:dyDescent="0.25">
      <c r="M278" s="17"/>
      <c r="N278" s="17"/>
      <c r="O278" s="17"/>
      <c r="P278" s="76"/>
      <c r="Q278" s="77"/>
    </row>
    <row r="279" spans="13:17" x14ac:dyDescent="0.25">
      <c r="M279" s="17"/>
      <c r="N279" s="17"/>
      <c r="O279" s="17"/>
      <c r="P279" s="76"/>
      <c r="Q279" s="77"/>
    </row>
    <row r="280" spans="13:17" x14ac:dyDescent="0.25">
      <c r="M280" s="17"/>
      <c r="N280" s="17"/>
      <c r="O280" s="17"/>
      <c r="P280" s="76"/>
      <c r="Q280" s="77"/>
    </row>
    <row r="281" spans="13:17" x14ac:dyDescent="0.25">
      <c r="M281" s="17"/>
      <c r="N281" s="17"/>
      <c r="O281" s="17"/>
      <c r="P281" s="76"/>
      <c r="Q281" s="77"/>
    </row>
    <row r="282" spans="13:17" x14ac:dyDescent="0.25">
      <c r="M282" s="17"/>
      <c r="N282" s="17"/>
      <c r="O282" s="17"/>
      <c r="P282" s="76"/>
      <c r="Q282" s="77"/>
    </row>
    <row r="283" spans="13:17" x14ac:dyDescent="0.25">
      <c r="M283" s="17"/>
      <c r="N283" s="17"/>
      <c r="O283" s="17"/>
      <c r="P283" s="76"/>
      <c r="Q283" s="77"/>
    </row>
    <row r="284" spans="13:17" x14ac:dyDescent="0.25">
      <c r="M284" s="17"/>
      <c r="N284" s="17"/>
      <c r="O284" s="17"/>
      <c r="P284" s="76"/>
      <c r="Q284" s="77"/>
    </row>
    <row r="285" spans="13:17" x14ac:dyDescent="0.25">
      <c r="M285" s="17"/>
      <c r="N285" s="17"/>
      <c r="O285" s="17"/>
      <c r="P285" s="76"/>
      <c r="Q285" s="77"/>
    </row>
    <row r="286" spans="13:17" x14ac:dyDescent="0.25">
      <c r="M286" s="17"/>
      <c r="N286" s="17"/>
      <c r="O286" s="17"/>
      <c r="P286" s="76"/>
      <c r="Q286" s="77"/>
    </row>
    <row r="287" spans="13:17" x14ac:dyDescent="0.25">
      <c r="M287" s="17"/>
      <c r="N287" s="17"/>
      <c r="O287" s="17"/>
      <c r="P287" s="76"/>
      <c r="Q287" s="77"/>
    </row>
    <row r="288" spans="13:17" x14ac:dyDescent="0.25">
      <c r="M288" s="17"/>
      <c r="N288" s="17"/>
      <c r="O288" s="17"/>
      <c r="P288" s="76"/>
      <c r="Q288" s="77"/>
    </row>
    <row r="289" spans="13:17" x14ac:dyDescent="0.25">
      <c r="M289" s="17"/>
      <c r="N289" s="17"/>
      <c r="O289" s="17"/>
      <c r="P289" s="76"/>
      <c r="Q289" s="77"/>
    </row>
    <row r="290" spans="13:17" x14ac:dyDescent="0.25">
      <c r="M290" s="17"/>
      <c r="N290" s="17"/>
      <c r="O290" s="17"/>
      <c r="P290" s="76"/>
      <c r="Q290" s="77"/>
    </row>
    <row r="291" spans="13:17" x14ac:dyDescent="0.25">
      <c r="M291" s="17"/>
      <c r="N291" s="17"/>
      <c r="O291" s="17"/>
      <c r="P291" s="76"/>
      <c r="Q291" s="77"/>
    </row>
    <row r="292" spans="13:17" x14ac:dyDescent="0.25">
      <c r="M292" s="17"/>
      <c r="N292" s="17"/>
      <c r="O292" s="17"/>
      <c r="P292" s="76"/>
      <c r="Q292" s="77"/>
    </row>
    <row r="293" spans="13:17" x14ac:dyDescent="0.25">
      <c r="M293" s="17"/>
      <c r="N293" s="17"/>
      <c r="O293" s="17"/>
      <c r="P293" s="76"/>
      <c r="Q293" s="77"/>
    </row>
    <row r="294" spans="13:17" x14ac:dyDescent="0.25">
      <c r="M294" s="17"/>
      <c r="N294" s="17"/>
      <c r="O294" s="17"/>
      <c r="P294" s="76"/>
      <c r="Q294" s="77"/>
    </row>
    <row r="295" spans="13:17" x14ac:dyDescent="0.25">
      <c r="M295" s="17"/>
      <c r="N295" s="17"/>
      <c r="O295" s="17"/>
      <c r="P295" s="76"/>
      <c r="Q295" s="77"/>
    </row>
    <row r="296" spans="13:17" x14ac:dyDescent="0.25">
      <c r="M296" s="17"/>
      <c r="N296" s="17"/>
      <c r="O296" s="17"/>
      <c r="P296" s="76"/>
      <c r="Q296" s="77"/>
    </row>
    <row r="297" spans="13:17" x14ac:dyDescent="0.25">
      <c r="M297" s="17"/>
      <c r="N297" s="17"/>
      <c r="O297" s="17"/>
      <c r="P297" s="76"/>
      <c r="Q297" s="77"/>
    </row>
    <row r="298" spans="13:17" x14ac:dyDescent="0.25">
      <c r="M298" s="17"/>
      <c r="N298" s="17"/>
      <c r="O298" s="17"/>
      <c r="P298" s="76"/>
      <c r="Q298" s="77"/>
    </row>
    <row r="299" spans="13:17" x14ac:dyDescent="0.25">
      <c r="M299" s="17"/>
      <c r="N299" s="17"/>
      <c r="O299" s="17"/>
      <c r="P299" s="76"/>
      <c r="Q299" s="77"/>
    </row>
    <row r="300" spans="13:17" x14ac:dyDescent="0.25">
      <c r="M300" s="17"/>
      <c r="N300" s="17"/>
      <c r="O300" s="17"/>
      <c r="P300" s="76"/>
      <c r="Q300" s="77"/>
    </row>
    <row r="301" spans="13:17" x14ac:dyDescent="0.25">
      <c r="M301" s="17"/>
      <c r="N301" s="17"/>
      <c r="O301" s="17"/>
      <c r="P301" s="76"/>
      <c r="Q301" s="77"/>
    </row>
    <row r="302" spans="13:17" x14ac:dyDescent="0.25">
      <c r="M302" s="17"/>
      <c r="N302" s="17"/>
      <c r="O302" s="17"/>
      <c r="P302" s="76"/>
      <c r="Q302" s="77"/>
    </row>
    <row r="303" spans="13:17" x14ac:dyDescent="0.25">
      <c r="M303" s="17"/>
      <c r="N303" s="17"/>
      <c r="O303" s="17"/>
      <c r="P303" s="76"/>
      <c r="Q303" s="77"/>
    </row>
    <row r="304" spans="13:17" x14ac:dyDescent="0.25">
      <c r="M304" s="17"/>
      <c r="N304" s="17"/>
      <c r="O304" s="17"/>
      <c r="P304" s="76"/>
      <c r="Q304" s="77"/>
    </row>
    <row r="305" spans="13:17" x14ac:dyDescent="0.25">
      <c r="M305" s="17"/>
      <c r="N305" s="17"/>
      <c r="O305" s="17"/>
      <c r="P305" s="76"/>
      <c r="Q305" s="77"/>
    </row>
    <row r="306" spans="13:17" x14ac:dyDescent="0.25">
      <c r="M306" s="17"/>
      <c r="N306" s="17"/>
      <c r="O306" s="17"/>
      <c r="P306" s="76"/>
      <c r="Q306" s="77"/>
    </row>
    <row r="307" spans="13:17" x14ac:dyDescent="0.25">
      <c r="M307" s="17"/>
      <c r="N307" s="17"/>
      <c r="O307" s="17"/>
      <c r="P307" s="76"/>
      <c r="Q307" s="77"/>
    </row>
    <row r="308" spans="13:17" x14ac:dyDescent="0.25">
      <c r="M308" s="17"/>
      <c r="N308" s="17"/>
      <c r="O308" s="17"/>
      <c r="P308" s="76"/>
      <c r="Q308" s="77"/>
    </row>
    <row r="309" spans="13:17" x14ac:dyDescent="0.25">
      <c r="M309" s="17"/>
      <c r="N309" s="17"/>
      <c r="O309" s="17"/>
      <c r="P309" s="76"/>
      <c r="Q309" s="77"/>
    </row>
    <row r="310" spans="13:17" x14ac:dyDescent="0.25">
      <c r="M310" s="17"/>
      <c r="N310" s="17"/>
      <c r="O310" s="17"/>
      <c r="P310" s="76"/>
      <c r="Q310" s="77"/>
    </row>
    <row r="311" spans="13:17" x14ac:dyDescent="0.25">
      <c r="M311" s="17"/>
      <c r="N311" s="17"/>
      <c r="O311" s="17"/>
      <c r="P311" s="76"/>
      <c r="Q311" s="77"/>
    </row>
    <row r="312" spans="13:17" x14ac:dyDescent="0.25">
      <c r="M312" s="17"/>
      <c r="N312" s="17"/>
      <c r="O312" s="17"/>
      <c r="P312" s="76"/>
      <c r="Q312" s="77"/>
    </row>
    <row r="313" spans="13:17" x14ac:dyDescent="0.25">
      <c r="M313" s="17"/>
      <c r="N313" s="17"/>
      <c r="O313" s="17"/>
      <c r="P313" s="76"/>
      <c r="Q313" s="77"/>
    </row>
    <row r="314" spans="13:17" x14ac:dyDescent="0.25">
      <c r="M314" s="17"/>
      <c r="N314" s="17"/>
      <c r="O314" s="17"/>
      <c r="P314" s="76"/>
      <c r="Q314" s="77"/>
    </row>
    <row r="315" spans="13:17" x14ac:dyDescent="0.25">
      <c r="M315" s="17"/>
      <c r="N315" s="17"/>
      <c r="O315" s="17"/>
      <c r="P315" s="76"/>
      <c r="Q315" s="77"/>
    </row>
    <row r="316" spans="13:17" x14ac:dyDescent="0.25">
      <c r="M316" s="17"/>
      <c r="N316" s="17"/>
      <c r="O316" s="17"/>
      <c r="P316" s="76"/>
      <c r="Q316" s="77"/>
    </row>
    <row r="317" spans="13:17" x14ac:dyDescent="0.25">
      <c r="M317" s="17"/>
      <c r="N317" s="17"/>
      <c r="O317" s="17"/>
      <c r="P317" s="76"/>
      <c r="Q317" s="77"/>
    </row>
    <row r="318" spans="13:17" x14ac:dyDescent="0.25">
      <c r="M318" s="17"/>
      <c r="N318" s="17"/>
      <c r="O318" s="17"/>
      <c r="P318" s="76"/>
      <c r="Q318" s="77"/>
    </row>
    <row r="319" spans="13:17" x14ac:dyDescent="0.25">
      <c r="M319" s="17"/>
      <c r="N319" s="17"/>
      <c r="O319" s="17"/>
      <c r="P319" s="76"/>
      <c r="Q319" s="77"/>
    </row>
    <row r="320" spans="13:17" x14ac:dyDescent="0.25">
      <c r="M320" s="17"/>
      <c r="N320" s="17"/>
      <c r="O320" s="17"/>
      <c r="P320" s="76"/>
      <c r="Q320" s="77"/>
    </row>
    <row r="321" spans="13:17" x14ac:dyDescent="0.25">
      <c r="M321" s="17"/>
      <c r="N321" s="17"/>
      <c r="O321" s="17"/>
      <c r="P321" s="76"/>
      <c r="Q321" s="77"/>
    </row>
    <row r="322" spans="13:17" x14ac:dyDescent="0.25">
      <c r="M322" s="17"/>
      <c r="N322" s="17"/>
      <c r="O322" s="17"/>
      <c r="P322" s="76"/>
      <c r="Q322" s="77"/>
    </row>
    <row r="323" spans="13:17" x14ac:dyDescent="0.25">
      <c r="M323" s="17"/>
      <c r="N323" s="17"/>
      <c r="O323" s="17"/>
      <c r="P323" s="76"/>
      <c r="Q323" s="77"/>
    </row>
    <row r="324" spans="13:17" x14ac:dyDescent="0.25">
      <c r="M324" s="17"/>
      <c r="N324" s="17"/>
      <c r="O324" s="17"/>
      <c r="P324" s="76"/>
      <c r="Q324" s="77"/>
    </row>
    <row r="325" spans="13:17" x14ac:dyDescent="0.25">
      <c r="M325" s="17"/>
      <c r="N325" s="17"/>
      <c r="O325" s="17"/>
      <c r="P325" s="76"/>
      <c r="Q325" s="77"/>
    </row>
    <row r="326" spans="13:17" x14ac:dyDescent="0.25">
      <c r="M326" s="17"/>
      <c r="N326" s="17"/>
      <c r="O326" s="17"/>
      <c r="P326" s="76"/>
      <c r="Q326" s="77"/>
    </row>
    <row r="327" spans="13:17" x14ac:dyDescent="0.25">
      <c r="M327" s="17"/>
      <c r="N327" s="17"/>
      <c r="O327" s="17"/>
      <c r="P327" s="76"/>
      <c r="Q327" s="77"/>
    </row>
    <row r="328" spans="13:17" x14ac:dyDescent="0.25">
      <c r="M328" s="17"/>
      <c r="N328" s="17"/>
      <c r="O328" s="17"/>
      <c r="P328" s="76"/>
      <c r="Q328" s="77"/>
    </row>
    <row r="329" spans="13:17" x14ac:dyDescent="0.25">
      <c r="M329" s="17"/>
      <c r="N329" s="17"/>
      <c r="O329" s="17"/>
      <c r="P329" s="76"/>
      <c r="Q329" s="77"/>
    </row>
    <row r="330" spans="13:17" x14ac:dyDescent="0.25">
      <c r="M330" s="17"/>
      <c r="N330" s="17"/>
      <c r="O330" s="17"/>
      <c r="P330" s="76"/>
      <c r="Q330" s="77"/>
    </row>
    <row r="331" spans="13:17" x14ac:dyDescent="0.25">
      <c r="M331" s="17"/>
      <c r="N331" s="17"/>
      <c r="O331" s="17"/>
      <c r="P331" s="76"/>
      <c r="Q331" s="77"/>
    </row>
    <row r="332" spans="13:17" x14ac:dyDescent="0.25">
      <c r="M332" s="17"/>
      <c r="N332" s="17"/>
      <c r="O332" s="17"/>
      <c r="P332" s="76"/>
      <c r="Q332" s="77"/>
    </row>
    <row r="333" spans="13:17" x14ac:dyDescent="0.25">
      <c r="M333" s="17"/>
      <c r="N333" s="17"/>
      <c r="O333" s="17"/>
      <c r="P333" s="76"/>
      <c r="Q333" s="77"/>
    </row>
    <row r="334" spans="13:17" x14ac:dyDescent="0.25">
      <c r="M334" s="17"/>
      <c r="N334" s="17"/>
      <c r="O334" s="17"/>
      <c r="P334" s="76"/>
      <c r="Q334" s="77"/>
    </row>
    <row r="335" spans="13:17" x14ac:dyDescent="0.25">
      <c r="M335" s="17"/>
      <c r="N335" s="17"/>
      <c r="O335" s="17"/>
      <c r="P335" s="76"/>
      <c r="Q335" s="77"/>
    </row>
    <row r="336" spans="13:17" x14ac:dyDescent="0.25">
      <c r="M336" s="17"/>
      <c r="N336" s="17"/>
      <c r="O336" s="17"/>
      <c r="P336" s="76"/>
      <c r="Q336" s="77"/>
    </row>
    <row r="337" spans="13:17" x14ac:dyDescent="0.25">
      <c r="M337" s="17"/>
      <c r="N337" s="17"/>
      <c r="O337" s="17"/>
      <c r="P337" s="76"/>
      <c r="Q337" s="77"/>
    </row>
    <row r="338" spans="13:17" x14ac:dyDescent="0.25">
      <c r="M338" s="17"/>
      <c r="N338" s="17"/>
      <c r="O338" s="17"/>
      <c r="P338" s="76"/>
      <c r="Q338" s="77"/>
    </row>
    <row r="339" spans="13:17" x14ac:dyDescent="0.25">
      <c r="M339" s="17"/>
      <c r="N339" s="17"/>
      <c r="O339" s="17"/>
      <c r="P339" s="76"/>
      <c r="Q339" s="77"/>
    </row>
    <row r="340" spans="13:17" x14ac:dyDescent="0.25">
      <c r="M340" s="17"/>
      <c r="N340" s="17"/>
      <c r="O340" s="17"/>
      <c r="P340" s="76"/>
      <c r="Q340" s="77"/>
    </row>
    <row r="341" spans="13:17" x14ac:dyDescent="0.25">
      <c r="M341" s="17"/>
      <c r="N341" s="17"/>
      <c r="O341" s="17"/>
      <c r="P341" s="76"/>
      <c r="Q341" s="77"/>
    </row>
    <row r="342" spans="13:17" x14ac:dyDescent="0.25">
      <c r="M342" s="17"/>
      <c r="N342" s="17"/>
      <c r="O342" s="17"/>
      <c r="P342" s="76"/>
      <c r="Q342" s="77"/>
    </row>
    <row r="343" spans="13:17" x14ac:dyDescent="0.25">
      <c r="M343" s="17"/>
      <c r="N343" s="17"/>
      <c r="O343" s="17"/>
      <c r="P343" s="76"/>
      <c r="Q343" s="77"/>
    </row>
    <row r="344" spans="13:17" x14ac:dyDescent="0.25">
      <c r="M344" s="17"/>
      <c r="N344" s="17"/>
      <c r="O344" s="17"/>
      <c r="P344" s="76"/>
      <c r="Q344" s="77"/>
    </row>
    <row r="345" spans="13:17" x14ac:dyDescent="0.25">
      <c r="M345" s="17"/>
      <c r="N345" s="17"/>
      <c r="O345" s="17"/>
      <c r="P345" s="76"/>
      <c r="Q345" s="77"/>
    </row>
    <row r="346" spans="13:17" x14ac:dyDescent="0.25">
      <c r="M346" s="17"/>
      <c r="N346" s="17"/>
      <c r="O346" s="17"/>
      <c r="P346" s="76"/>
      <c r="Q346" s="77"/>
    </row>
    <row r="347" spans="13:17" x14ac:dyDescent="0.25">
      <c r="M347" s="17"/>
      <c r="N347" s="17"/>
      <c r="O347" s="17"/>
      <c r="P347" s="76"/>
      <c r="Q347" s="77"/>
    </row>
    <row r="348" spans="13:17" x14ac:dyDescent="0.25">
      <c r="M348" s="17"/>
      <c r="N348" s="17"/>
      <c r="O348" s="17"/>
      <c r="P348" s="76"/>
      <c r="Q348" s="77"/>
    </row>
    <row r="349" spans="13:17" x14ac:dyDescent="0.25">
      <c r="M349" s="17"/>
      <c r="N349" s="17"/>
      <c r="O349" s="17"/>
      <c r="P349" s="76"/>
      <c r="Q349" s="77"/>
    </row>
    <row r="350" spans="13:17" x14ac:dyDescent="0.25">
      <c r="M350" s="17"/>
      <c r="N350" s="17"/>
      <c r="O350" s="17"/>
      <c r="P350" s="76"/>
      <c r="Q350" s="77"/>
    </row>
    <row r="351" spans="13:17" x14ac:dyDescent="0.25">
      <c r="M351" s="17"/>
      <c r="N351" s="17"/>
      <c r="O351" s="17"/>
      <c r="P351" s="76"/>
      <c r="Q351" s="77"/>
    </row>
    <row r="352" spans="13:17" x14ac:dyDescent="0.25">
      <c r="M352" s="17"/>
      <c r="N352" s="17"/>
      <c r="O352" s="17"/>
      <c r="P352" s="76"/>
      <c r="Q352" s="77"/>
    </row>
    <row r="353" spans="13:17" x14ac:dyDescent="0.25">
      <c r="M353" s="17"/>
      <c r="N353" s="17"/>
      <c r="O353" s="17"/>
      <c r="P353" s="76"/>
      <c r="Q353" s="77"/>
    </row>
    <row r="354" spans="13:17" x14ac:dyDescent="0.25">
      <c r="M354" s="17"/>
      <c r="N354" s="17"/>
      <c r="O354" s="17"/>
      <c r="P354" s="76"/>
      <c r="Q354" s="77"/>
    </row>
    <row r="355" spans="13:17" x14ac:dyDescent="0.25">
      <c r="M355" s="17"/>
      <c r="N355" s="17"/>
      <c r="O355" s="17"/>
      <c r="P355" s="76"/>
      <c r="Q355" s="77"/>
    </row>
    <row r="356" spans="13:17" x14ac:dyDescent="0.25">
      <c r="M356" s="17"/>
      <c r="N356" s="17"/>
      <c r="O356" s="17"/>
      <c r="P356" s="76"/>
      <c r="Q356" s="77"/>
    </row>
    <row r="357" spans="13:17" x14ac:dyDescent="0.25">
      <c r="M357" s="17"/>
      <c r="N357" s="17"/>
      <c r="O357" s="17"/>
      <c r="P357" s="76"/>
      <c r="Q357" s="77"/>
    </row>
    <row r="358" spans="13:17" x14ac:dyDescent="0.25">
      <c r="M358" s="17"/>
      <c r="N358" s="17"/>
      <c r="O358" s="17"/>
      <c r="P358" s="76"/>
      <c r="Q358" s="77"/>
    </row>
    <row r="359" spans="13:17" x14ac:dyDescent="0.25">
      <c r="M359" s="17"/>
      <c r="N359" s="17"/>
      <c r="O359" s="17"/>
      <c r="P359" s="76"/>
      <c r="Q359" s="77"/>
    </row>
    <row r="360" spans="13:17" x14ac:dyDescent="0.25">
      <c r="M360" s="17"/>
      <c r="N360" s="17"/>
      <c r="O360" s="17"/>
      <c r="P360" s="76"/>
      <c r="Q360" s="77"/>
    </row>
    <row r="361" spans="13:17" x14ac:dyDescent="0.25">
      <c r="M361" s="17"/>
      <c r="N361" s="17"/>
      <c r="O361" s="17"/>
      <c r="P361" s="76"/>
      <c r="Q361" s="77"/>
    </row>
    <row r="362" spans="13:17" x14ac:dyDescent="0.25">
      <c r="M362" s="17"/>
      <c r="N362" s="17"/>
      <c r="O362" s="17"/>
      <c r="P362" s="76"/>
      <c r="Q362" s="77"/>
    </row>
    <row r="363" spans="13:17" x14ac:dyDescent="0.25">
      <c r="M363" s="17"/>
      <c r="N363" s="17"/>
      <c r="O363" s="17"/>
      <c r="P363" s="76"/>
      <c r="Q363" s="77"/>
    </row>
    <row r="364" spans="13:17" x14ac:dyDescent="0.25">
      <c r="M364" s="17"/>
      <c r="N364" s="17"/>
      <c r="O364" s="17"/>
      <c r="P364" s="76"/>
      <c r="Q364" s="77"/>
    </row>
    <row r="365" spans="13:17" x14ac:dyDescent="0.25">
      <c r="M365" s="17"/>
      <c r="N365" s="17"/>
      <c r="O365" s="17"/>
      <c r="P365" s="76"/>
      <c r="Q365" s="77"/>
    </row>
    <row r="366" spans="13:17" x14ac:dyDescent="0.25">
      <c r="M366" s="17"/>
      <c r="N366" s="17"/>
      <c r="O366" s="17"/>
      <c r="P366" s="76"/>
      <c r="Q366" s="77"/>
    </row>
    <row r="367" spans="13:17" x14ac:dyDescent="0.25">
      <c r="M367" s="17"/>
      <c r="N367" s="17"/>
      <c r="O367" s="17"/>
      <c r="P367" s="76"/>
      <c r="Q367" s="77"/>
    </row>
    <row r="368" spans="13:17" x14ac:dyDescent="0.25">
      <c r="M368" s="17"/>
      <c r="N368" s="17"/>
      <c r="O368" s="17"/>
      <c r="P368" s="76"/>
      <c r="Q368" s="77"/>
    </row>
    <row r="369" spans="13:17" x14ac:dyDescent="0.25">
      <c r="M369" s="17"/>
      <c r="N369" s="17"/>
      <c r="O369" s="17"/>
      <c r="P369" s="76"/>
      <c r="Q369" s="77"/>
    </row>
    <row r="370" spans="13:17" x14ac:dyDescent="0.25">
      <c r="M370" s="17"/>
      <c r="N370" s="17"/>
      <c r="O370" s="17"/>
      <c r="P370" s="76"/>
      <c r="Q370" s="77"/>
    </row>
    <row r="371" spans="13:17" x14ac:dyDescent="0.25">
      <c r="M371" s="17"/>
      <c r="N371" s="17"/>
      <c r="O371" s="17"/>
      <c r="P371" s="76"/>
      <c r="Q371" s="77"/>
    </row>
    <row r="372" spans="13:17" x14ac:dyDescent="0.25">
      <c r="M372" s="17"/>
      <c r="N372" s="17"/>
      <c r="O372" s="17"/>
      <c r="P372" s="76"/>
      <c r="Q372" s="77"/>
    </row>
    <row r="373" spans="13:17" x14ac:dyDescent="0.25">
      <c r="M373" s="17"/>
      <c r="N373" s="17"/>
      <c r="O373" s="17"/>
      <c r="P373" s="76"/>
      <c r="Q373" s="77"/>
    </row>
    <row r="374" spans="13:17" x14ac:dyDescent="0.25">
      <c r="M374" s="17"/>
      <c r="N374" s="17"/>
      <c r="O374" s="17"/>
      <c r="P374" s="76"/>
      <c r="Q374" s="77"/>
    </row>
    <row r="375" spans="13:17" x14ac:dyDescent="0.25">
      <c r="M375" s="17"/>
      <c r="N375" s="17"/>
      <c r="O375" s="17"/>
      <c r="P375" s="76"/>
      <c r="Q375" s="77"/>
    </row>
    <row r="376" spans="13:17" x14ac:dyDescent="0.25">
      <c r="M376" s="17"/>
      <c r="N376" s="17"/>
      <c r="O376" s="17"/>
      <c r="P376" s="76"/>
      <c r="Q376" s="77"/>
    </row>
    <row r="377" spans="13:17" x14ac:dyDescent="0.25">
      <c r="M377" s="17"/>
      <c r="N377" s="17"/>
      <c r="O377" s="17"/>
      <c r="P377" s="76"/>
      <c r="Q377" s="77"/>
    </row>
    <row r="378" spans="13:17" x14ac:dyDescent="0.25">
      <c r="M378" s="17"/>
      <c r="N378" s="17"/>
      <c r="O378" s="17"/>
      <c r="P378" s="76"/>
      <c r="Q378" s="77"/>
    </row>
    <row r="379" spans="13:17" x14ac:dyDescent="0.25">
      <c r="M379" s="17"/>
      <c r="N379" s="17"/>
      <c r="O379" s="17"/>
      <c r="P379" s="76"/>
      <c r="Q379" s="77"/>
    </row>
    <row r="380" spans="13:17" x14ac:dyDescent="0.25">
      <c r="M380" s="17"/>
      <c r="N380" s="17"/>
      <c r="O380" s="17"/>
      <c r="P380" s="76"/>
      <c r="Q380" s="77"/>
    </row>
    <row r="381" spans="13:17" x14ac:dyDescent="0.25">
      <c r="M381" s="17"/>
      <c r="N381" s="17"/>
      <c r="O381" s="17"/>
      <c r="P381" s="76"/>
      <c r="Q381" s="77"/>
    </row>
    <row r="382" spans="13:17" x14ac:dyDescent="0.25">
      <c r="M382" s="17"/>
      <c r="N382" s="17"/>
      <c r="O382" s="17"/>
      <c r="P382" s="76"/>
      <c r="Q382" s="77"/>
    </row>
    <row r="383" spans="13:17" x14ac:dyDescent="0.25">
      <c r="M383" s="17"/>
      <c r="N383" s="17"/>
      <c r="O383" s="17"/>
      <c r="P383" s="76"/>
      <c r="Q383" s="77"/>
    </row>
    <row r="384" spans="13:17" x14ac:dyDescent="0.25">
      <c r="M384" s="17"/>
      <c r="N384" s="17"/>
      <c r="O384" s="17"/>
      <c r="P384" s="76"/>
      <c r="Q384" s="77"/>
    </row>
    <row r="385" spans="13:17" x14ac:dyDescent="0.25">
      <c r="M385" s="17"/>
      <c r="N385" s="17"/>
      <c r="O385" s="17"/>
      <c r="P385" s="76"/>
      <c r="Q385" s="77"/>
    </row>
    <row r="386" spans="13:17" x14ac:dyDescent="0.25">
      <c r="M386" s="17"/>
      <c r="N386" s="17"/>
      <c r="O386" s="17"/>
      <c r="P386" s="76"/>
      <c r="Q386" s="77"/>
    </row>
    <row r="387" spans="13:17" x14ac:dyDescent="0.25">
      <c r="M387" s="17"/>
      <c r="N387" s="17"/>
      <c r="O387" s="17"/>
      <c r="P387" s="76"/>
      <c r="Q387" s="77"/>
    </row>
    <row r="388" spans="13:17" x14ac:dyDescent="0.25">
      <c r="M388" s="17"/>
      <c r="N388" s="17"/>
      <c r="O388" s="17"/>
      <c r="P388" s="76"/>
      <c r="Q388" s="77"/>
    </row>
    <row r="389" spans="13:17" x14ac:dyDescent="0.25">
      <c r="M389" s="17"/>
      <c r="N389" s="17"/>
      <c r="O389" s="17"/>
      <c r="P389" s="76"/>
      <c r="Q389" s="77"/>
    </row>
    <row r="390" spans="13:17" x14ac:dyDescent="0.25">
      <c r="M390" s="17"/>
      <c r="N390" s="17"/>
      <c r="O390" s="17"/>
      <c r="P390" s="76"/>
      <c r="Q390" s="77"/>
    </row>
    <row r="391" spans="13:17" x14ac:dyDescent="0.25">
      <c r="M391" s="17"/>
      <c r="N391" s="17"/>
      <c r="O391" s="17"/>
      <c r="P391" s="76"/>
      <c r="Q391" s="77"/>
    </row>
    <row r="392" spans="13:17" x14ac:dyDescent="0.25">
      <c r="M392" s="17"/>
      <c r="N392" s="17"/>
      <c r="O392" s="17"/>
      <c r="P392" s="76"/>
      <c r="Q392" s="77"/>
    </row>
    <row r="393" spans="13:17" x14ac:dyDescent="0.25">
      <c r="M393" s="17"/>
      <c r="N393" s="17"/>
      <c r="O393" s="17"/>
      <c r="P393" s="76"/>
      <c r="Q393" s="77"/>
    </row>
    <row r="394" spans="13:17" x14ac:dyDescent="0.25">
      <c r="M394" s="17"/>
      <c r="N394" s="17"/>
      <c r="O394" s="17"/>
      <c r="P394" s="76"/>
      <c r="Q394" s="77"/>
    </row>
    <row r="395" spans="13:17" x14ac:dyDescent="0.25">
      <c r="M395" s="17"/>
      <c r="N395" s="17"/>
      <c r="O395" s="17"/>
      <c r="P395" s="76"/>
      <c r="Q395" s="77"/>
    </row>
    <row r="396" spans="13:17" x14ac:dyDescent="0.25">
      <c r="M396" s="17"/>
      <c r="N396" s="17"/>
      <c r="O396" s="17"/>
      <c r="P396" s="76"/>
      <c r="Q396" s="77"/>
    </row>
    <row r="397" spans="13:17" x14ac:dyDescent="0.25">
      <c r="M397" s="17"/>
      <c r="N397" s="17"/>
      <c r="O397" s="17"/>
      <c r="P397" s="76"/>
      <c r="Q397" s="77"/>
    </row>
    <row r="398" spans="13:17" x14ac:dyDescent="0.25">
      <c r="M398" s="17"/>
      <c r="N398" s="17"/>
      <c r="O398" s="17"/>
      <c r="P398" s="76"/>
      <c r="Q398" s="77"/>
    </row>
    <row r="399" spans="13:17" x14ac:dyDescent="0.25">
      <c r="M399" s="17"/>
      <c r="N399" s="17"/>
      <c r="O399" s="17"/>
      <c r="Q399" s="77"/>
    </row>
    <row r="400" spans="13:17" x14ac:dyDescent="0.25">
      <c r="M400" s="17"/>
      <c r="N400" s="17"/>
      <c r="O400" s="17"/>
      <c r="Q400" s="77"/>
    </row>
    <row r="401" spans="13:17" x14ac:dyDescent="0.25">
      <c r="M401" s="17"/>
      <c r="N401" s="17"/>
      <c r="O401" s="17"/>
      <c r="Q401" s="77"/>
    </row>
    <row r="402" spans="13:17" x14ac:dyDescent="0.25">
      <c r="M402" s="17"/>
      <c r="N402" s="17"/>
      <c r="O402" s="17"/>
      <c r="Q402" s="77"/>
    </row>
    <row r="403" spans="13:17" x14ac:dyDescent="0.25">
      <c r="M403" s="17"/>
      <c r="N403" s="17"/>
      <c r="O403" s="17"/>
      <c r="Q403" s="77"/>
    </row>
    <row r="404" spans="13:17" x14ac:dyDescent="0.25">
      <c r="M404" s="17"/>
      <c r="N404" s="17"/>
      <c r="O404" s="17"/>
      <c r="Q404" s="77"/>
    </row>
    <row r="405" spans="13:17" x14ac:dyDescent="0.25">
      <c r="M405" s="17"/>
      <c r="N405" s="17"/>
      <c r="O405" s="17"/>
      <c r="Q405" s="77"/>
    </row>
    <row r="406" spans="13:17" x14ac:dyDescent="0.25">
      <c r="M406" s="17"/>
      <c r="N406" s="17"/>
      <c r="O406" s="17"/>
      <c r="Q406" s="77"/>
    </row>
    <row r="407" spans="13:17" x14ac:dyDescent="0.25">
      <c r="M407" s="17"/>
      <c r="N407" s="17"/>
      <c r="O407" s="17"/>
      <c r="Q407" s="77"/>
    </row>
    <row r="408" spans="13:17" x14ac:dyDescent="0.25">
      <c r="M408" s="17"/>
      <c r="N408" s="17"/>
      <c r="O408" s="17"/>
      <c r="Q408" s="77"/>
    </row>
    <row r="409" spans="13:17" x14ac:dyDescent="0.25">
      <c r="M409" s="17"/>
      <c r="N409" s="17"/>
      <c r="O409" s="17"/>
      <c r="Q409" s="77"/>
    </row>
    <row r="410" spans="13:17" x14ac:dyDescent="0.25">
      <c r="M410" s="17"/>
      <c r="N410" s="17"/>
      <c r="O410" s="17"/>
      <c r="Q410" s="77"/>
    </row>
    <row r="411" spans="13:17" x14ac:dyDescent="0.25">
      <c r="M411" s="17"/>
      <c r="N411" s="17"/>
      <c r="O411" s="17"/>
      <c r="Q411" s="77"/>
    </row>
    <row r="412" spans="13:17" x14ac:dyDescent="0.25">
      <c r="M412" s="17"/>
      <c r="N412" s="17"/>
      <c r="O412" s="17"/>
      <c r="Q412" s="77"/>
    </row>
    <row r="413" spans="13:17" x14ac:dyDescent="0.25">
      <c r="M413" s="17"/>
      <c r="N413" s="17"/>
      <c r="O413" s="17"/>
      <c r="Q413" s="77"/>
    </row>
    <row r="414" spans="13:17" x14ac:dyDescent="0.25">
      <c r="M414" s="17"/>
      <c r="N414" s="17"/>
      <c r="O414" s="17"/>
      <c r="Q414" s="77"/>
    </row>
    <row r="415" spans="13:17" x14ac:dyDescent="0.25">
      <c r="M415" s="17"/>
      <c r="N415" s="17"/>
      <c r="O415" s="17"/>
      <c r="Q415" s="77"/>
    </row>
    <row r="416" spans="13:17" x14ac:dyDescent="0.25">
      <c r="M416" s="17"/>
      <c r="N416" s="17"/>
      <c r="O416" s="17"/>
      <c r="Q416" s="77"/>
    </row>
    <row r="417" spans="13:17" x14ac:dyDescent="0.25">
      <c r="M417" s="17"/>
      <c r="N417" s="17"/>
      <c r="O417" s="17"/>
      <c r="Q417" s="77"/>
    </row>
    <row r="418" spans="13:17" x14ac:dyDescent="0.25">
      <c r="M418" s="17"/>
      <c r="N418" s="17"/>
      <c r="O418" s="17"/>
      <c r="Q418" s="77"/>
    </row>
    <row r="419" spans="13:17" x14ac:dyDescent="0.25">
      <c r="M419" s="17"/>
      <c r="N419" s="17"/>
      <c r="O419" s="17"/>
      <c r="Q419" s="77"/>
    </row>
    <row r="420" spans="13:17" x14ac:dyDescent="0.25">
      <c r="M420" s="17"/>
      <c r="N420" s="17"/>
      <c r="O420" s="17"/>
      <c r="Q420" s="77"/>
    </row>
    <row r="421" spans="13:17" x14ac:dyDescent="0.25">
      <c r="M421" s="17"/>
      <c r="N421" s="17"/>
      <c r="O421" s="17"/>
      <c r="Q421" s="77"/>
    </row>
    <row r="422" spans="13:17" x14ac:dyDescent="0.25">
      <c r="M422" s="17"/>
      <c r="N422" s="17"/>
      <c r="O422" s="17"/>
      <c r="Q422" s="77"/>
    </row>
    <row r="423" spans="13:17" x14ac:dyDescent="0.25">
      <c r="M423" s="17"/>
      <c r="N423" s="17"/>
      <c r="O423" s="17"/>
      <c r="Q423" s="77"/>
    </row>
    <row r="424" spans="13:17" x14ac:dyDescent="0.25">
      <c r="M424" s="17"/>
      <c r="N424" s="17"/>
      <c r="O424" s="17"/>
      <c r="Q424" s="77"/>
    </row>
    <row r="425" spans="13:17" x14ac:dyDescent="0.25">
      <c r="M425" s="17"/>
      <c r="N425" s="17"/>
      <c r="O425" s="17"/>
      <c r="Q425" s="77"/>
    </row>
    <row r="426" spans="13:17" x14ac:dyDescent="0.25">
      <c r="M426" s="17"/>
      <c r="N426" s="17"/>
      <c r="O426" s="17"/>
      <c r="Q426" s="77"/>
    </row>
    <row r="427" spans="13:17" x14ac:dyDescent="0.25">
      <c r="M427" s="17"/>
      <c r="N427" s="17"/>
      <c r="O427" s="17"/>
      <c r="Q427" s="77"/>
    </row>
    <row r="428" spans="13:17" x14ac:dyDescent="0.25">
      <c r="M428" s="17"/>
      <c r="N428" s="17"/>
      <c r="O428" s="17"/>
      <c r="Q428" s="77"/>
    </row>
    <row r="429" spans="13:17" x14ac:dyDescent="0.25">
      <c r="M429" s="17"/>
      <c r="N429" s="17"/>
      <c r="O429" s="17"/>
      <c r="Q429" s="77"/>
    </row>
    <row r="430" spans="13:17" x14ac:dyDescent="0.25">
      <c r="M430" s="17"/>
      <c r="N430" s="17"/>
      <c r="O430" s="17"/>
      <c r="Q430" s="77"/>
    </row>
    <row r="431" spans="13:17" x14ac:dyDescent="0.25">
      <c r="M431" s="17"/>
      <c r="N431" s="17"/>
      <c r="O431" s="17"/>
      <c r="Q431" s="77"/>
    </row>
    <row r="432" spans="13:17" x14ac:dyDescent="0.25">
      <c r="M432" s="17"/>
      <c r="N432" s="17"/>
      <c r="O432" s="17"/>
      <c r="Q432" s="77"/>
    </row>
    <row r="433" spans="13:17" x14ac:dyDescent="0.25">
      <c r="M433" s="17"/>
      <c r="N433" s="17"/>
      <c r="O433" s="17"/>
      <c r="Q433" s="77"/>
    </row>
    <row r="434" spans="13:17" x14ac:dyDescent="0.25">
      <c r="M434" s="17"/>
      <c r="N434" s="17"/>
      <c r="O434" s="17"/>
      <c r="Q434" s="77"/>
    </row>
    <row r="435" spans="13:17" x14ac:dyDescent="0.25">
      <c r="M435" s="17"/>
      <c r="N435" s="17"/>
      <c r="O435" s="17"/>
      <c r="Q435" s="77"/>
    </row>
    <row r="436" spans="13:17" x14ac:dyDescent="0.25">
      <c r="M436" s="17"/>
      <c r="N436" s="17"/>
      <c r="O436" s="17"/>
      <c r="Q436" s="77"/>
    </row>
    <row r="437" spans="13:17" x14ac:dyDescent="0.25">
      <c r="M437" s="17"/>
      <c r="N437" s="17"/>
      <c r="O437" s="17"/>
      <c r="Q437" s="77"/>
    </row>
    <row r="438" spans="13:17" x14ac:dyDescent="0.25">
      <c r="M438" s="17"/>
      <c r="N438" s="17"/>
      <c r="O438" s="17"/>
      <c r="Q438" s="77"/>
    </row>
    <row r="439" spans="13:17" x14ac:dyDescent="0.25">
      <c r="M439" s="17"/>
      <c r="N439" s="17"/>
      <c r="O439" s="17"/>
      <c r="Q439" s="77"/>
    </row>
    <row r="440" spans="13:17" x14ac:dyDescent="0.25">
      <c r="M440" s="17"/>
      <c r="N440" s="17"/>
      <c r="O440" s="17"/>
      <c r="Q440" s="77"/>
    </row>
    <row r="441" spans="13:17" x14ac:dyDescent="0.25">
      <c r="M441" s="17"/>
      <c r="N441" s="17"/>
      <c r="O441" s="17"/>
      <c r="Q441" s="77"/>
    </row>
    <row r="442" spans="13:17" x14ac:dyDescent="0.25">
      <c r="M442" s="17"/>
      <c r="N442" s="17"/>
      <c r="O442" s="17"/>
      <c r="Q442" s="77"/>
    </row>
    <row r="443" spans="13:17" x14ac:dyDescent="0.25">
      <c r="M443" s="17"/>
      <c r="N443" s="17"/>
      <c r="O443" s="17"/>
      <c r="Q443" s="77"/>
    </row>
    <row r="444" spans="13:17" x14ac:dyDescent="0.25">
      <c r="M444" s="17"/>
      <c r="N444" s="17"/>
      <c r="O444" s="17"/>
      <c r="Q444" s="77"/>
    </row>
    <row r="445" spans="13:17" x14ac:dyDescent="0.25">
      <c r="M445" s="17"/>
      <c r="N445" s="17"/>
      <c r="O445" s="17"/>
      <c r="Q445" s="77"/>
    </row>
    <row r="446" spans="13:17" x14ac:dyDescent="0.25">
      <c r="M446" s="17"/>
      <c r="N446" s="17"/>
      <c r="O446" s="17"/>
      <c r="Q446" s="77"/>
    </row>
    <row r="447" spans="13:17" x14ac:dyDescent="0.25">
      <c r="M447" s="17"/>
      <c r="N447" s="17"/>
      <c r="O447" s="17"/>
      <c r="Q447" s="77"/>
    </row>
    <row r="448" spans="13:17" x14ac:dyDescent="0.25">
      <c r="M448" s="17"/>
      <c r="N448" s="17"/>
      <c r="O448" s="17"/>
      <c r="Q448" s="77"/>
    </row>
    <row r="449" spans="13:17" x14ac:dyDescent="0.25">
      <c r="M449" s="17"/>
      <c r="N449" s="17"/>
      <c r="O449" s="17"/>
      <c r="Q449" s="77"/>
    </row>
    <row r="450" spans="13:17" x14ac:dyDescent="0.25">
      <c r="M450" s="17"/>
      <c r="N450" s="17"/>
      <c r="O450" s="17"/>
      <c r="Q450" s="77"/>
    </row>
    <row r="451" spans="13:17" x14ac:dyDescent="0.25">
      <c r="M451" s="17"/>
      <c r="N451" s="17"/>
      <c r="O451" s="17"/>
      <c r="Q451" s="77"/>
    </row>
    <row r="452" spans="13:17" x14ac:dyDescent="0.25">
      <c r="M452" s="17"/>
      <c r="N452" s="17"/>
      <c r="O452" s="17"/>
      <c r="Q452" s="77"/>
    </row>
    <row r="453" spans="13:17" x14ac:dyDescent="0.25">
      <c r="M453" s="17"/>
      <c r="N453" s="17"/>
      <c r="O453" s="17"/>
      <c r="Q453" s="77"/>
    </row>
    <row r="454" spans="13:17" x14ac:dyDescent="0.25">
      <c r="M454" s="17"/>
      <c r="N454" s="17"/>
      <c r="O454" s="17"/>
      <c r="Q454" s="77"/>
    </row>
    <row r="455" spans="13:17" x14ac:dyDescent="0.25">
      <c r="M455" s="17"/>
      <c r="N455" s="17"/>
      <c r="O455" s="17"/>
      <c r="Q455" s="77"/>
    </row>
    <row r="456" spans="13:17" x14ac:dyDescent="0.25">
      <c r="M456" s="17"/>
      <c r="N456" s="17"/>
      <c r="O456" s="17"/>
      <c r="Q456" s="77"/>
    </row>
    <row r="457" spans="13:17" x14ac:dyDescent="0.25">
      <c r="M457" s="17"/>
      <c r="N457" s="17"/>
      <c r="O457" s="17"/>
      <c r="Q457" s="77"/>
    </row>
    <row r="458" spans="13:17" x14ac:dyDescent="0.25">
      <c r="M458" s="17"/>
      <c r="N458" s="17"/>
      <c r="O458" s="17"/>
      <c r="Q458" s="77"/>
    </row>
    <row r="459" spans="13:17" x14ac:dyDescent="0.25">
      <c r="M459" s="17"/>
      <c r="N459" s="17"/>
      <c r="O459" s="17"/>
      <c r="Q459" s="77"/>
    </row>
    <row r="460" spans="13:17" x14ac:dyDescent="0.25">
      <c r="M460" s="17"/>
      <c r="N460" s="17"/>
      <c r="O460" s="17"/>
      <c r="Q460" s="77"/>
    </row>
    <row r="461" spans="13:17" x14ac:dyDescent="0.25">
      <c r="M461" s="17"/>
      <c r="N461" s="17"/>
      <c r="O461" s="17"/>
      <c r="Q461" s="77"/>
    </row>
    <row r="462" spans="13:17" x14ac:dyDescent="0.25">
      <c r="M462" s="17"/>
      <c r="N462" s="17"/>
      <c r="O462" s="17"/>
      <c r="Q462" s="77"/>
    </row>
    <row r="463" spans="13:17" x14ac:dyDescent="0.25">
      <c r="M463" s="17"/>
      <c r="N463" s="17"/>
      <c r="O463" s="17"/>
      <c r="Q463" s="77"/>
    </row>
    <row r="464" spans="13:17" x14ac:dyDescent="0.25">
      <c r="M464" s="17"/>
      <c r="N464" s="17"/>
      <c r="O464" s="17"/>
      <c r="Q464" s="77"/>
    </row>
    <row r="465" spans="13:17" x14ac:dyDescent="0.25">
      <c r="M465" s="17"/>
      <c r="N465" s="17"/>
      <c r="O465" s="17"/>
      <c r="Q465" s="77"/>
    </row>
    <row r="466" spans="13:17" x14ac:dyDescent="0.25">
      <c r="M466" s="17"/>
      <c r="N466" s="17"/>
      <c r="O466" s="17"/>
      <c r="Q466" s="77"/>
    </row>
    <row r="467" spans="13:17" x14ac:dyDescent="0.25">
      <c r="M467" s="17"/>
      <c r="N467" s="17"/>
      <c r="O467" s="17"/>
      <c r="Q467" s="77"/>
    </row>
    <row r="468" spans="13:17" x14ac:dyDescent="0.25">
      <c r="M468" s="17"/>
      <c r="N468" s="17"/>
      <c r="O468" s="17"/>
      <c r="Q468" s="77"/>
    </row>
    <row r="469" spans="13:17" x14ac:dyDescent="0.25">
      <c r="M469" s="17"/>
      <c r="N469" s="17"/>
      <c r="O469" s="17"/>
      <c r="Q469" s="77"/>
    </row>
    <row r="470" spans="13:17" x14ac:dyDescent="0.25">
      <c r="M470" s="17"/>
      <c r="N470" s="17"/>
      <c r="O470" s="17"/>
      <c r="Q470" s="77"/>
    </row>
    <row r="471" spans="13:17" x14ac:dyDescent="0.25">
      <c r="M471" s="17"/>
      <c r="N471" s="17"/>
      <c r="O471" s="17"/>
      <c r="Q471" s="77"/>
    </row>
    <row r="472" spans="13:17" x14ac:dyDescent="0.25">
      <c r="M472" s="17"/>
      <c r="N472" s="17"/>
      <c r="O472" s="17"/>
      <c r="Q472" s="77"/>
    </row>
    <row r="473" spans="13:17" x14ac:dyDescent="0.25">
      <c r="M473" s="17"/>
      <c r="N473" s="17"/>
      <c r="O473" s="17"/>
      <c r="Q473" s="77"/>
    </row>
    <row r="474" spans="13:17" x14ac:dyDescent="0.25">
      <c r="M474" s="17"/>
      <c r="N474" s="17"/>
      <c r="O474" s="17"/>
      <c r="Q474" s="77"/>
    </row>
    <row r="475" spans="13:17" x14ac:dyDescent="0.25">
      <c r="M475" s="17"/>
      <c r="N475" s="17"/>
      <c r="O475" s="17"/>
      <c r="Q475" s="77"/>
    </row>
    <row r="476" spans="13:17" x14ac:dyDescent="0.25">
      <c r="M476" s="17"/>
      <c r="N476" s="17"/>
      <c r="O476" s="17"/>
      <c r="Q476" s="77"/>
    </row>
    <row r="477" spans="13:17" x14ac:dyDescent="0.25">
      <c r="M477" s="17"/>
      <c r="N477" s="17"/>
      <c r="O477" s="17"/>
      <c r="Q477" s="77"/>
    </row>
    <row r="478" spans="13:17" x14ac:dyDescent="0.25">
      <c r="M478" s="17"/>
      <c r="N478" s="17"/>
      <c r="O478" s="17"/>
      <c r="Q478" s="77"/>
    </row>
    <row r="479" spans="13:17" x14ac:dyDescent="0.25">
      <c r="M479" s="17"/>
      <c r="N479" s="17"/>
      <c r="O479" s="17"/>
      <c r="Q479" s="77"/>
    </row>
    <row r="480" spans="13:17" x14ac:dyDescent="0.25">
      <c r="M480" s="17"/>
      <c r="N480" s="17"/>
      <c r="O480" s="17"/>
      <c r="Q480" s="77"/>
    </row>
    <row r="481" spans="13:17" x14ac:dyDescent="0.25">
      <c r="M481" s="17"/>
      <c r="N481" s="17"/>
      <c r="O481" s="17"/>
      <c r="Q481" s="77"/>
    </row>
    <row r="482" spans="13:17" x14ac:dyDescent="0.25">
      <c r="M482" s="17"/>
      <c r="N482" s="17"/>
      <c r="O482" s="17"/>
      <c r="Q482" s="77"/>
    </row>
    <row r="483" spans="13:17" x14ac:dyDescent="0.25">
      <c r="M483" s="17"/>
      <c r="N483" s="17"/>
      <c r="O483" s="17"/>
      <c r="Q483" s="77"/>
    </row>
    <row r="484" spans="13:17" x14ac:dyDescent="0.25">
      <c r="M484" s="17"/>
      <c r="N484" s="17"/>
      <c r="O484" s="17"/>
      <c r="Q484" s="77"/>
    </row>
    <row r="485" spans="13:17" x14ac:dyDescent="0.25">
      <c r="M485" s="17"/>
      <c r="N485" s="17"/>
      <c r="O485" s="17"/>
      <c r="Q485" s="77"/>
    </row>
    <row r="486" spans="13:17" x14ac:dyDescent="0.25">
      <c r="M486" s="17"/>
      <c r="N486" s="17"/>
      <c r="O486" s="17"/>
      <c r="Q486" s="77"/>
    </row>
    <row r="487" spans="13:17" x14ac:dyDescent="0.25">
      <c r="M487" s="17"/>
      <c r="N487" s="17"/>
      <c r="O487" s="17"/>
      <c r="Q487" s="77"/>
    </row>
    <row r="488" spans="13:17" x14ac:dyDescent="0.25">
      <c r="M488" s="17"/>
      <c r="N488" s="17"/>
      <c r="O488" s="17"/>
      <c r="Q488" s="77"/>
    </row>
    <row r="489" spans="13:17" x14ac:dyDescent="0.25">
      <c r="M489" s="17"/>
      <c r="N489" s="17"/>
      <c r="O489" s="17"/>
      <c r="Q489" s="77"/>
    </row>
    <row r="490" spans="13:17" x14ac:dyDescent="0.25">
      <c r="M490" s="17"/>
      <c r="N490" s="17"/>
      <c r="O490" s="17"/>
      <c r="Q490" s="77"/>
    </row>
    <row r="491" spans="13:17" x14ac:dyDescent="0.25">
      <c r="M491" s="17"/>
      <c r="N491" s="17"/>
      <c r="O491" s="17"/>
      <c r="Q491" s="77"/>
    </row>
    <row r="492" spans="13:17" x14ac:dyDescent="0.25">
      <c r="M492" s="17"/>
      <c r="N492" s="17"/>
      <c r="O492" s="17"/>
      <c r="Q492" s="77"/>
    </row>
    <row r="493" spans="13:17" x14ac:dyDescent="0.25">
      <c r="M493" s="17"/>
      <c r="N493" s="17"/>
      <c r="O493" s="17"/>
      <c r="Q493" s="77"/>
    </row>
    <row r="494" spans="13:17" x14ac:dyDescent="0.25">
      <c r="M494" s="17"/>
      <c r="N494" s="17"/>
      <c r="O494" s="17"/>
      <c r="Q494" s="77"/>
    </row>
    <row r="495" spans="13:17" x14ac:dyDescent="0.25">
      <c r="M495" s="17"/>
      <c r="N495" s="17"/>
      <c r="O495" s="17"/>
      <c r="Q495" s="77"/>
    </row>
    <row r="496" spans="13:17" x14ac:dyDescent="0.25">
      <c r="M496" s="17"/>
      <c r="N496" s="17"/>
      <c r="O496" s="17"/>
      <c r="Q496" s="77"/>
    </row>
    <row r="497" spans="13:17" x14ac:dyDescent="0.25">
      <c r="M497" s="17"/>
      <c r="N497" s="17"/>
      <c r="O497" s="17"/>
      <c r="Q497" s="77"/>
    </row>
    <row r="498" spans="13:17" x14ac:dyDescent="0.25">
      <c r="M498" s="17"/>
      <c r="N498" s="17"/>
      <c r="O498" s="17"/>
      <c r="Q498" s="77"/>
    </row>
    <row r="499" spans="13:17" x14ac:dyDescent="0.25">
      <c r="M499" s="17"/>
      <c r="N499" s="17"/>
      <c r="O499" s="17"/>
      <c r="Q499" s="77"/>
    </row>
    <row r="500" spans="13:17" x14ac:dyDescent="0.25">
      <c r="M500" s="17"/>
      <c r="N500" s="17"/>
      <c r="O500" s="17"/>
      <c r="Q500" s="77"/>
    </row>
    <row r="501" spans="13:17" x14ac:dyDescent="0.25">
      <c r="M501" s="17"/>
      <c r="N501" s="17"/>
      <c r="O501" s="17"/>
      <c r="Q501" s="77"/>
    </row>
    <row r="502" spans="13:17" x14ac:dyDescent="0.25">
      <c r="M502" s="17"/>
      <c r="N502" s="17"/>
      <c r="O502" s="17"/>
      <c r="Q502" s="77"/>
    </row>
    <row r="503" spans="13:17" x14ac:dyDescent="0.25">
      <c r="M503" s="17"/>
      <c r="N503" s="17"/>
      <c r="O503" s="17"/>
      <c r="Q503" s="77"/>
    </row>
    <row r="504" spans="13:17" x14ac:dyDescent="0.25">
      <c r="M504" s="17"/>
      <c r="N504" s="17"/>
      <c r="O504" s="17"/>
      <c r="Q504" s="77"/>
    </row>
    <row r="505" spans="13:17" x14ac:dyDescent="0.25">
      <c r="M505" s="17"/>
      <c r="N505" s="17"/>
      <c r="O505" s="17"/>
      <c r="Q505" s="77"/>
    </row>
    <row r="506" spans="13:17" x14ac:dyDescent="0.25">
      <c r="M506" s="17"/>
      <c r="N506" s="17"/>
      <c r="O506" s="17"/>
      <c r="Q506" s="77"/>
    </row>
    <row r="507" spans="13:17" x14ac:dyDescent="0.25">
      <c r="M507" s="17"/>
      <c r="N507" s="17"/>
      <c r="O507" s="17"/>
      <c r="Q507" s="77"/>
    </row>
    <row r="508" spans="13:17" x14ac:dyDescent="0.25">
      <c r="M508" s="17"/>
      <c r="N508" s="17"/>
      <c r="O508" s="17"/>
      <c r="Q508" s="77"/>
    </row>
    <row r="509" spans="13:17" x14ac:dyDescent="0.25">
      <c r="M509" s="17"/>
      <c r="N509" s="17"/>
      <c r="O509" s="17"/>
      <c r="Q509" s="77"/>
    </row>
    <row r="510" spans="13:17" x14ac:dyDescent="0.25">
      <c r="M510" s="17"/>
      <c r="N510" s="17"/>
      <c r="O510" s="17"/>
      <c r="Q510" s="77"/>
    </row>
    <row r="511" spans="13:17" x14ac:dyDescent="0.25">
      <c r="M511" s="17"/>
      <c r="N511" s="17"/>
      <c r="O511" s="17"/>
      <c r="Q511" s="77"/>
    </row>
    <row r="512" spans="13:17" x14ac:dyDescent="0.25">
      <c r="M512" s="17"/>
      <c r="N512" s="17"/>
      <c r="O512" s="17"/>
      <c r="Q512" s="77"/>
    </row>
    <row r="513" spans="13:17" x14ac:dyDescent="0.25">
      <c r="M513" s="17"/>
      <c r="N513" s="17"/>
      <c r="O513" s="17"/>
      <c r="Q513" s="77"/>
    </row>
    <row r="514" spans="13:17" x14ac:dyDescent="0.25">
      <c r="M514" s="17"/>
      <c r="N514" s="17"/>
      <c r="O514" s="17"/>
      <c r="Q514" s="77"/>
    </row>
    <row r="515" spans="13:17" x14ac:dyDescent="0.25">
      <c r="M515" s="17"/>
      <c r="N515" s="17"/>
      <c r="O515" s="17"/>
      <c r="Q515" s="77"/>
    </row>
    <row r="516" spans="13:17" x14ac:dyDescent="0.25">
      <c r="M516" s="17"/>
      <c r="N516" s="17"/>
      <c r="O516" s="17"/>
      <c r="Q516" s="77"/>
    </row>
    <row r="517" spans="13:17" x14ac:dyDescent="0.25">
      <c r="M517" s="17"/>
      <c r="N517" s="17"/>
      <c r="O517" s="17"/>
      <c r="Q517" s="77"/>
    </row>
    <row r="518" spans="13:17" x14ac:dyDescent="0.25">
      <c r="M518" s="17"/>
      <c r="N518" s="17"/>
      <c r="O518" s="17"/>
      <c r="Q518" s="77"/>
    </row>
    <row r="519" spans="13:17" x14ac:dyDescent="0.25">
      <c r="M519" s="17"/>
      <c r="N519" s="17"/>
      <c r="O519" s="17"/>
      <c r="Q519" s="77"/>
    </row>
    <row r="520" spans="13:17" x14ac:dyDescent="0.25">
      <c r="M520" s="17"/>
      <c r="N520" s="17"/>
      <c r="O520" s="17"/>
      <c r="Q520" s="77"/>
    </row>
    <row r="521" spans="13:17" x14ac:dyDescent="0.25">
      <c r="M521" s="17"/>
      <c r="N521" s="17"/>
      <c r="O521" s="17"/>
      <c r="Q521" s="77"/>
    </row>
    <row r="522" spans="13:17" x14ac:dyDescent="0.25">
      <c r="M522" s="17"/>
      <c r="N522" s="17"/>
      <c r="O522" s="17"/>
      <c r="Q522" s="77"/>
    </row>
    <row r="523" spans="13:17" x14ac:dyDescent="0.25">
      <c r="M523" s="17"/>
      <c r="N523" s="17"/>
      <c r="O523" s="17"/>
      <c r="Q523" s="77"/>
    </row>
    <row r="524" spans="13:17" x14ac:dyDescent="0.25">
      <c r="M524" s="17"/>
      <c r="N524" s="17"/>
      <c r="O524" s="17"/>
      <c r="Q524" s="77"/>
    </row>
    <row r="525" spans="13:17" x14ac:dyDescent="0.25">
      <c r="M525" s="17"/>
      <c r="N525" s="17"/>
      <c r="O525" s="17"/>
      <c r="Q525" s="77"/>
    </row>
    <row r="526" spans="13:17" x14ac:dyDescent="0.25">
      <c r="M526" s="17"/>
      <c r="N526" s="17"/>
      <c r="O526" s="17"/>
      <c r="Q526" s="77"/>
    </row>
    <row r="527" spans="13:17" x14ac:dyDescent="0.25">
      <c r="M527" s="17"/>
      <c r="N527" s="17"/>
      <c r="O527" s="17"/>
      <c r="Q527" s="77"/>
    </row>
    <row r="528" spans="13:17" x14ac:dyDescent="0.25">
      <c r="M528" s="17"/>
      <c r="N528" s="17"/>
      <c r="O528" s="17"/>
      <c r="Q528" s="77"/>
    </row>
    <row r="529" spans="13:17" x14ac:dyDescent="0.25">
      <c r="M529" s="17"/>
      <c r="N529" s="17"/>
      <c r="O529" s="17"/>
      <c r="Q529" s="77"/>
    </row>
    <row r="530" spans="13:17" x14ac:dyDescent="0.25">
      <c r="M530" s="17"/>
      <c r="N530" s="17"/>
      <c r="O530" s="17"/>
      <c r="Q530" s="77"/>
    </row>
    <row r="531" spans="13:17" x14ac:dyDescent="0.25">
      <c r="M531" s="17"/>
      <c r="N531" s="17"/>
      <c r="O531" s="17"/>
      <c r="Q531" s="77"/>
    </row>
    <row r="532" spans="13:17" x14ac:dyDescent="0.25">
      <c r="M532" s="17"/>
      <c r="N532" s="17"/>
      <c r="O532" s="17"/>
      <c r="Q532" s="77"/>
    </row>
    <row r="533" spans="13:17" x14ac:dyDescent="0.25">
      <c r="M533" s="17"/>
      <c r="N533" s="17"/>
      <c r="O533" s="17"/>
      <c r="Q533" s="77"/>
    </row>
    <row r="534" spans="13:17" x14ac:dyDescent="0.25">
      <c r="M534" s="17"/>
      <c r="N534" s="17"/>
      <c r="O534" s="17"/>
      <c r="Q534" s="77"/>
    </row>
    <row r="535" spans="13:17" x14ac:dyDescent="0.25">
      <c r="M535" s="17"/>
      <c r="N535" s="17"/>
      <c r="O535" s="17"/>
      <c r="Q535" s="77"/>
    </row>
    <row r="536" spans="13:17" x14ac:dyDescent="0.25">
      <c r="M536" s="17"/>
      <c r="N536" s="17"/>
      <c r="O536" s="17"/>
      <c r="Q536" s="77"/>
    </row>
    <row r="537" spans="13:17" x14ac:dyDescent="0.25">
      <c r="M537" s="17"/>
      <c r="N537" s="17"/>
      <c r="O537" s="17"/>
      <c r="Q537" s="77"/>
    </row>
    <row r="538" spans="13:17" x14ac:dyDescent="0.25">
      <c r="M538" s="17"/>
      <c r="N538" s="17"/>
      <c r="O538" s="17"/>
      <c r="Q538" s="77"/>
    </row>
    <row r="539" spans="13:17" x14ac:dyDescent="0.25">
      <c r="M539" s="17"/>
      <c r="N539" s="17"/>
      <c r="O539" s="17"/>
      <c r="Q539" s="77"/>
    </row>
    <row r="540" spans="13:17" x14ac:dyDescent="0.25">
      <c r="M540" s="17"/>
      <c r="N540" s="17"/>
      <c r="O540" s="17"/>
      <c r="Q540" s="77"/>
    </row>
    <row r="541" spans="13:17" x14ac:dyDescent="0.25">
      <c r="M541" s="17"/>
      <c r="N541" s="17"/>
      <c r="O541" s="17"/>
      <c r="Q541" s="77"/>
    </row>
    <row r="542" spans="13:17" x14ac:dyDescent="0.25">
      <c r="M542" s="17"/>
      <c r="N542" s="17"/>
      <c r="O542" s="17"/>
      <c r="Q542" s="77"/>
    </row>
    <row r="543" spans="13:17" x14ac:dyDescent="0.25">
      <c r="M543" s="17"/>
      <c r="N543" s="17"/>
      <c r="O543" s="17"/>
      <c r="Q543" s="77"/>
    </row>
    <row r="544" spans="13:17" x14ac:dyDescent="0.25">
      <c r="M544" s="17"/>
      <c r="N544" s="17"/>
      <c r="O544" s="17"/>
      <c r="Q544" s="77"/>
    </row>
    <row r="545" spans="13:17" x14ac:dyDescent="0.25">
      <c r="M545" s="17"/>
      <c r="N545" s="17"/>
      <c r="O545" s="17"/>
      <c r="Q545" s="77"/>
    </row>
    <row r="546" spans="13:17" x14ac:dyDescent="0.25">
      <c r="M546" s="17"/>
      <c r="N546" s="17"/>
      <c r="O546" s="17"/>
      <c r="Q546" s="77"/>
    </row>
    <row r="547" spans="13:17" x14ac:dyDescent="0.25">
      <c r="M547" s="17"/>
      <c r="N547" s="17"/>
      <c r="O547" s="17"/>
      <c r="Q547" s="77"/>
    </row>
    <row r="548" spans="13:17" x14ac:dyDescent="0.25">
      <c r="M548" s="17"/>
      <c r="N548" s="17"/>
      <c r="O548" s="17"/>
      <c r="Q548" s="77"/>
    </row>
    <row r="549" spans="13:17" x14ac:dyDescent="0.25">
      <c r="M549" s="17"/>
      <c r="N549" s="17"/>
      <c r="O549" s="17"/>
      <c r="Q549" s="77"/>
    </row>
    <row r="550" spans="13:17" x14ac:dyDescent="0.25">
      <c r="M550" s="17"/>
      <c r="N550" s="17"/>
      <c r="O550" s="17"/>
      <c r="Q550" s="77"/>
    </row>
    <row r="551" spans="13:17" x14ac:dyDescent="0.25">
      <c r="M551" s="17"/>
      <c r="N551" s="17"/>
      <c r="O551" s="17"/>
      <c r="Q551" s="77"/>
    </row>
    <row r="552" spans="13:17" x14ac:dyDescent="0.25">
      <c r="M552" s="17"/>
      <c r="N552" s="17"/>
      <c r="O552" s="17"/>
      <c r="Q552" s="77"/>
    </row>
    <row r="553" spans="13:17" x14ac:dyDescent="0.25">
      <c r="M553" s="17"/>
      <c r="N553" s="17"/>
      <c r="O553" s="17"/>
      <c r="Q553" s="77"/>
    </row>
    <row r="554" spans="13:17" x14ac:dyDescent="0.25">
      <c r="M554" s="17"/>
      <c r="N554" s="17"/>
      <c r="O554" s="17"/>
      <c r="Q554" s="77"/>
    </row>
    <row r="555" spans="13:17" x14ac:dyDescent="0.25">
      <c r="M555" s="17"/>
      <c r="N555" s="17"/>
      <c r="O555" s="17"/>
      <c r="Q555" s="77"/>
    </row>
    <row r="556" spans="13:17" x14ac:dyDescent="0.25">
      <c r="M556" s="17"/>
      <c r="N556" s="17"/>
      <c r="O556" s="17"/>
      <c r="Q556" s="77"/>
    </row>
    <row r="557" spans="13:17" x14ac:dyDescent="0.25">
      <c r="M557" s="17"/>
      <c r="N557" s="17"/>
      <c r="O557" s="17"/>
      <c r="Q557" s="77"/>
    </row>
    <row r="558" spans="13:17" x14ac:dyDescent="0.25">
      <c r="M558" s="17"/>
      <c r="N558" s="17"/>
      <c r="O558" s="17"/>
      <c r="Q558" s="77"/>
    </row>
    <row r="559" spans="13:17" x14ac:dyDescent="0.25">
      <c r="M559" s="17"/>
      <c r="N559" s="17"/>
      <c r="O559" s="17"/>
      <c r="Q559" s="77"/>
    </row>
    <row r="560" spans="13:17" x14ac:dyDescent="0.25">
      <c r="M560" s="17"/>
      <c r="N560" s="17"/>
      <c r="O560" s="17"/>
      <c r="Q560" s="77"/>
    </row>
    <row r="561" spans="13:17" x14ac:dyDescent="0.25">
      <c r="M561" s="17"/>
      <c r="N561" s="17"/>
      <c r="O561" s="17"/>
      <c r="Q561" s="77"/>
    </row>
    <row r="562" spans="13:17" x14ac:dyDescent="0.25">
      <c r="M562" s="17"/>
      <c r="N562" s="17"/>
      <c r="O562" s="17"/>
      <c r="Q562" s="77"/>
    </row>
    <row r="563" spans="13:17" x14ac:dyDescent="0.25">
      <c r="M563" s="17"/>
      <c r="N563" s="17"/>
      <c r="O563" s="17"/>
      <c r="Q563" s="77"/>
    </row>
    <row r="564" spans="13:17" x14ac:dyDescent="0.25">
      <c r="M564" s="17"/>
      <c r="N564" s="17"/>
      <c r="O564" s="17"/>
      <c r="Q564" s="77"/>
    </row>
    <row r="565" spans="13:17" x14ac:dyDescent="0.25">
      <c r="M565" s="17"/>
      <c r="N565" s="17"/>
      <c r="O565" s="17"/>
      <c r="Q565" s="77"/>
    </row>
    <row r="566" spans="13:17" x14ac:dyDescent="0.25">
      <c r="M566" s="17"/>
      <c r="N566" s="17"/>
      <c r="O566" s="17"/>
      <c r="Q566" s="77"/>
    </row>
    <row r="567" spans="13:17" x14ac:dyDescent="0.25">
      <c r="M567" s="17"/>
      <c r="N567" s="17"/>
      <c r="O567" s="17"/>
      <c r="Q567" s="77"/>
    </row>
    <row r="568" spans="13:17" x14ac:dyDescent="0.25">
      <c r="M568" s="17"/>
      <c r="N568" s="17"/>
      <c r="O568" s="17"/>
      <c r="Q568" s="77"/>
    </row>
    <row r="569" spans="13:17" x14ac:dyDescent="0.25">
      <c r="M569" s="17"/>
      <c r="N569" s="17"/>
      <c r="O569" s="17"/>
      <c r="Q569" s="77"/>
    </row>
    <row r="570" spans="13:17" x14ac:dyDescent="0.25">
      <c r="M570" s="17"/>
      <c r="N570" s="17"/>
      <c r="O570" s="17"/>
      <c r="Q570" s="77"/>
    </row>
    <row r="571" spans="13:17" x14ac:dyDescent="0.25">
      <c r="M571" s="17"/>
      <c r="N571" s="17"/>
      <c r="O571" s="17"/>
      <c r="Q571" s="77"/>
    </row>
    <row r="572" spans="13:17" x14ac:dyDescent="0.25">
      <c r="M572" s="17"/>
      <c r="N572" s="17"/>
      <c r="O572" s="17"/>
      <c r="Q572" s="77"/>
    </row>
    <row r="573" spans="13:17" x14ac:dyDescent="0.25">
      <c r="M573" s="17"/>
      <c r="N573" s="17"/>
      <c r="O573" s="17"/>
      <c r="Q573" s="77"/>
    </row>
    <row r="574" spans="13:17" x14ac:dyDescent="0.25">
      <c r="M574" s="17"/>
      <c r="N574" s="17"/>
      <c r="O574" s="17"/>
      <c r="Q574" s="77"/>
    </row>
    <row r="575" spans="13:17" x14ac:dyDescent="0.25">
      <c r="M575" s="17"/>
      <c r="N575" s="17"/>
      <c r="O575" s="17"/>
      <c r="Q575" s="77"/>
    </row>
    <row r="576" spans="13:17" x14ac:dyDescent="0.25">
      <c r="M576" s="17"/>
      <c r="N576" s="17"/>
      <c r="O576" s="17"/>
      <c r="Q576" s="77"/>
    </row>
    <row r="577" spans="13:17" x14ac:dyDescent="0.25">
      <c r="M577" s="17"/>
      <c r="N577" s="17"/>
      <c r="O577" s="17"/>
      <c r="Q577" s="77"/>
    </row>
    <row r="578" spans="13:17" x14ac:dyDescent="0.25">
      <c r="M578" s="17"/>
      <c r="N578" s="17"/>
      <c r="O578" s="17"/>
      <c r="Q578" s="77"/>
    </row>
    <row r="579" spans="13:17" x14ac:dyDescent="0.25">
      <c r="M579" s="17"/>
      <c r="N579" s="17"/>
      <c r="O579" s="17"/>
      <c r="Q579" s="77"/>
    </row>
    <row r="580" spans="13:17" x14ac:dyDescent="0.25">
      <c r="M580" s="17"/>
      <c r="N580" s="17"/>
      <c r="O580" s="17"/>
      <c r="Q580" s="77"/>
    </row>
    <row r="581" spans="13:17" x14ac:dyDescent="0.25">
      <c r="M581" s="17"/>
      <c r="N581" s="17"/>
      <c r="O581" s="17"/>
      <c r="Q581" s="77"/>
    </row>
    <row r="582" spans="13:17" x14ac:dyDescent="0.25">
      <c r="M582" s="17"/>
      <c r="N582" s="17"/>
      <c r="O582" s="17"/>
      <c r="Q582" s="77"/>
    </row>
    <row r="583" spans="13:17" x14ac:dyDescent="0.25">
      <c r="M583" s="17"/>
      <c r="N583" s="17"/>
      <c r="O583" s="17"/>
      <c r="Q583" s="77"/>
    </row>
    <row r="584" spans="13:17" x14ac:dyDescent="0.25">
      <c r="M584" s="17"/>
      <c r="N584" s="17"/>
      <c r="O584" s="17"/>
      <c r="Q584" s="77"/>
    </row>
    <row r="585" spans="13:17" x14ac:dyDescent="0.25">
      <c r="M585" s="17"/>
      <c r="N585" s="17"/>
      <c r="O585" s="17"/>
      <c r="Q585" s="77"/>
    </row>
    <row r="586" spans="13:17" x14ac:dyDescent="0.25">
      <c r="M586" s="17"/>
      <c r="N586" s="17"/>
      <c r="O586" s="17"/>
      <c r="Q586" s="77"/>
    </row>
    <row r="587" spans="13:17" x14ac:dyDescent="0.25">
      <c r="M587" s="17"/>
      <c r="N587" s="17"/>
      <c r="O587" s="17"/>
      <c r="Q587" s="77"/>
    </row>
    <row r="588" spans="13:17" x14ac:dyDescent="0.25">
      <c r="M588" s="17"/>
      <c r="N588" s="17"/>
      <c r="O588" s="17"/>
      <c r="Q588" s="77"/>
    </row>
    <row r="589" spans="13:17" x14ac:dyDescent="0.25">
      <c r="M589" s="17"/>
      <c r="N589" s="17"/>
      <c r="O589" s="17"/>
      <c r="Q589" s="77"/>
    </row>
    <row r="590" spans="13:17" x14ac:dyDescent="0.25">
      <c r="M590" s="17"/>
      <c r="N590" s="17"/>
      <c r="O590" s="17"/>
      <c r="Q590" s="77"/>
    </row>
    <row r="591" spans="13:17" x14ac:dyDescent="0.25">
      <c r="M591" s="17"/>
      <c r="N591" s="17"/>
      <c r="O591" s="17"/>
      <c r="Q591" s="77"/>
    </row>
    <row r="592" spans="13:17" x14ac:dyDescent="0.25">
      <c r="M592" s="17"/>
      <c r="N592" s="17"/>
      <c r="O592" s="17"/>
      <c r="Q592" s="77"/>
    </row>
    <row r="593" spans="13:17" x14ac:dyDescent="0.25">
      <c r="M593" s="17"/>
      <c r="N593" s="17"/>
      <c r="O593" s="17"/>
      <c r="Q593" s="77"/>
    </row>
    <row r="594" spans="13:17" x14ac:dyDescent="0.25">
      <c r="M594" s="17"/>
      <c r="N594" s="17"/>
      <c r="O594" s="17"/>
      <c r="Q594" s="77"/>
    </row>
    <row r="595" spans="13:17" x14ac:dyDescent="0.25">
      <c r="M595" s="17"/>
      <c r="N595" s="17"/>
      <c r="O595" s="17"/>
      <c r="Q595" s="77"/>
    </row>
    <row r="596" spans="13:17" x14ac:dyDescent="0.25">
      <c r="M596" s="17"/>
      <c r="N596" s="17"/>
      <c r="O596" s="17"/>
      <c r="Q596" s="77"/>
    </row>
    <row r="597" spans="13:17" x14ac:dyDescent="0.25">
      <c r="M597" s="17"/>
      <c r="N597" s="17"/>
      <c r="O597" s="17"/>
      <c r="Q597" s="77"/>
    </row>
    <row r="598" spans="13:17" x14ac:dyDescent="0.25">
      <c r="M598" s="17"/>
      <c r="N598" s="17"/>
      <c r="O598" s="17"/>
      <c r="Q598" s="77"/>
    </row>
    <row r="599" spans="13:17" x14ac:dyDescent="0.25">
      <c r="M599" s="17"/>
      <c r="N599" s="17"/>
      <c r="O599" s="17"/>
      <c r="Q599" s="77"/>
    </row>
    <row r="600" spans="13:17" x14ac:dyDescent="0.25">
      <c r="M600" s="17"/>
      <c r="N600" s="17"/>
      <c r="O600" s="17"/>
      <c r="Q600" s="77"/>
    </row>
    <row r="601" spans="13:17" x14ac:dyDescent="0.25">
      <c r="M601" s="17"/>
      <c r="N601" s="17"/>
      <c r="O601" s="17"/>
      <c r="Q601" s="77"/>
    </row>
    <row r="602" spans="13:17" x14ac:dyDescent="0.25">
      <c r="M602" s="17"/>
      <c r="N602" s="17"/>
      <c r="O602" s="17"/>
      <c r="Q602" s="77"/>
    </row>
    <row r="603" spans="13:17" x14ac:dyDescent="0.25">
      <c r="M603" s="17"/>
      <c r="N603" s="17"/>
      <c r="O603" s="17"/>
      <c r="Q603" s="77"/>
    </row>
    <row r="604" spans="13:17" x14ac:dyDescent="0.25">
      <c r="M604" s="17"/>
      <c r="N604" s="17"/>
      <c r="O604" s="17"/>
      <c r="Q604" s="77"/>
    </row>
    <row r="605" spans="13:17" x14ac:dyDescent="0.25">
      <c r="M605" s="17"/>
      <c r="N605" s="17"/>
      <c r="O605" s="17"/>
      <c r="Q605" s="77"/>
    </row>
    <row r="606" spans="13:17" x14ac:dyDescent="0.25">
      <c r="M606" s="17"/>
      <c r="N606" s="17"/>
      <c r="O606" s="17"/>
      <c r="Q606" s="77"/>
    </row>
    <row r="607" spans="13:17" x14ac:dyDescent="0.25">
      <c r="M607" s="17"/>
      <c r="N607" s="17"/>
      <c r="O607" s="17"/>
      <c r="Q607" s="77"/>
    </row>
    <row r="608" spans="13:17" x14ac:dyDescent="0.25">
      <c r="M608" s="17"/>
      <c r="N608" s="17"/>
      <c r="O608" s="17"/>
      <c r="Q608" s="77"/>
    </row>
    <row r="609" spans="13:17" x14ac:dyDescent="0.25">
      <c r="M609" s="17"/>
      <c r="N609" s="17"/>
      <c r="O609" s="17"/>
      <c r="Q609" s="77"/>
    </row>
    <row r="610" spans="13:17" x14ac:dyDescent="0.25">
      <c r="M610" s="17"/>
      <c r="N610" s="17"/>
      <c r="O610" s="17"/>
      <c r="Q610" s="77"/>
    </row>
    <row r="611" spans="13:17" x14ac:dyDescent="0.25">
      <c r="M611" s="17"/>
      <c r="N611" s="17"/>
      <c r="O611" s="17"/>
      <c r="Q611" s="77"/>
    </row>
    <row r="612" spans="13:17" x14ac:dyDescent="0.25">
      <c r="M612" s="17"/>
      <c r="N612" s="17"/>
      <c r="O612" s="17"/>
      <c r="Q612" s="77"/>
    </row>
    <row r="613" spans="13:17" x14ac:dyDescent="0.25">
      <c r="M613" s="17"/>
      <c r="N613" s="17"/>
      <c r="O613" s="17"/>
      <c r="Q613" s="77"/>
    </row>
    <row r="614" spans="13:17" x14ac:dyDescent="0.25">
      <c r="M614" s="17"/>
      <c r="N614" s="17"/>
      <c r="O614" s="17"/>
      <c r="Q614" s="77"/>
    </row>
    <row r="615" spans="13:17" x14ac:dyDescent="0.25">
      <c r="M615" s="17"/>
      <c r="N615" s="17"/>
      <c r="O615" s="17"/>
      <c r="Q615" s="77"/>
    </row>
    <row r="616" spans="13:17" x14ac:dyDescent="0.25">
      <c r="M616" s="17"/>
      <c r="N616" s="17"/>
      <c r="O616" s="17"/>
      <c r="Q616" s="77"/>
    </row>
    <row r="617" spans="13:17" x14ac:dyDescent="0.25">
      <c r="M617" s="17"/>
      <c r="N617" s="17"/>
      <c r="O617" s="17"/>
      <c r="Q617" s="77"/>
    </row>
    <row r="618" spans="13:17" x14ac:dyDescent="0.25">
      <c r="M618" s="17"/>
      <c r="N618" s="17"/>
      <c r="O618" s="17"/>
      <c r="Q618" s="77"/>
    </row>
    <row r="619" spans="13:17" x14ac:dyDescent="0.25">
      <c r="M619" s="17"/>
      <c r="N619" s="17"/>
      <c r="O619" s="17"/>
      <c r="Q619" s="77"/>
    </row>
    <row r="620" spans="13:17" x14ac:dyDescent="0.25">
      <c r="M620" s="17"/>
      <c r="N620" s="17"/>
      <c r="O620" s="17"/>
      <c r="Q620" s="77"/>
    </row>
    <row r="621" spans="13:17" x14ac:dyDescent="0.25">
      <c r="M621" s="17"/>
      <c r="N621" s="17"/>
      <c r="O621" s="17"/>
      <c r="Q621" s="77"/>
    </row>
    <row r="622" spans="13:17" x14ac:dyDescent="0.25">
      <c r="M622" s="17"/>
      <c r="N622" s="17"/>
      <c r="O622" s="17"/>
      <c r="Q622" s="77"/>
    </row>
    <row r="623" spans="13:17" x14ac:dyDescent="0.25">
      <c r="M623" s="17"/>
      <c r="N623" s="17"/>
      <c r="O623" s="17"/>
      <c r="Q623" s="77"/>
    </row>
    <row r="624" spans="13:17" x14ac:dyDescent="0.25">
      <c r="M624" s="17"/>
      <c r="N624" s="17"/>
      <c r="O624" s="17"/>
      <c r="Q624" s="77"/>
    </row>
    <row r="625" spans="13:17" x14ac:dyDescent="0.25">
      <c r="M625" s="17"/>
      <c r="N625" s="17"/>
      <c r="O625" s="17"/>
      <c r="Q625" s="77"/>
    </row>
    <row r="626" spans="13:17" x14ac:dyDescent="0.25">
      <c r="M626" s="17"/>
      <c r="N626" s="17"/>
      <c r="O626" s="17"/>
      <c r="Q626" s="77"/>
    </row>
    <row r="627" spans="13:17" x14ac:dyDescent="0.25">
      <c r="M627" s="17"/>
      <c r="N627" s="17"/>
      <c r="O627" s="17"/>
      <c r="Q627" s="77"/>
    </row>
    <row r="628" spans="13:17" x14ac:dyDescent="0.25">
      <c r="M628" s="17"/>
      <c r="N628" s="17"/>
      <c r="O628" s="17"/>
      <c r="Q628" s="77"/>
    </row>
    <row r="629" spans="13:17" x14ac:dyDescent="0.25">
      <c r="M629" s="17"/>
      <c r="N629" s="17"/>
      <c r="O629" s="17"/>
      <c r="Q629" s="77"/>
    </row>
    <row r="630" spans="13:17" x14ac:dyDescent="0.25">
      <c r="M630" s="17"/>
      <c r="N630" s="17"/>
      <c r="O630" s="17"/>
      <c r="Q630" s="77"/>
    </row>
    <row r="631" spans="13:17" x14ac:dyDescent="0.25">
      <c r="M631" s="17"/>
      <c r="N631" s="17"/>
      <c r="O631" s="17"/>
      <c r="Q631" s="77"/>
    </row>
    <row r="632" spans="13:17" x14ac:dyDescent="0.25">
      <c r="M632" s="17"/>
      <c r="N632" s="17"/>
      <c r="O632" s="17"/>
      <c r="Q632" s="77"/>
    </row>
    <row r="633" spans="13:17" x14ac:dyDescent="0.25">
      <c r="M633" s="17"/>
      <c r="N633" s="17"/>
      <c r="O633" s="17"/>
      <c r="Q633" s="77"/>
    </row>
    <row r="634" spans="13:17" x14ac:dyDescent="0.25">
      <c r="M634" s="17"/>
      <c r="N634" s="17"/>
      <c r="O634" s="17"/>
      <c r="Q634" s="77"/>
    </row>
    <row r="635" spans="13:17" x14ac:dyDescent="0.25">
      <c r="M635" s="17"/>
      <c r="N635" s="17"/>
      <c r="O635" s="17"/>
      <c r="Q635" s="77"/>
    </row>
    <row r="636" spans="13:17" x14ac:dyDescent="0.25">
      <c r="M636" s="17"/>
      <c r="N636" s="17"/>
      <c r="O636" s="17"/>
      <c r="Q636" s="77"/>
    </row>
    <row r="637" spans="13:17" x14ac:dyDescent="0.25">
      <c r="M637" s="17"/>
      <c r="N637" s="17"/>
      <c r="O637" s="17"/>
      <c r="Q637" s="77"/>
    </row>
    <row r="638" spans="13:17" x14ac:dyDescent="0.25">
      <c r="M638" s="17"/>
      <c r="N638" s="17"/>
      <c r="O638" s="17"/>
      <c r="Q638" s="77"/>
    </row>
    <row r="639" spans="13:17" x14ac:dyDescent="0.25">
      <c r="M639" s="17"/>
      <c r="N639" s="17"/>
      <c r="O639" s="17"/>
      <c r="Q639" s="77"/>
    </row>
    <row r="640" spans="13:17" x14ac:dyDescent="0.25">
      <c r="M640" s="17"/>
      <c r="N640" s="17"/>
      <c r="O640" s="17"/>
      <c r="Q640" s="77"/>
    </row>
    <row r="641" spans="13:17" x14ac:dyDescent="0.25">
      <c r="M641" s="17"/>
      <c r="N641" s="17"/>
      <c r="O641" s="17"/>
      <c r="Q641" s="77"/>
    </row>
    <row r="642" spans="13:17" x14ac:dyDescent="0.25">
      <c r="M642" s="17"/>
      <c r="N642" s="17"/>
      <c r="O642" s="17"/>
      <c r="Q642" s="77"/>
    </row>
    <row r="643" spans="13:17" x14ac:dyDescent="0.25">
      <c r="M643" s="17"/>
      <c r="N643" s="17"/>
      <c r="O643" s="17"/>
      <c r="Q643" s="77"/>
    </row>
    <row r="644" spans="13:17" x14ac:dyDescent="0.25">
      <c r="M644" s="17"/>
      <c r="N644" s="17"/>
      <c r="O644" s="17"/>
      <c r="Q644" s="77"/>
    </row>
    <row r="645" spans="13:17" x14ac:dyDescent="0.25">
      <c r="M645" s="17"/>
      <c r="N645" s="17"/>
      <c r="O645" s="17"/>
      <c r="Q645" s="77"/>
    </row>
    <row r="646" spans="13:17" x14ac:dyDescent="0.25">
      <c r="M646" s="17"/>
      <c r="N646" s="17"/>
      <c r="O646" s="17"/>
      <c r="Q646" s="77"/>
    </row>
    <row r="647" spans="13:17" x14ac:dyDescent="0.25">
      <c r="M647" s="17"/>
      <c r="N647" s="17"/>
      <c r="O647" s="17"/>
      <c r="Q647" s="77"/>
    </row>
    <row r="648" spans="13:17" x14ac:dyDescent="0.25">
      <c r="M648" s="17"/>
      <c r="N648" s="17"/>
      <c r="O648" s="17"/>
      <c r="Q648" s="77"/>
    </row>
    <row r="649" spans="13:17" x14ac:dyDescent="0.25">
      <c r="M649" s="17"/>
      <c r="N649" s="17"/>
      <c r="O649" s="17"/>
      <c r="Q649" s="77"/>
    </row>
    <row r="650" spans="13:17" x14ac:dyDescent="0.25">
      <c r="M650" s="17"/>
      <c r="N650" s="17"/>
      <c r="O650" s="17"/>
      <c r="Q650" s="77"/>
    </row>
    <row r="651" spans="13:17" x14ac:dyDescent="0.25">
      <c r="M651" s="17"/>
      <c r="N651" s="17"/>
      <c r="O651" s="17"/>
      <c r="Q651" s="77"/>
    </row>
    <row r="652" spans="13:17" x14ac:dyDescent="0.25">
      <c r="M652" s="17"/>
      <c r="N652" s="17"/>
      <c r="O652" s="17"/>
      <c r="Q652" s="77"/>
    </row>
    <row r="653" spans="13:17" x14ac:dyDescent="0.25">
      <c r="M653" s="17"/>
      <c r="N653" s="17"/>
      <c r="O653" s="17"/>
      <c r="Q653" s="77"/>
    </row>
    <row r="654" spans="13:17" x14ac:dyDescent="0.25">
      <c r="M654" s="17"/>
      <c r="N654" s="17"/>
      <c r="O654" s="17"/>
      <c r="Q654" s="77"/>
    </row>
    <row r="655" spans="13:17" x14ac:dyDescent="0.25">
      <c r="M655" s="17"/>
      <c r="N655" s="17"/>
      <c r="O655" s="17"/>
      <c r="Q655" s="77"/>
    </row>
    <row r="656" spans="13:17" x14ac:dyDescent="0.25">
      <c r="M656" s="17"/>
      <c r="N656" s="17"/>
      <c r="O656" s="17"/>
      <c r="Q656" s="77"/>
    </row>
    <row r="657" spans="13:17" x14ac:dyDescent="0.25">
      <c r="M657" s="17"/>
      <c r="N657" s="17"/>
      <c r="O657" s="17"/>
      <c r="Q657" s="77"/>
    </row>
    <row r="658" spans="13:17" x14ac:dyDescent="0.25">
      <c r="M658" s="17"/>
      <c r="N658" s="17"/>
      <c r="O658" s="17"/>
      <c r="Q658" s="77"/>
    </row>
    <row r="659" spans="13:17" x14ac:dyDescent="0.25">
      <c r="M659" s="17"/>
      <c r="N659" s="17"/>
      <c r="O659" s="17"/>
      <c r="Q659" s="77"/>
    </row>
    <row r="660" spans="13:17" x14ac:dyDescent="0.25">
      <c r="M660" s="17"/>
      <c r="N660" s="17"/>
      <c r="O660" s="17"/>
      <c r="Q660" s="77"/>
    </row>
    <row r="661" spans="13:17" x14ac:dyDescent="0.25">
      <c r="M661" s="17"/>
      <c r="N661" s="17"/>
      <c r="O661" s="17"/>
      <c r="Q661" s="77"/>
    </row>
    <row r="662" spans="13:17" x14ac:dyDescent="0.25">
      <c r="M662" s="17"/>
      <c r="N662" s="17"/>
      <c r="O662" s="17"/>
      <c r="Q662" s="77"/>
    </row>
    <row r="663" spans="13:17" x14ac:dyDescent="0.25">
      <c r="M663" s="17"/>
      <c r="N663" s="17"/>
      <c r="O663" s="17"/>
      <c r="Q663" s="77"/>
    </row>
    <row r="664" spans="13:17" x14ac:dyDescent="0.25">
      <c r="M664" s="17"/>
      <c r="N664" s="17"/>
      <c r="O664" s="17"/>
      <c r="Q664" s="77"/>
    </row>
    <row r="665" spans="13:17" x14ac:dyDescent="0.25">
      <c r="M665" s="17"/>
      <c r="N665" s="17"/>
      <c r="O665" s="17"/>
      <c r="Q665" s="77"/>
    </row>
    <row r="666" spans="13:17" x14ac:dyDescent="0.25">
      <c r="M666" s="17"/>
      <c r="N666" s="17"/>
      <c r="O666" s="17"/>
      <c r="Q666" s="77"/>
    </row>
    <row r="667" spans="13:17" x14ac:dyDescent="0.25">
      <c r="M667" s="17"/>
      <c r="N667" s="17"/>
      <c r="O667" s="17"/>
      <c r="Q667" s="77"/>
    </row>
    <row r="668" spans="13:17" x14ac:dyDescent="0.25">
      <c r="M668" s="17"/>
      <c r="N668" s="17"/>
      <c r="O668" s="17"/>
      <c r="Q668" s="77"/>
    </row>
    <row r="669" spans="13:17" x14ac:dyDescent="0.25">
      <c r="M669" s="17"/>
      <c r="N669" s="17"/>
      <c r="O669" s="17"/>
      <c r="Q669" s="77"/>
    </row>
    <row r="670" spans="13:17" x14ac:dyDescent="0.25">
      <c r="M670" s="17"/>
      <c r="N670" s="17"/>
      <c r="O670" s="17"/>
      <c r="Q670" s="77"/>
    </row>
    <row r="671" spans="13:17" x14ac:dyDescent="0.25">
      <c r="M671" s="17"/>
      <c r="N671" s="17"/>
      <c r="O671" s="17"/>
      <c r="Q671" s="77"/>
    </row>
    <row r="672" spans="13:17" x14ac:dyDescent="0.25">
      <c r="M672" s="17"/>
      <c r="N672" s="17"/>
      <c r="O672" s="17"/>
      <c r="Q672" s="77"/>
    </row>
    <row r="673" spans="13:17" x14ac:dyDescent="0.25">
      <c r="M673" s="17"/>
      <c r="N673" s="17"/>
      <c r="O673" s="17"/>
      <c r="Q673" s="77"/>
    </row>
    <row r="674" spans="13:17" x14ac:dyDescent="0.25">
      <c r="M674" s="17"/>
      <c r="N674" s="17"/>
      <c r="O674" s="17"/>
      <c r="Q674" s="77"/>
    </row>
    <row r="675" spans="13:17" x14ac:dyDescent="0.25">
      <c r="M675" s="17"/>
      <c r="N675" s="17"/>
      <c r="O675" s="17"/>
      <c r="Q675" s="77"/>
    </row>
    <row r="676" spans="13:17" x14ac:dyDescent="0.25">
      <c r="M676" s="17"/>
      <c r="N676" s="17"/>
      <c r="O676" s="17"/>
      <c r="Q676" s="77"/>
    </row>
    <row r="677" spans="13:17" x14ac:dyDescent="0.25">
      <c r="M677" s="17"/>
      <c r="N677" s="17"/>
      <c r="O677" s="17"/>
      <c r="Q677" s="77"/>
    </row>
    <row r="678" spans="13:17" x14ac:dyDescent="0.25">
      <c r="M678" s="17"/>
      <c r="N678" s="17"/>
      <c r="O678" s="17"/>
      <c r="Q678" s="77"/>
    </row>
    <row r="679" spans="13:17" x14ac:dyDescent="0.25">
      <c r="M679" s="17"/>
      <c r="N679" s="17"/>
      <c r="O679" s="17"/>
      <c r="Q679" s="77"/>
    </row>
    <row r="680" spans="13:17" x14ac:dyDescent="0.25">
      <c r="M680" s="17"/>
      <c r="N680" s="17"/>
      <c r="O680" s="17"/>
      <c r="Q680" s="77"/>
    </row>
    <row r="681" spans="13:17" x14ac:dyDescent="0.25">
      <c r="M681" s="17"/>
      <c r="N681" s="17"/>
      <c r="O681" s="17"/>
      <c r="Q681" s="77"/>
    </row>
    <row r="682" spans="13:17" x14ac:dyDescent="0.25">
      <c r="M682" s="17"/>
      <c r="N682" s="17"/>
      <c r="O682" s="17"/>
      <c r="Q682" s="77"/>
    </row>
    <row r="683" spans="13:17" x14ac:dyDescent="0.25">
      <c r="M683" s="17"/>
      <c r="N683" s="17"/>
      <c r="O683" s="17"/>
      <c r="Q683" s="77"/>
    </row>
    <row r="684" spans="13:17" x14ac:dyDescent="0.25">
      <c r="M684" s="17"/>
      <c r="N684" s="17"/>
      <c r="O684" s="17"/>
      <c r="Q684" s="77"/>
    </row>
    <row r="685" spans="13:17" x14ac:dyDescent="0.25">
      <c r="M685" s="17"/>
      <c r="N685" s="17"/>
      <c r="O685" s="17"/>
      <c r="Q685" s="77"/>
    </row>
    <row r="686" spans="13:17" x14ac:dyDescent="0.25">
      <c r="M686" s="17"/>
      <c r="N686" s="17"/>
      <c r="O686" s="17"/>
      <c r="Q686" s="77"/>
    </row>
    <row r="687" spans="13:17" x14ac:dyDescent="0.25">
      <c r="M687" s="17"/>
      <c r="N687" s="17"/>
      <c r="O687" s="17"/>
      <c r="Q687" s="77"/>
    </row>
    <row r="688" spans="13:17" x14ac:dyDescent="0.25">
      <c r="M688" s="17"/>
      <c r="N688" s="17"/>
      <c r="O688" s="17"/>
      <c r="Q688" s="77"/>
    </row>
    <row r="689" spans="13:17" x14ac:dyDescent="0.25">
      <c r="M689" s="17"/>
      <c r="N689" s="17"/>
      <c r="O689" s="17"/>
      <c r="Q689" s="77"/>
    </row>
    <row r="690" spans="13:17" x14ac:dyDescent="0.25">
      <c r="M690" s="17"/>
      <c r="N690" s="17"/>
      <c r="O690" s="17"/>
      <c r="Q690" s="77"/>
    </row>
    <row r="691" spans="13:17" x14ac:dyDescent="0.25">
      <c r="M691" s="17"/>
      <c r="N691" s="17"/>
      <c r="O691" s="17"/>
      <c r="Q691" s="77"/>
    </row>
    <row r="692" spans="13:17" x14ac:dyDescent="0.25">
      <c r="M692" s="17"/>
      <c r="N692" s="17"/>
      <c r="O692" s="17"/>
      <c r="Q692" s="77"/>
    </row>
    <row r="693" spans="13:17" x14ac:dyDescent="0.25">
      <c r="M693" s="17"/>
      <c r="N693" s="17"/>
      <c r="O693" s="17"/>
      <c r="Q693" s="77"/>
    </row>
    <row r="694" spans="13:17" x14ac:dyDescent="0.25">
      <c r="M694" s="17"/>
      <c r="N694" s="17"/>
      <c r="O694" s="17"/>
      <c r="Q694" s="77"/>
    </row>
    <row r="695" spans="13:17" x14ac:dyDescent="0.25">
      <c r="M695" s="17"/>
      <c r="N695" s="17"/>
      <c r="O695" s="17"/>
      <c r="Q695" s="77"/>
    </row>
    <row r="696" spans="13:17" x14ac:dyDescent="0.25">
      <c r="M696" s="17"/>
      <c r="N696" s="17"/>
      <c r="O696" s="17"/>
      <c r="Q696" s="77"/>
    </row>
    <row r="697" spans="13:17" x14ac:dyDescent="0.25">
      <c r="M697" s="17"/>
      <c r="N697" s="17"/>
      <c r="O697" s="17"/>
      <c r="Q697" s="77"/>
    </row>
    <row r="698" spans="13:17" x14ac:dyDescent="0.25">
      <c r="M698" s="17"/>
      <c r="N698" s="17"/>
      <c r="O698" s="17"/>
      <c r="Q698" s="77"/>
    </row>
    <row r="699" spans="13:17" x14ac:dyDescent="0.25">
      <c r="M699" s="17"/>
      <c r="N699" s="17"/>
      <c r="O699" s="17"/>
      <c r="Q699" s="77"/>
    </row>
    <row r="700" spans="13:17" x14ac:dyDescent="0.25">
      <c r="M700" s="17"/>
      <c r="N700" s="17"/>
      <c r="O700" s="17"/>
      <c r="Q700" s="77"/>
    </row>
    <row r="701" spans="13:17" x14ac:dyDescent="0.25">
      <c r="M701" s="17"/>
      <c r="N701" s="17"/>
      <c r="O701" s="17"/>
      <c r="Q701" s="77"/>
    </row>
    <row r="702" spans="13:17" x14ac:dyDescent="0.25">
      <c r="M702" s="17"/>
      <c r="N702" s="17"/>
      <c r="O702" s="17"/>
      <c r="Q702" s="77"/>
    </row>
    <row r="703" spans="13:17" x14ac:dyDescent="0.25">
      <c r="M703" s="17"/>
      <c r="N703" s="17"/>
      <c r="O703" s="17"/>
      <c r="Q703" s="77"/>
    </row>
    <row r="704" spans="13:17" x14ac:dyDescent="0.25">
      <c r="M704" s="17"/>
      <c r="N704" s="17"/>
      <c r="O704" s="17"/>
      <c r="Q704" s="77"/>
    </row>
    <row r="705" spans="13:17" x14ac:dyDescent="0.25">
      <c r="M705" s="17"/>
      <c r="N705" s="17"/>
      <c r="O705" s="17"/>
      <c r="Q705" s="77"/>
    </row>
    <row r="706" spans="13:17" x14ac:dyDescent="0.25">
      <c r="M706" s="17"/>
      <c r="N706" s="17"/>
      <c r="O706" s="17"/>
      <c r="Q706" s="77"/>
    </row>
    <row r="707" spans="13:17" x14ac:dyDescent="0.25">
      <c r="M707" s="17"/>
      <c r="N707" s="17"/>
      <c r="O707" s="17"/>
      <c r="Q707" s="77"/>
    </row>
    <row r="708" spans="13:17" x14ac:dyDescent="0.25">
      <c r="M708" s="17"/>
      <c r="N708" s="17"/>
      <c r="O708" s="17"/>
      <c r="Q708" s="77"/>
    </row>
    <row r="709" spans="13:17" x14ac:dyDescent="0.25">
      <c r="M709" s="17"/>
      <c r="N709" s="17"/>
      <c r="O709" s="17"/>
      <c r="Q709" s="77"/>
    </row>
    <row r="710" spans="13:17" x14ac:dyDescent="0.25">
      <c r="M710" s="17"/>
      <c r="N710" s="17"/>
      <c r="O710" s="17"/>
      <c r="Q710" s="77"/>
    </row>
    <row r="711" spans="13:17" x14ac:dyDescent="0.25">
      <c r="M711" s="17"/>
      <c r="N711" s="17"/>
      <c r="O711" s="17"/>
      <c r="Q711" s="77"/>
    </row>
    <row r="712" spans="13:17" x14ac:dyDescent="0.25">
      <c r="M712" s="17"/>
      <c r="N712" s="17"/>
      <c r="O712" s="17"/>
      <c r="Q712" s="77"/>
    </row>
    <row r="713" spans="13:17" x14ac:dyDescent="0.25">
      <c r="M713" s="17"/>
      <c r="N713" s="17"/>
      <c r="O713" s="17"/>
      <c r="Q713" s="77"/>
    </row>
    <row r="714" spans="13:17" x14ac:dyDescent="0.25">
      <c r="M714" s="17"/>
      <c r="N714" s="17"/>
      <c r="O714" s="17"/>
      <c r="Q714" s="77"/>
    </row>
    <row r="715" spans="13:17" x14ac:dyDescent="0.25">
      <c r="M715" s="17"/>
      <c r="N715" s="17"/>
      <c r="O715" s="17"/>
      <c r="Q715" s="77"/>
    </row>
    <row r="716" spans="13:17" x14ac:dyDescent="0.25">
      <c r="M716" s="17"/>
      <c r="N716" s="17"/>
      <c r="O716" s="17"/>
      <c r="Q716" s="77"/>
    </row>
    <row r="717" spans="13:17" x14ac:dyDescent="0.25">
      <c r="M717" s="17"/>
      <c r="N717" s="17"/>
      <c r="O717" s="17"/>
      <c r="Q717" s="77"/>
    </row>
    <row r="718" spans="13:17" x14ac:dyDescent="0.25">
      <c r="M718" s="17"/>
      <c r="N718" s="17"/>
      <c r="O718" s="17"/>
      <c r="Q718" s="77"/>
    </row>
    <row r="719" spans="13:17" x14ac:dyDescent="0.25">
      <c r="M719" s="17"/>
      <c r="N719" s="17"/>
      <c r="O719" s="17"/>
      <c r="Q719" s="77"/>
    </row>
    <row r="720" spans="13:17" x14ac:dyDescent="0.25">
      <c r="M720" s="17"/>
      <c r="N720" s="17"/>
      <c r="O720" s="17"/>
      <c r="Q720" s="77"/>
    </row>
    <row r="721" spans="13:17" x14ac:dyDescent="0.25">
      <c r="M721" s="17"/>
      <c r="N721" s="17"/>
      <c r="O721" s="17"/>
      <c r="Q721" s="77"/>
    </row>
    <row r="722" spans="13:17" x14ac:dyDescent="0.25">
      <c r="M722" s="17"/>
      <c r="N722" s="17"/>
      <c r="O722" s="17"/>
      <c r="Q722" s="77"/>
    </row>
    <row r="723" spans="13:17" x14ac:dyDescent="0.25">
      <c r="M723" s="17"/>
      <c r="N723" s="17"/>
      <c r="O723" s="17"/>
      <c r="Q723" s="77"/>
    </row>
    <row r="724" spans="13:17" x14ac:dyDescent="0.25">
      <c r="M724" s="17"/>
      <c r="N724" s="17"/>
      <c r="O724" s="17"/>
      <c r="Q724" s="77"/>
    </row>
    <row r="725" spans="13:17" x14ac:dyDescent="0.25">
      <c r="M725" s="17"/>
      <c r="N725" s="17"/>
      <c r="O725" s="17"/>
      <c r="Q725" s="77"/>
    </row>
    <row r="726" spans="13:17" x14ac:dyDescent="0.25">
      <c r="M726" s="17"/>
      <c r="N726" s="17"/>
      <c r="O726" s="17"/>
      <c r="Q726" s="77"/>
    </row>
    <row r="727" spans="13:17" x14ac:dyDescent="0.25">
      <c r="M727" s="17"/>
      <c r="N727" s="17"/>
      <c r="O727" s="17"/>
      <c r="Q727" s="77"/>
    </row>
    <row r="728" spans="13:17" x14ac:dyDescent="0.25">
      <c r="M728" s="17"/>
      <c r="N728" s="17"/>
      <c r="O728" s="17"/>
      <c r="Q728" s="77"/>
    </row>
    <row r="729" spans="13:17" x14ac:dyDescent="0.25">
      <c r="M729" s="17"/>
      <c r="N729" s="17"/>
      <c r="O729" s="17"/>
      <c r="Q729" s="77"/>
    </row>
    <row r="730" spans="13:17" x14ac:dyDescent="0.25">
      <c r="M730" s="17"/>
      <c r="N730" s="17"/>
      <c r="O730" s="17"/>
      <c r="Q730" s="77"/>
    </row>
    <row r="731" spans="13:17" x14ac:dyDescent="0.25">
      <c r="M731" s="17"/>
      <c r="N731" s="17"/>
      <c r="O731" s="17"/>
      <c r="Q731" s="77"/>
    </row>
    <row r="732" spans="13:17" x14ac:dyDescent="0.25">
      <c r="M732" s="17"/>
      <c r="N732" s="17"/>
      <c r="O732" s="17"/>
      <c r="Q732" s="77"/>
    </row>
    <row r="733" spans="13:17" x14ac:dyDescent="0.25">
      <c r="M733" s="17"/>
      <c r="N733" s="17"/>
      <c r="O733" s="17"/>
      <c r="Q733" s="77"/>
    </row>
    <row r="734" spans="13:17" x14ac:dyDescent="0.25">
      <c r="M734" s="17"/>
      <c r="N734" s="17"/>
      <c r="O734" s="17"/>
      <c r="Q734" s="77"/>
    </row>
    <row r="735" spans="13:17" x14ac:dyDescent="0.25">
      <c r="M735" s="17"/>
      <c r="N735" s="17"/>
      <c r="O735" s="17"/>
      <c r="Q735" s="77"/>
    </row>
    <row r="736" spans="13:17" x14ac:dyDescent="0.25">
      <c r="M736" s="17"/>
      <c r="N736" s="17"/>
      <c r="O736" s="17"/>
      <c r="Q736" s="77"/>
    </row>
    <row r="737" spans="13:17" x14ac:dyDescent="0.25">
      <c r="M737" s="17"/>
      <c r="N737" s="17"/>
      <c r="O737" s="17"/>
      <c r="Q737" s="77"/>
    </row>
    <row r="738" spans="13:17" x14ac:dyDescent="0.25">
      <c r="M738" s="17"/>
      <c r="N738" s="17"/>
      <c r="O738" s="17"/>
      <c r="Q738" s="77"/>
    </row>
    <row r="739" spans="13:17" x14ac:dyDescent="0.25">
      <c r="M739" s="17"/>
      <c r="N739" s="17"/>
      <c r="O739" s="17"/>
      <c r="Q739" s="77"/>
    </row>
    <row r="740" spans="13:17" x14ac:dyDescent="0.25">
      <c r="M740" s="17"/>
      <c r="N740" s="17"/>
      <c r="O740" s="17"/>
      <c r="Q740" s="77"/>
    </row>
    <row r="741" spans="13:17" x14ac:dyDescent="0.25">
      <c r="M741" s="17"/>
      <c r="N741" s="17"/>
      <c r="O741" s="17"/>
      <c r="Q741" s="77"/>
    </row>
    <row r="742" spans="13:17" x14ac:dyDescent="0.25">
      <c r="M742" s="17"/>
      <c r="N742" s="17"/>
      <c r="O742" s="17"/>
      <c r="Q742" s="77"/>
    </row>
    <row r="743" spans="13:17" x14ac:dyDescent="0.25">
      <c r="M743" s="17"/>
      <c r="N743" s="17"/>
      <c r="O743" s="17"/>
      <c r="Q743" s="77"/>
    </row>
    <row r="744" spans="13:17" x14ac:dyDescent="0.25">
      <c r="M744" s="17"/>
      <c r="N744" s="17"/>
      <c r="O744" s="17"/>
      <c r="Q744" s="77"/>
    </row>
    <row r="745" spans="13:17" x14ac:dyDescent="0.25">
      <c r="M745" s="17"/>
      <c r="N745" s="17"/>
      <c r="O745" s="17"/>
      <c r="Q745" s="77"/>
    </row>
    <row r="746" spans="13:17" x14ac:dyDescent="0.25">
      <c r="M746" s="17"/>
      <c r="N746" s="17"/>
      <c r="O746" s="17"/>
      <c r="Q746" s="77"/>
    </row>
    <row r="747" spans="13:17" x14ac:dyDescent="0.25">
      <c r="M747" s="17"/>
      <c r="N747" s="17"/>
      <c r="O747" s="17"/>
      <c r="Q747" s="77"/>
    </row>
    <row r="748" spans="13:17" x14ac:dyDescent="0.25">
      <c r="M748" s="17"/>
      <c r="N748" s="17"/>
      <c r="O748" s="17"/>
      <c r="Q748" s="77"/>
    </row>
    <row r="749" spans="13:17" x14ac:dyDescent="0.25">
      <c r="M749" s="17"/>
      <c r="N749" s="17"/>
      <c r="O749" s="17"/>
      <c r="Q749" s="77"/>
    </row>
    <row r="750" spans="13:17" x14ac:dyDescent="0.25">
      <c r="M750" s="17"/>
      <c r="N750" s="17"/>
      <c r="O750" s="17"/>
      <c r="Q750" s="77"/>
    </row>
    <row r="751" spans="13:17" x14ac:dyDescent="0.25">
      <c r="M751" s="17"/>
      <c r="N751" s="17"/>
      <c r="O751" s="17"/>
      <c r="Q751" s="77"/>
    </row>
    <row r="752" spans="13:17" x14ac:dyDescent="0.25">
      <c r="M752" s="17"/>
      <c r="N752" s="17"/>
      <c r="O752" s="17"/>
      <c r="Q752" s="77"/>
    </row>
    <row r="753" spans="13:17" x14ac:dyDescent="0.25">
      <c r="M753" s="17"/>
      <c r="N753" s="17"/>
      <c r="O753" s="17"/>
      <c r="Q753" s="77"/>
    </row>
    <row r="754" spans="13:17" x14ac:dyDescent="0.25">
      <c r="M754" s="17"/>
      <c r="N754" s="17"/>
      <c r="O754" s="17"/>
      <c r="Q754" s="77"/>
    </row>
    <row r="755" spans="13:17" x14ac:dyDescent="0.25">
      <c r="M755" s="17"/>
      <c r="N755" s="17"/>
      <c r="O755" s="17"/>
      <c r="Q755" s="77"/>
    </row>
    <row r="756" spans="13:17" x14ac:dyDescent="0.25">
      <c r="M756" s="17"/>
      <c r="N756" s="17"/>
      <c r="O756" s="17"/>
      <c r="Q756" s="77"/>
    </row>
    <row r="757" spans="13:17" x14ac:dyDescent="0.25">
      <c r="M757" s="17"/>
      <c r="N757" s="17"/>
      <c r="O757" s="17"/>
      <c r="Q757" s="77"/>
    </row>
    <row r="758" spans="13:17" x14ac:dyDescent="0.25">
      <c r="M758" s="17"/>
      <c r="N758" s="17"/>
      <c r="O758" s="17"/>
      <c r="Q758" s="77"/>
    </row>
    <row r="759" spans="13:17" x14ac:dyDescent="0.25">
      <c r="M759" s="17"/>
      <c r="N759" s="17"/>
      <c r="O759" s="17"/>
      <c r="Q759" s="77"/>
    </row>
    <row r="760" spans="13:17" x14ac:dyDescent="0.25">
      <c r="M760" s="17"/>
      <c r="N760" s="17"/>
      <c r="O760" s="17"/>
      <c r="Q760" s="77"/>
    </row>
    <row r="761" spans="13:17" x14ac:dyDescent="0.25">
      <c r="M761" s="17"/>
      <c r="N761" s="17"/>
      <c r="O761" s="17"/>
      <c r="Q761" s="77"/>
    </row>
    <row r="762" spans="13:17" x14ac:dyDescent="0.25">
      <c r="M762" s="17"/>
      <c r="N762" s="17"/>
      <c r="O762" s="17"/>
      <c r="Q762" s="77"/>
    </row>
    <row r="763" spans="13:17" x14ac:dyDescent="0.25">
      <c r="M763" s="17"/>
      <c r="N763" s="17"/>
      <c r="O763" s="17"/>
      <c r="Q763" s="77"/>
    </row>
    <row r="764" spans="13:17" x14ac:dyDescent="0.25">
      <c r="M764" s="17"/>
      <c r="N764" s="17"/>
      <c r="O764" s="17"/>
      <c r="Q764" s="77"/>
    </row>
    <row r="765" spans="13:17" x14ac:dyDescent="0.25">
      <c r="M765" s="17"/>
      <c r="N765" s="17"/>
      <c r="O765" s="17"/>
      <c r="Q765" s="77"/>
    </row>
    <row r="766" spans="13:17" x14ac:dyDescent="0.25">
      <c r="M766" s="17"/>
      <c r="N766" s="17"/>
      <c r="O766" s="17"/>
      <c r="Q766" s="77"/>
    </row>
    <row r="767" spans="13:17" x14ac:dyDescent="0.25">
      <c r="M767" s="17"/>
      <c r="N767" s="17"/>
      <c r="O767" s="17"/>
      <c r="Q767" s="77"/>
    </row>
    <row r="768" spans="13:17" x14ac:dyDescent="0.25">
      <c r="M768" s="17"/>
      <c r="N768" s="17"/>
      <c r="O768" s="17"/>
      <c r="Q768" s="77"/>
    </row>
    <row r="769" spans="13:17" x14ac:dyDescent="0.25">
      <c r="M769" s="17"/>
      <c r="N769" s="17"/>
      <c r="O769" s="17"/>
      <c r="Q769" s="77"/>
    </row>
    <row r="770" spans="13:17" x14ac:dyDescent="0.25">
      <c r="M770" s="17"/>
      <c r="N770" s="17"/>
      <c r="O770" s="17"/>
      <c r="Q770" s="77"/>
    </row>
    <row r="771" spans="13:17" x14ac:dyDescent="0.25">
      <c r="M771" s="17"/>
      <c r="N771" s="17"/>
      <c r="O771" s="17"/>
      <c r="Q771" s="77"/>
    </row>
    <row r="772" spans="13:17" x14ac:dyDescent="0.25">
      <c r="M772" s="17"/>
      <c r="N772" s="17"/>
      <c r="O772" s="17"/>
      <c r="Q772" s="77"/>
    </row>
    <row r="773" spans="13:17" x14ac:dyDescent="0.25">
      <c r="M773" s="17"/>
      <c r="N773" s="17"/>
      <c r="O773" s="17"/>
      <c r="Q773" s="77"/>
    </row>
    <row r="774" spans="13:17" x14ac:dyDescent="0.25">
      <c r="M774" s="17"/>
      <c r="N774" s="17"/>
      <c r="O774" s="17"/>
      <c r="Q774" s="77"/>
    </row>
    <row r="775" spans="13:17" x14ac:dyDescent="0.25">
      <c r="M775" s="17"/>
      <c r="N775" s="17"/>
      <c r="O775" s="17"/>
      <c r="Q775" s="77"/>
    </row>
    <row r="776" spans="13:17" x14ac:dyDescent="0.25">
      <c r="M776" s="17"/>
      <c r="N776" s="17"/>
      <c r="O776" s="17"/>
      <c r="Q776" s="77"/>
    </row>
    <row r="777" spans="13:17" x14ac:dyDescent="0.25">
      <c r="M777" s="17"/>
      <c r="N777" s="17"/>
      <c r="O777" s="17"/>
      <c r="Q777" s="77"/>
    </row>
    <row r="778" spans="13:17" x14ac:dyDescent="0.25">
      <c r="M778" s="17"/>
      <c r="N778" s="17"/>
      <c r="O778" s="17"/>
      <c r="Q778" s="77"/>
    </row>
    <row r="779" spans="13:17" x14ac:dyDescent="0.25">
      <c r="M779" s="17"/>
      <c r="N779" s="17"/>
      <c r="O779" s="17"/>
      <c r="Q779" s="77"/>
    </row>
    <row r="780" spans="13:17" x14ac:dyDescent="0.25">
      <c r="M780" s="17"/>
      <c r="N780" s="17"/>
      <c r="O780" s="17"/>
      <c r="Q780" s="77"/>
    </row>
    <row r="781" spans="13:17" x14ac:dyDescent="0.25">
      <c r="M781" s="17"/>
      <c r="N781" s="17"/>
      <c r="O781" s="17"/>
      <c r="Q781" s="77"/>
    </row>
    <row r="782" spans="13:17" x14ac:dyDescent="0.25">
      <c r="M782" s="17"/>
      <c r="N782" s="17"/>
      <c r="O782" s="17"/>
      <c r="Q782" s="77"/>
    </row>
    <row r="783" spans="13:17" x14ac:dyDescent="0.25">
      <c r="M783" s="17"/>
      <c r="N783" s="17"/>
      <c r="O783" s="17"/>
      <c r="Q783" s="77"/>
    </row>
    <row r="784" spans="13:17" x14ac:dyDescent="0.25">
      <c r="M784" s="17"/>
      <c r="N784" s="17"/>
      <c r="O784" s="17"/>
      <c r="Q784" s="77"/>
    </row>
    <row r="785" spans="13:17" x14ac:dyDescent="0.25">
      <c r="M785" s="17"/>
      <c r="N785" s="17"/>
      <c r="O785" s="17"/>
      <c r="Q785" s="77"/>
    </row>
    <row r="786" spans="13:17" x14ac:dyDescent="0.25">
      <c r="M786" s="17"/>
      <c r="N786" s="17"/>
      <c r="O786" s="17"/>
      <c r="Q786" s="77"/>
    </row>
    <row r="787" spans="13:17" x14ac:dyDescent="0.25">
      <c r="M787" s="17"/>
      <c r="N787" s="17"/>
      <c r="O787" s="17"/>
      <c r="Q787" s="77"/>
    </row>
    <row r="788" spans="13:17" x14ac:dyDescent="0.25">
      <c r="M788" s="17"/>
      <c r="N788" s="17"/>
      <c r="O788" s="17"/>
      <c r="Q788" s="77"/>
    </row>
    <row r="789" spans="13:17" x14ac:dyDescent="0.25">
      <c r="M789" s="17"/>
      <c r="N789" s="17"/>
      <c r="O789" s="17"/>
      <c r="Q789" s="77"/>
    </row>
    <row r="790" spans="13:17" x14ac:dyDescent="0.25">
      <c r="M790" s="17"/>
      <c r="N790" s="17"/>
      <c r="O790" s="17"/>
      <c r="Q790" s="77"/>
    </row>
    <row r="791" spans="13:17" x14ac:dyDescent="0.25">
      <c r="M791" s="17"/>
      <c r="N791" s="17"/>
      <c r="O791" s="17"/>
      <c r="Q791" s="77"/>
    </row>
    <row r="792" spans="13:17" x14ac:dyDescent="0.25">
      <c r="M792" s="17"/>
      <c r="N792" s="17"/>
      <c r="O792" s="17"/>
      <c r="Q792" s="77"/>
    </row>
    <row r="793" spans="13:17" x14ac:dyDescent="0.25">
      <c r="M793" s="17"/>
      <c r="N793" s="17"/>
      <c r="O793" s="17"/>
      <c r="Q793" s="77"/>
    </row>
    <row r="794" spans="13:17" x14ac:dyDescent="0.25">
      <c r="M794" s="17"/>
      <c r="N794" s="17"/>
      <c r="O794" s="17"/>
      <c r="Q794" s="77"/>
    </row>
    <row r="795" spans="13:17" x14ac:dyDescent="0.25">
      <c r="M795" s="17"/>
      <c r="N795" s="17"/>
      <c r="O795" s="17"/>
      <c r="Q795" s="77"/>
    </row>
    <row r="796" spans="13:17" x14ac:dyDescent="0.25">
      <c r="M796" s="17"/>
      <c r="N796" s="17"/>
      <c r="O796" s="17"/>
      <c r="Q796" s="77"/>
    </row>
    <row r="797" spans="13:17" x14ac:dyDescent="0.25">
      <c r="M797" s="17"/>
      <c r="N797" s="17"/>
      <c r="O797" s="17"/>
      <c r="Q797" s="77"/>
    </row>
    <row r="798" spans="13:17" x14ac:dyDescent="0.25">
      <c r="M798" s="17"/>
      <c r="N798" s="17"/>
      <c r="O798" s="17"/>
      <c r="Q798" s="77"/>
    </row>
    <row r="799" spans="13:17" x14ac:dyDescent="0.25">
      <c r="M799" s="17"/>
      <c r="N799" s="17"/>
      <c r="O799" s="17"/>
      <c r="Q799" s="77"/>
    </row>
    <row r="800" spans="13:17" x14ac:dyDescent="0.25">
      <c r="M800" s="17"/>
      <c r="N800" s="17"/>
      <c r="O800" s="17"/>
      <c r="Q800" s="77"/>
    </row>
    <row r="801" spans="13:17" x14ac:dyDescent="0.25">
      <c r="M801" s="17"/>
      <c r="N801" s="17"/>
      <c r="O801" s="17"/>
      <c r="Q801" s="77"/>
    </row>
    <row r="802" spans="13:17" x14ac:dyDescent="0.25">
      <c r="M802" s="17"/>
      <c r="N802" s="17"/>
      <c r="O802" s="17"/>
      <c r="Q802" s="77"/>
    </row>
    <row r="803" spans="13:17" x14ac:dyDescent="0.25">
      <c r="M803" s="17"/>
      <c r="N803" s="17"/>
      <c r="O803" s="17"/>
      <c r="Q803" s="77"/>
    </row>
    <row r="804" spans="13:17" x14ac:dyDescent="0.25">
      <c r="M804" s="17"/>
      <c r="N804" s="17"/>
      <c r="O804" s="17"/>
      <c r="Q804" s="77"/>
    </row>
    <row r="805" spans="13:17" x14ac:dyDescent="0.25">
      <c r="M805" s="17"/>
      <c r="N805" s="17"/>
      <c r="O805" s="17"/>
      <c r="Q805" s="77"/>
    </row>
    <row r="806" spans="13:17" x14ac:dyDescent="0.25">
      <c r="M806" s="17"/>
      <c r="N806" s="17"/>
      <c r="O806" s="17"/>
      <c r="Q806" s="77"/>
    </row>
    <row r="807" spans="13:17" x14ac:dyDescent="0.25">
      <c r="M807" s="17"/>
      <c r="N807" s="17"/>
      <c r="O807" s="17"/>
      <c r="Q807" s="77"/>
    </row>
    <row r="808" spans="13:17" x14ac:dyDescent="0.25">
      <c r="M808" s="17"/>
      <c r="N808" s="17"/>
      <c r="O808" s="17"/>
      <c r="Q808" s="77"/>
    </row>
    <row r="809" spans="13:17" x14ac:dyDescent="0.25">
      <c r="M809" s="17"/>
      <c r="N809" s="17"/>
      <c r="O809" s="17"/>
      <c r="Q809" s="77"/>
    </row>
    <row r="810" spans="13:17" x14ac:dyDescent="0.25">
      <c r="M810" s="17"/>
      <c r="N810" s="17"/>
      <c r="O810" s="17"/>
      <c r="Q810" s="77"/>
    </row>
    <row r="811" spans="13:17" x14ac:dyDescent="0.25">
      <c r="M811" s="17"/>
      <c r="N811" s="17"/>
      <c r="O811" s="17"/>
      <c r="Q811" s="77"/>
    </row>
    <row r="812" spans="13:17" x14ac:dyDescent="0.25">
      <c r="M812" s="17"/>
      <c r="N812" s="17"/>
      <c r="O812" s="17"/>
      <c r="Q812" s="77"/>
    </row>
    <row r="813" spans="13:17" x14ac:dyDescent="0.25">
      <c r="M813" s="17"/>
      <c r="N813" s="17"/>
      <c r="O813" s="17"/>
      <c r="Q813" s="77"/>
    </row>
    <row r="814" spans="13:17" x14ac:dyDescent="0.25">
      <c r="M814" s="17"/>
      <c r="N814" s="17"/>
      <c r="O814" s="17"/>
      <c r="Q814" s="77"/>
    </row>
    <row r="815" spans="13:17" x14ac:dyDescent="0.25">
      <c r="M815" s="17"/>
      <c r="N815" s="17"/>
      <c r="O815" s="17"/>
      <c r="Q815" s="77"/>
    </row>
    <row r="816" spans="13:17" x14ac:dyDescent="0.25">
      <c r="M816" s="17"/>
      <c r="N816" s="17"/>
      <c r="O816" s="17"/>
      <c r="Q816" s="77"/>
    </row>
    <row r="817" spans="13:17" x14ac:dyDescent="0.25">
      <c r="M817" s="17"/>
      <c r="N817" s="17"/>
      <c r="O817" s="17"/>
      <c r="Q817" s="77"/>
    </row>
    <row r="818" spans="13:17" x14ac:dyDescent="0.25">
      <c r="M818" s="17"/>
      <c r="N818" s="17"/>
      <c r="O818" s="17"/>
      <c r="Q818" s="77"/>
    </row>
    <row r="819" spans="13:17" x14ac:dyDescent="0.25">
      <c r="M819" s="17"/>
      <c r="N819" s="17"/>
      <c r="O819" s="17"/>
      <c r="Q819" s="77"/>
    </row>
    <row r="820" spans="13:17" x14ac:dyDescent="0.25">
      <c r="M820" s="17"/>
      <c r="N820" s="17"/>
      <c r="O820" s="17"/>
      <c r="Q820" s="77"/>
    </row>
    <row r="821" spans="13:17" x14ac:dyDescent="0.25">
      <c r="M821" s="17"/>
      <c r="N821" s="17"/>
      <c r="O821" s="17"/>
      <c r="Q821" s="77"/>
    </row>
    <row r="822" spans="13:17" x14ac:dyDescent="0.25">
      <c r="M822" s="17"/>
      <c r="N822" s="17"/>
      <c r="O822" s="17"/>
      <c r="Q822" s="77"/>
    </row>
    <row r="823" spans="13:17" x14ac:dyDescent="0.25">
      <c r="M823" s="17"/>
      <c r="N823" s="17"/>
      <c r="O823" s="17"/>
      <c r="Q823" s="77"/>
    </row>
    <row r="824" spans="13:17" x14ac:dyDescent="0.25">
      <c r="M824" s="17"/>
      <c r="N824" s="17"/>
      <c r="O824" s="17"/>
      <c r="Q824" s="77"/>
    </row>
    <row r="825" spans="13:17" x14ac:dyDescent="0.25">
      <c r="M825" s="17"/>
      <c r="N825" s="17"/>
      <c r="O825" s="17"/>
      <c r="Q825" s="77"/>
    </row>
    <row r="826" spans="13:17" x14ac:dyDescent="0.25">
      <c r="M826" s="17"/>
      <c r="N826" s="17"/>
      <c r="O826" s="17"/>
      <c r="Q826" s="77"/>
    </row>
    <row r="827" spans="13:17" x14ac:dyDescent="0.25">
      <c r="M827" s="17"/>
      <c r="N827" s="17"/>
      <c r="O827" s="17"/>
      <c r="Q827" s="77"/>
    </row>
    <row r="828" spans="13:17" x14ac:dyDescent="0.25">
      <c r="M828" s="17"/>
      <c r="N828" s="17"/>
      <c r="O828" s="17"/>
      <c r="Q828" s="77"/>
    </row>
    <row r="829" spans="13:17" x14ac:dyDescent="0.25">
      <c r="M829" s="17"/>
      <c r="N829" s="17"/>
      <c r="O829" s="17"/>
      <c r="Q829" s="77"/>
    </row>
    <row r="830" spans="13:17" x14ac:dyDescent="0.25">
      <c r="M830" s="17"/>
      <c r="N830" s="17"/>
      <c r="O830" s="17"/>
      <c r="Q830" s="77"/>
    </row>
    <row r="831" spans="13:17" x14ac:dyDescent="0.25">
      <c r="M831" s="17"/>
      <c r="N831" s="17"/>
      <c r="O831" s="17"/>
      <c r="Q831" s="77"/>
    </row>
    <row r="832" spans="13:17" x14ac:dyDescent="0.25">
      <c r="M832" s="17"/>
      <c r="N832" s="17"/>
      <c r="O832" s="17"/>
      <c r="Q832" s="77"/>
    </row>
    <row r="833" spans="13:17" x14ac:dyDescent="0.25">
      <c r="M833" s="17"/>
      <c r="N833" s="17"/>
      <c r="O833" s="17"/>
      <c r="Q833" s="77"/>
    </row>
    <row r="834" spans="13:17" x14ac:dyDescent="0.25">
      <c r="M834" s="17"/>
      <c r="N834" s="17"/>
      <c r="O834" s="17"/>
      <c r="Q834" s="77"/>
    </row>
    <row r="835" spans="13:17" x14ac:dyDescent="0.25">
      <c r="M835" s="17"/>
      <c r="N835" s="17"/>
      <c r="O835" s="17"/>
      <c r="Q835" s="77"/>
    </row>
    <row r="836" spans="13:17" x14ac:dyDescent="0.25">
      <c r="M836" s="17"/>
      <c r="N836" s="17"/>
      <c r="O836" s="17"/>
      <c r="Q836" s="77"/>
    </row>
    <row r="837" spans="13:17" x14ac:dyDescent="0.25">
      <c r="M837" s="17"/>
      <c r="N837" s="17"/>
      <c r="O837" s="17"/>
      <c r="Q837" s="77"/>
    </row>
    <row r="838" spans="13:17" x14ac:dyDescent="0.25">
      <c r="M838" s="17"/>
      <c r="N838" s="17"/>
      <c r="O838" s="17"/>
      <c r="Q838" s="77"/>
    </row>
    <row r="839" spans="13:17" x14ac:dyDescent="0.25">
      <c r="M839" s="17"/>
      <c r="N839" s="17"/>
      <c r="O839" s="17"/>
      <c r="Q839" s="77"/>
    </row>
    <row r="840" spans="13:17" x14ac:dyDescent="0.25">
      <c r="M840" s="17"/>
      <c r="N840" s="17"/>
      <c r="O840" s="17"/>
      <c r="Q840" s="77"/>
    </row>
    <row r="841" spans="13:17" x14ac:dyDescent="0.25">
      <c r="M841" s="17"/>
      <c r="N841" s="17"/>
      <c r="O841" s="17"/>
      <c r="Q841" s="77"/>
    </row>
    <row r="842" spans="13:17" x14ac:dyDescent="0.25">
      <c r="M842" s="17"/>
      <c r="N842" s="17"/>
      <c r="O842" s="17"/>
      <c r="Q842" s="77"/>
    </row>
    <row r="843" spans="13:17" x14ac:dyDescent="0.25">
      <c r="M843" s="17"/>
      <c r="N843" s="17"/>
      <c r="O843" s="17"/>
      <c r="Q843" s="77"/>
    </row>
    <row r="844" spans="13:17" x14ac:dyDescent="0.25">
      <c r="M844" s="17"/>
      <c r="N844" s="17"/>
      <c r="O844" s="17"/>
      <c r="Q844" s="77"/>
    </row>
    <row r="845" spans="13:17" x14ac:dyDescent="0.25">
      <c r="M845" s="17"/>
      <c r="N845" s="17"/>
      <c r="O845" s="17"/>
      <c r="Q845" s="77"/>
    </row>
    <row r="846" spans="13:17" x14ac:dyDescent="0.25">
      <c r="M846" s="17"/>
      <c r="N846" s="17"/>
      <c r="O846" s="17"/>
      <c r="Q846" s="77"/>
    </row>
    <row r="847" spans="13:17" x14ac:dyDescent="0.25">
      <c r="M847" s="17"/>
      <c r="N847" s="17"/>
      <c r="O847" s="17"/>
      <c r="Q847" s="77"/>
    </row>
    <row r="848" spans="13:17" x14ac:dyDescent="0.25">
      <c r="M848" s="17"/>
      <c r="N848" s="17"/>
      <c r="O848" s="17"/>
      <c r="Q848" s="77"/>
    </row>
    <row r="849" spans="13:17" x14ac:dyDescent="0.25">
      <c r="M849" s="17"/>
      <c r="N849" s="17"/>
      <c r="O849" s="17"/>
      <c r="Q849" s="77"/>
    </row>
    <row r="850" spans="13:17" x14ac:dyDescent="0.25">
      <c r="M850" s="17"/>
      <c r="N850" s="17"/>
      <c r="O850" s="17"/>
      <c r="Q850" s="77"/>
    </row>
    <row r="851" spans="13:17" x14ac:dyDescent="0.25">
      <c r="Q851" s="77"/>
    </row>
    <row r="852" spans="13:17" x14ac:dyDescent="0.25">
      <c r="Q852" s="77"/>
    </row>
    <row r="853" spans="13:17" x14ac:dyDescent="0.25">
      <c r="Q853" s="77"/>
    </row>
    <row r="854" spans="13:17" x14ac:dyDescent="0.25">
      <c r="Q854" s="77"/>
    </row>
    <row r="855" spans="13:17" x14ac:dyDescent="0.25">
      <c r="Q855" s="77"/>
    </row>
    <row r="856" spans="13:17" x14ac:dyDescent="0.25">
      <c r="Q856" s="77"/>
    </row>
    <row r="857" spans="13:17" x14ac:dyDescent="0.25">
      <c r="Q857" s="77"/>
    </row>
    <row r="858" spans="13:17" x14ac:dyDescent="0.25">
      <c r="Q858" s="77"/>
    </row>
  </sheetData>
  <sheetProtection password="D3ED" sheet="1" objects="1" scenarios="1" autoFilter="0"/>
  <autoFilter ref="A2:R170"/>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2">
              <controlPr defaultSize="0" print="0" autoFill="0" autoPict="0" macro="[0]!Call_Signal_Form" altText="Add Signal">
                <anchor moveWithCells="1">
                  <from>
                    <xdr:col>0</xdr:col>
                    <xdr:colOff>66675</xdr:colOff>
                    <xdr:row>0</xdr:row>
                    <xdr:rowOff>66675</xdr:rowOff>
                  </from>
                  <to>
                    <xdr:col>0</xdr:col>
                    <xdr:colOff>942975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095"/>
  <sheetViews>
    <sheetView tabSelected="1" zoomScale="80" zoomScaleNormal="80" zoomScalePageLayoutView="70" workbookViewId="0">
      <pane xSplit="1" ySplit="2" topLeftCell="B3" activePane="bottomRight" state="frozen"/>
      <selection pane="topRight" activeCell="B1" sqref="B1"/>
      <selection pane="bottomLeft" activeCell="A3" sqref="A3"/>
      <selection pane="bottomRight" activeCell="F8" sqref="F8"/>
    </sheetView>
  </sheetViews>
  <sheetFormatPr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3" t="s">
        <v>5</v>
      </c>
      <c r="B1" s="85" t="s">
        <v>1264</v>
      </c>
      <c r="C1" s="85" t="s">
        <v>1644</v>
      </c>
      <c r="D1" s="48"/>
      <c r="E1" s="48"/>
      <c r="F1" s="48"/>
      <c r="G1" s="48"/>
      <c r="H1" s="48"/>
      <c r="I1" s="48"/>
      <c r="J1" s="48"/>
      <c r="K1" s="48"/>
      <c r="L1" s="48"/>
      <c r="M1" s="48"/>
      <c r="N1" s="48"/>
      <c r="O1" s="48"/>
      <c r="P1" s="48"/>
      <c r="Q1" s="48"/>
      <c r="R1" s="48"/>
    </row>
    <row r="2" spans="1:70" s="50" customFormat="1" ht="47.1" customHeight="1" x14ac:dyDescent="0.25">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Auxiliaries Control</v>
      </c>
      <c r="T2" s="67" t="str">
        <f t="shared" ca="1" si="0"/>
        <v>Pneumatic System</v>
      </c>
      <c r="U2" s="67" t="str">
        <f t="shared" ca="1" si="0"/>
        <v>Cooling System</v>
      </c>
      <c r="V2" s="67" t="str">
        <f t="shared" ca="1" si="0"/>
        <v>Air Condition</v>
      </c>
      <c r="W2" s="67" t="str">
        <f t="shared" ca="1" si="0"/>
        <v>Cooling Fan</v>
      </c>
      <c r="X2" s="67" t="str">
        <f t="shared" ca="1" si="0"/>
        <v>Water Pump</v>
      </c>
      <c r="Y2" s="67" t="str">
        <f t="shared" ca="1" si="0"/>
        <v>Electric System</v>
      </c>
      <c r="Z2" s="67" t="str">
        <f t="shared" ca="1" si="0"/>
        <v>ECU Transmit</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EnvMdl_vWndSpd_PHY</v>
      </c>
      <c r="B3" s="9">
        <f t="array" ref="B3">COUNT(FIND("input",$D3:$CD3))</f>
        <v>1</v>
      </c>
      <c r="C3" s="9">
        <f t="array" ref="C3">COUNT(FIND("output",$D3:$CD3))</f>
        <v>1</v>
      </c>
      <c r="D3" s="49"/>
      <c r="E3" s="9"/>
      <c r="F3" s="9" t="s">
        <v>2662</v>
      </c>
      <c r="G3" s="9" t="s">
        <v>2672</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EnvMdl_phiRoadSlop_PHY</v>
      </c>
      <c r="B4" s="9">
        <f t="array" ref="B4">COUNT(FIND("input",$D4:$CD4))</f>
        <v>3</v>
      </c>
      <c r="C4" s="9">
        <f t="array" ref="C4">COUNT(FIND("output",$D4:$CD4))</f>
        <v>1</v>
      </c>
      <c r="F4" t="s">
        <v>2662</v>
      </c>
      <c r="G4" t="s">
        <v>2672</v>
      </c>
      <c r="H4" t="s">
        <v>2672</v>
      </c>
      <c r="R4" t="s">
        <v>2672</v>
      </c>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LgtVehMdl_omegaWhlSpd_PHY</v>
      </c>
      <c r="B5" s="9">
        <f t="array" ref="B5">COUNT(FIND("input",$D5:$CD5))</f>
        <v>0</v>
      </c>
      <c r="C5" s="9">
        <f t="array" ref="C5">COUNT(FIND("output",$D5:$CD5))</f>
        <v>1</v>
      </c>
      <c r="G5" t="s">
        <v>2662</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LgtVehMdl_trqTotBrkRAtWhl_PHY</v>
      </c>
      <c r="B6" s="9">
        <f t="array" ref="B6">COUNT(FIND("input",$D6:$CD6))</f>
        <v>0</v>
      </c>
      <c r="C6" s="9">
        <f t="array" ref="C6">COUNT(FIND("output",$D6:$CD6))</f>
        <v>1</v>
      </c>
      <c r="D6" s="49"/>
      <c r="E6" s="9"/>
      <c r="F6" s="9"/>
      <c r="G6" s="9" t="s">
        <v>2662</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LgtVehMdl_vVehSpd_PHY</v>
      </c>
      <c r="B7" s="9">
        <f t="array" ref="B7">COUNT(FIND("input",$D7:$CD7))</f>
        <v>5</v>
      </c>
      <c r="C7" s="9">
        <f t="array" ref="C7">COUNT(FIND("output",$D7:$CD7))</f>
        <v>1</v>
      </c>
      <c r="E7" t="s">
        <v>2672</v>
      </c>
      <c r="G7" t="s">
        <v>2662</v>
      </c>
      <c r="H7" t="s">
        <v>2672</v>
      </c>
      <c r="I7" t="s">
        <v>2672</v>
      </c>
      <c r="J7" t="s">
        <v>2672</v>
      </c>
      <c r="R7" t="s">
        <v>2672</v>
      </c>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LgtVehMdl_lDstTrvld_PHY</v>
      </c>
      <c r="B8" s="9">
        <f t="array" ref="B8">COUNT(FIND("input",$D8:$CD8))</f>
        <v>1</v>
      </c>
      <c r="C8" s="9">
        <f t="array" ref="C8">COUNT(FIND("output",$D8:$CD8))</f>
        <v>1</v>
      </c>
      <c r="F8" t="s">
        <v>2672</v>
      </c>
      <c r="G8" t="s">
        <v>2662</v>
      </c>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ECU_numOperModAct_PHY</v>
      </c>
      <c r="B9" s="9">
        <f t="array" ref="B9">COUNT(FIND("input",$D9:$CD9))</f>
        <v>1</v>
      </c>
      <c r="C9" s="9">
        <f t="array" ref="C9">COUNT(FIND("output",$D9:$CD9))</f>
        <v>1</v>
      </c>
      <c r="J9" t="s">
        <v>2662</v>
      </c>
      <c r="K9" t="s">
        <v>2672</v>
      </c>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ECU_qInjTot_PHY</v>
      </c>
      <c r="B10" s="9">
        <f t="array" ref="B10">COUNT(FIND("input",$D10:$CD10))</f>
        <v>2</v>
      </c>
      <c r="C10" s="9">
        <f t="array" ref="C10">COUNT(FIND("output",$D10:$CD10))</f>
        <v>1</v>
      </c>
      <c r="J10" t="s">
        <v>2662</v>
      </c>
      <c r="P10" t="s">
        <v>2672</v>
      </c>
      <c r="Q10" t="s">
        <v>2672</v>
      </c>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ECU_qInjMai1_PHY</v>
      </c>
      <c r="B11" s="9">
        <f t="array" ref="B11">COUNT(FIND("input",$D11:$CD11))</f>
        <v>1</v>
      </c>
      <c r="C11" s="9">
        <f t="array" ref="C11">COUNT(FIND("output",$D11:$CD11))</f>
        <v>1</v>
      </c>
      <c r="J11" t="s">
        <v>2662</v>
      </c>
      <c r="P11" t="s">
        <v>2672</v>
      </c>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ECU_qInjPil1_PHY</v>
      </c>
      <c r="B12" s="9">
        <f t="array" ref="B12">COUNT(FIND("input",$D12:$CD12))</f>
        <v>1</v>
      </c>
      <c r="C12" s="9">
        <f t="array" ref="C12">COUNT(FIND("output",$D12:$CD12))</f>
        <v>1</v>
      </c>
      <c r="J12" t="s">
        <v>2662</v>
      </c>
      <c r="P12" t="s">
        <v>2672</v>
      </c>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ECU_qInjPil2_PHY</v>
      </c>
      <c r="B13" s="9">
        <f t="array" ref="B13">COUNT(FIND("input",$D13:$CD13))</f>
        <v>1</v>
      </c>
      <c r="C13" s="9">
        <f t="array" ref="C13">COUNT(FIND("output",$D13:$CD13))</f>
        <v>1</v>
      </c>
      <c r="J13" t="s">
        <v>2662</v>
      </c>
      <c r="P13" t="s">
        <v>2672</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ECU_qInjPost1_PHY</v>
      </c>
      <c r="B14" s="9">
        <f t="array" ref="B14">COUNT(FIND("input",$D14:$CD14))</f>
        <v>2</v>
      </c>
      <c r="C14" s="9">
        <f t="array" ref="C14">COUNT(FIND("output",$D14:$CD14))</f>
        <v>1</v>
      </c>
      <c r="J14" t="s">
        <v>2662</v>
      </c>
      <c r="P14" t="s">
        <v>2672</v>
      </c>
      <c r="Q14" t="s">
        <v>2672</v>
      </c>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ECU_qInjPost2_PHY</v>
      </c>
      <c r="B15" s="9">
        <f t="array" ref="B15">COUNT(FIND("input",$D15:$CD15))</f>
        <v>2</v>
      </c>
      <c r="C15" s="9">
        <f t="array" ref="C15">COUNT(FIND("output",$D15:$CD15))</f>
        <v>1</v>
      </c>
      <c r="J15" t="s">
        <v>2662</v>
      </c>
      <c r="P15" t="s">
        <v>2672</v>
      </c>
      <c r="Q15" t="s">
        <v>2672</v>
      </c>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ECU_phiInjMai1_PHY</v>
      </c>
      <c r="B16" s="9">
        <f t="array" ref="B16">COUNT(FIND("input",$D16:$CD16))</f>
        <v>1</v>
      </c>
      <c r="C16" s="9">
        <f t="array" ref="C16">COUNT(FIND("output",$D16:$CD16))</f>
        <v>1</v>
      </c>
      <c r="J16" t="s">
        <v>2662</v>
      </c>
      <c r="P16" t="s">
        <v>2672</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ECU_phiInjPil1_PHY</v>
      </c>
      <c r="B17" s="9">
        <f t="array" ref="B17">COUNT(FIND("input",$D17:$CD17))</f>
        <v>1</v>
      </c>
      <c r="C17" s="9">
        <f t="array" ref="C17">COUNT(FIND("output",$D17:$CD17))</f>
        <v>1</v>
      </c>
      <c r="J17" t="s">
        <v>2662</v>
      </c>
      <c r="P17" t="s">
        <v>2672</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ECU_phiInjPil2_PHY</v>
      </c>
      <c r="B18" s="9">
        <f t="array" ref="B18">COUNT(FIND("input",$D18:$CD18))</f>
        <v>1</v>
      </c>
      <c r="C18" s="9">
        <f t="array" ref="C18">COUNT(FIND("output",$D18:$CD18))</f>
        <v>1</v>
      </c>
      <c r="J18" t="s">
        <v>2662</v>
      </c>
      <c r="P18" t="s">
        <v>2672</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ECU_phiInjPost1_PHY</v>
      </c>
      <c r="B19" s="9">
        <f t="array" ref="B19">COUNT(FIND("input",$D19:$CD19))</f>
        <v>1</v>
      </c>
      <c r="C19" s="9">
        <f t="array" ref="C19">COUNT(FIND("output",$D19:$CD19))</f>
        <v>1</v>
      </c>
      <c r="J19" t="s">
        <v>2662</v>
      </c>
      <c r="P19" t="s">
        <v>2672</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ECU_phiInjPost2_PHY</v>
      </c>
      <c r="B20" s="9">
        <f t="array" ref="B20">COUNT(FIND("input",$D20:$CD20))</f>
        <v>1</v>
      </c>
      <c r="C20" s="9">
        <f t="array" ref="C20">COUNT(FIND("output",$D20:$CD20))</f>
        <v>1</v>
      </c>
      <c r="J20" t="s">
        <v>2662</v>
      </c>
      <c r="P20" t="s">
        <v>2672</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ECU_pFuRailDes_PHY</v>
      </c>
      <c r="B21" s="9">
        <f t="array" ref="B21">COUNT(FIND("input",$D21:$CD21))</f>
        <v>1</v>
      </c>
      <c r="C21" s="9">
        <f t="array" ref="C21">COUNT(FIND("output",$D21:$CD21))</f>
        <v>1</v>
      </c>
      <c r="J21" t="s">
        <v>2662</v>
      </c>
      <c r="P21" t="s">
        <v>2672</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EmiEstimrAndCnsOptmr_numEngOperMod_PHY</v>
      </c>
      <c r="B22" s="9">
        <f t="array" ref="B22">COUNT(FIND("input",$D22:$CD22))</f>
        <v>0</v>
      </c>
      <c r="C22" s="9">
        <f t="array" ref="C22">COUNT(FIND("output",$D22:$CD22))</f>
        <v>1</v>
      </c>
      <c r="K22" t="s">
        <v>2662</v>
      </c>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EngMdl_tExhT_PHY</v>
      </c>
      <c r="B23" s="9">
        <f t="array" ref="B23">COUNT(FIND("input",$D23:$CD23))</f>
        <v>0</v>
      </c>
      <c r="C23" s="9">
        <f t="array" ref="C23">COUNT(FIND("output",$D23:$CD23))</f>
        <v>1</v>
      </c>
      <c r="P23" t="s">
        <v>2662</v>
      </c>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EngMdl_pMaxCylP_PHY</v>
      </c>
      <c r="B24" s="9">
        <f t="array" ref="B24">COUNT(FIND("input",$D24:$CD24))</f>
        <v>0</v>
      </c>
      <c r="C24" s="9">
        <f t="array" ref="C24">COUNT(FIND("output",$D24:$CD24))</f>
        <v>1</v>
      </c>
      <c r="D24" s="9"/>
      <c r="E24" s="9"/>
      <c r="F24" s="9"/>
      <c r="G24" s="9"/>
      <c r="H24" s="9"/>
      <c r="I24" s="9"/>
      <c r="J24" s="9"/>
      <c r="K24" s="9"/>
      <c r="L24" s="9"/>
      <c r="M24" s="9"/>
      <c r="N24" s="9"/>
      <c r="O24" s="9"/>
      <c r="P24" s="9" t="s">
        <v>2662</v>
      </c>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EngMdl_mPM_PHY</v>
      </c>
      <c r="B25" s="9">
        <f t="array" ref="B25">COUNT(FIND("input",$D25:$CD25))</f>
        <v>1</v>
      </c>
      <c r="C25" s="9">
        <f t="array" ref="C25">COUNT(FIND("output",$D25:$CD25))</f>
        <v>1</v>
      </c>
      <c r="D25" s="9"/>
      <c r="E25" s="9"/>
      <c r="F25" s="9"/>
      <c r="G25" s="9"/>
      <c r="H25" s="9"/>
      <c r="I25" s="9"/>
      <c r="J25" s="9"/>
      <c r="K25" s="9"/>
      <c r="L25" s="9"/>
      <c r="M25" s="9"/>
      <c r="N25" s="9"/>
      <c r="O25" s="9"/>
      <c r="P25" s="9" t="s">
        <v>2662</v>
      </c>
      <c r="Q25" s="9" t="s">
        <v>2672</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EngMdl_numPN_PHY</v>
      </c>
      <c r="B26" s="9">
        <f t="array" ref="B26">COUNT(FIND("input",$D26:$CD26))</f>
        <v>0</v>
      </c>
      <c r="C26" s="9">
        <f t="array" ref="C26">COUNT(FIND("output",$D26:$CD26))</f>
        <v>1</v>
      </c>
      <c r="P26" t="s">
        <v>2662</v>
      </c>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EngMdl_prcExhGasRecircRate_PHY</v>
      </c>
      <c r="B27" s="9">
        <f t="array" ref="B27">COUNT(FIND("input",$D27:$CD27))</f>
        <v>0</v>
      </c>
      <c r="C27" s="9">
        <f t="array" ref="C27">COUNT(FIND("output",$D27:$CD27))</f>
        <v>1</v>
      </c>
      <c r="P27" t="s">
        <v>2662</v>
      </c>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EngMdl_mflChrgdAir_PHY</v>
      </c>
      <c r="B28" s="9">
        <f t="array" ref="B28">COUNT(FIND("input",$D28:$CD28))</f>
        <v>1</v>
      </c>
      <c r="C28" s="9">
        <f t="array" ref="C28">COUNT(FIND("output",$D28:$CD28))</f>
        <v>1</v>
      </c>
      <c r="J28" t="s">
        <v>2672</v>
      </c>
      <c r="P28" t="s">
        <v>2662</v>
      </c>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EngMdl_tTChrgdAir_PHY</v>
      </c>
      <c r="B29" s="9">
        <f t="array" ref="B29">COUNT(FIND("input",$D29:$CD29))</f>
        <v>0</v>
      </c>
      <c r="C29" s="9">
        <f t="array" ref="C29">COUNT(FIND("output",$D29:$CD29))</f>
        <v>1</v>
      </c>
      <c r="P29" t="s">
        <v>2662</v>
      </c>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EngMdl_pBoost_PHY</v>
      </c>
      <c r="B30" s="9">
        <f t="array" ref="B30">COUNT(FIND("input",$D30:$CD30))</f>
        <v>0</v>
      </c>
      <c r="C30" s="9">
        <f t="array" ref="C30">COUNT(FIND("output",$D30:$CD30))</f>
        <v>1</v>
      </c>
      <c r="P30" t="s">
        <v>2662</v>
      </c>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EngMdl_numLam_PHY</v>
      </c>
      <c r="B31" s="9">
        <f t="array" ref="B31">COUNT(FIND("input",$D31:$CD31))</f>
        <v>1</v>
      </c>
      <c r="C31" s="9">
        <f t="array" ref="C31">COUNT(FIND("output",$D31:$CD31))</f>
        <v>1</v>
      </c>
      <c r="P31" t="s">
        <v>2662</v>
      </c>
      <c r="Q31" t="s">
        <v>2672</v>
      </c>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EngMdl_tExhGasRecircT_PHY</v>
      </c>
      <c r="B32" s="9">
        <f t="array" ref="B32">COUNT(FIND("input",$D32:$CD32))</f>
        <v>0</v>
      </c>
      <c r="C32" s="9">
        <f t="array" ref="C32">COUNT(FIND("output",$D32:$CD32))</f>
        <v>1</v>
      </c>
      <c r="P32" t="s">
        <v>2662</v>
      </c>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VCU_vEstimdLgtVehSpd_PHY</v>
      </c>
      <c r="B33" s="9">
        <f t="array" ref="B33">COUNT(FIND("input",$D33:$CD33))</f>
        <v>0</v>
      </c>
      <c r="C33" s="9">
        <f t="array" ref="C33">COUNT(FIND("output",$D33:$CD33))</f>
        <v>1</v>
      </c>
      <c r="D33" s="9"/>
      <c r="E33" s="9"/>
      <c r="F33" s="9"/>
      <c r="G33" s="9"/>
      <c r="H33" s="9"/>
      <c r="I33" s="9"/>
      <c r="J33" s="9"/>
      <c r="K33" s="9"/>
      <c r="L33" s="9"/>
      <c r="M33" s="9"/>
      <c r="N33" s="9"/>
      <c r="O33" s="9"/>
      <c r="P33" s="9"/>
      <c r="Q33" s="9"/>
      <c r="R33" s="9" t="s">
        <v>2662</v>
      </c>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VCU_ctEstimdRollgCoeff_PHY</v>
      </c>
      <c r="B34" s="9">
        <f t="array" ref="B34">COUNT(FIND("input",$D34:$CD34))</f>
        <v>0</v>
      </c>
      <c r="C34" s="9">
        <f t="array" ref="C34">COUNT(FIND("output",$D34:$CD34))</f>
        <v>1</v>
      </c>
      <c r="D34" s="9"/>
      <c r="E34" s="9"/>
      <c r="F34" s="9"/>
      <c r="G34" s="9"/>
      <c r="H34" s="9"/>
      <c r="I34" s="9"/>
      <c r="J34" s="9"/>
      <c r="K34" s="9"/>
      <c r="L34" s="9"/>
      <c r="M34" s="9"/>
      <c r="N34" s="9"/>
      <c r="O34" s="9"/>
      <c r="P34" s="9"/>
      <c r="Q34" s="9"/>
      <c r="R34" s="9" t="s">
        <v>2662</v>
      </c>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VCU_ctEstimdDrgCoeff_PHY</v>
      </c>
      <c r="B35" s="9">
        <f t="array" ref="B35">COUNT(FIND("input",$D35:$CD35))</f>
        <v>0</v>
      </c>
      <c r="C35" s="9">
        <f t="array" ref="C35">COUNT(FIND("output",$D35:$CD35))</f>
        <v>1</v>
      </c>
      <c r="D35" s="9"/>
      <c r="E35" s="9"/>
      <c r="F35" s="9"/>
      <c r="G35" s="9"/>
      <c r="H35" s="9"/>
      <c r="I35" s="9"/>
      <c r="J35" s="9"/>
      <c r="K35" s="9"/>
      <c r="L35" s="9"/>
      <c r="M35" s="9"/>
      <c r="N35" s="9"/>
      <c r="O35" s="9"/>
      <c r="P35" s="9"/>
      <c r="Q35" s="9"/>
      <c r="R35" s="9" t="s">
        <v>2662</v>
      </c>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VCU_mEstimdVehM_PHY</v>
      </c>
      <c r="B36" s="9">
        <f t="array" ref="B36">COUNT(FIND("input",$D36:$CD36))</f>
        <v>0</v>
      </c>
      <c r="C36" s="9">
        <f t="array" ref="C36">COUNT(FIND("output",$D36:$CD36))</f>
        <v>1</v>
      </c>
      <c r="R36" s="9" t="s">
        <v>2662</v>
      </c>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ExhATSysMdl_stNoxSnsrUs_PHY</v>
      </c>
      <c r="B37" s="9">
        <f t="array" ref="B37">COUNT(FIND("input",$D37:$CD37))</f>
        <v>0</v>
      </c>
      <c r="C37" s="9">
        <f t="array" ref="C37">COUNT(FIND("output",$D37:$CD37))</f>
        <v>1</v>
      </c>
      <c r="Q37" t="s">
        <v>2662</v>
      </c>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ExhATSysMdl_stNoxSnsrDs_PHY</v>
      </c>
      <c r="B38" s="9">
        <f t="array" ref="B38">COUNT(FIND("input",$D38:$CD38))</f>
        <v>0</v>
      </c>
      <c r="C38" s="9">
        <f t="array" ref="C38">COUNT(FIND("output",$D38:$CD38))</f>
        <v>1</v>
      </c>
      <c r="Q38" t="s">
        <v>2662</v>
      </c>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ExhATSysMdl_ratNoxSnsrUs_PHY</v>
      </c>
      <c r="B39" s="9">
        <f t="array" ref="B39">COUNT(FIND("input",$D39:$CD39))</f>
        <v>0</v>
      </c>
      <c r="C39" s="9">
        <f t="array" ref="C39">COUNT(FIND("output",$D39:$CD39))</f>
        <v>1</v>
      </c>
      <c r="Q39" t="s">
        <v>2662</v>
      </c>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ExhATSysMdl_ratNoxSnsrDs_PHY</v>
      </c>
      <c r="B40" s="9">
        <f t="array" ref="B40">COUNT(FIND("input",$D40:$CD40))</f>
        <v>0</v>
      </c>
      <c r="C40" s="9">
        <f t="array" ref="C40">COUNT(FIND("output",$D40:$CD40))</f>
        <v>1</v>
      </c>
      <c r="Q40" t="s">
        <v>2662</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ExhATSysMdl_tOxdCatUs_PHY</v>
      </c>
      <c r="B41" s="9">
        <f t="array" ref="B41">COUNT(FIND("input",$D41:$CD41))</f>
        <v>1</v>
      </c>
      <c r="C41" s="9">
        <f t="array" ref="C41">COUNT(FIND("output",$D41:$CD41))</f>
        <v>1</v>
      </c>
      <c r="J41" t="s">
        <v>2672</v>
      </c>
      <c r="Q41" t="s">
        <v>2662</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ExhATSysMdl_tPMFilUs_PHY</v>
      </c>
      <c r="B42" s="9">
        <f t="array" ref="B42">COUNT(FIND("input",$D42:$CD42))</f>
        <v>0</v>
      </c>
      <c r="C42" s="9">
        <f t="array" ref="C42">COUNT(FIND("output",$D42:$CD42))</f>
        <v>1</v>
      </c>
      <c r="D42" s="9"/>
      <c r="E42" s="9"/>
      <c r="F42" s="9"/>
      <c r="G42" s="9"/>
      <c r="H42" s="9"/>
      <c r="I42" s="9"/>
      <c r="J42" s="9"/>
      <c r="K42" s="9"/>
      <c r="L42" s="9"/>
      <c r="M42" s="9"/>
      <c r="N42" s="9"/>
      <c r="O42" s="9"/>
      <c r="P42" s="9"/>
      <c r="Q42" s="9" t="s">
        <v>2662</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ExhATSysMdl_tPMFilDs_PHY</v>
      </c>
      <c r="B43" s="9">
        <f t="array" ref="B43">COUNT(FIND("input",$D43:$CD43))</f>
        <v>1</v>
      </c>
      <c r="C43" s="9">
        <f t="array" ref="C43">COUNT(FIND("output",$D43:$CD43))</f>
        <v>1</v>
      </c>
      <c r="D43" s="9"/>
      <c r="E43" s="9"/>
      <c r="F43" s="9"/>
      <c r="G43" s="9"/>
      <c r="H43" s="9"/>
      <c r="I43" s="9"/>
      <c r="J43" s="9" t="s">
        <v>2672</v>
      </c>
      <c r="K43" s="9"/>
      <c r="L43" s="9"/>
      <c r="M43" s="9"/>
      <c r="N43" s="9"/>
      <c r="O43" s="9"/>
      <c r="P43" s="9"/>
      <c r="Q43" s="9" t="s">
        <v>2662</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ExhATSysMdl_pDifPMFil_PHY</v>
      </c>
      <c r="B44" s="9">
        <f t="array" ref="B44">COUNT(FIND("input",$D44:$CD44))</f>
        <v>0</v>
      </c>
      <c r="C44" s="9">
        <f t="array" ref="C44">COUNT(FIND("output",$D44:$CD44))</f>
        <v>1</v>
      </c>
      <c r="D44" s="9"/>
      <c r="E44" s="9"/>
      <c r="F44" s="9"/>
      <c r="G44" s="9"/>
      <c r="H44" s="9"/>
      <c r="I44" s="9"/>
      <c r="J44" s="9"/>
      <c r="K44" s="9"/>
      <c r="L44" s="9"/>
      <c r="M44" s="9"/>
      <c r="N44" s="9"/>
      <c r="O44" s="9"/>
      <c r="P44" s="9"/>
      <c r="Q44" s="9" t="s">
        <v>2662</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ExhATSysMdl_tASCDs_PHY</v>
      </c>
      <c r="B45" s="9">
        <f t="array" ref="B45">COUNT(FIND("input",$D45:$CD45))</f>
        <v>0</v>
      </c>
      <c r="C45" s="9">
        <f t="array" ref="C45">COUNT(FIND("output",$D45:$CD45))</f>
        <v>1</v>
      </c>
      <c r="D45" s="9"/>
      <c r="E45" s="9"/>
      <c r="F45" s="9"/>
      <c r="G45" s="9"/>
      <c r="H45" s="9"/>
      <c r="I45" s="9"/>
      <c r="J45" s="9"/>
      <c r="K45" s="9"/>
      <c r="L45" s="9"/>
      <c r="M45" s="9"/>
      <c r="N45" s="9"/>
      <c r="O45" s="9"/>
      <c r="P45" s="9"/>
      <c r="Q45" s="9" t="s">
        <v>2662</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TCU_stVeh_PHY</v>
      </c>
      <c r="B46" s="9">
        <f t="array" ref="B46">COUNT(FIND("input",$D46:$CD46))</f>
        <v>0</v>
      </c>
      <c r="C46" s="9">
        <f t="array" ref="C46">COUNT(FIND("output",$D46:$CD46))</f>
        <v>1</v>
      </c>
      <c r="H46" t="s">
        <v>2662</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TCU_numLaunchGear_PHY</v>
      </c>
      <c r="B47" s="9">
        <f t="array" ref="B47">COUNT(FIND("input",$D47:$CD47))</f>
        <v>0</v>
      </c>
      <c r="C47" s="9">
        <f t="array" ref="C47">COUNT(FIND("output",$D47:$CD47))</f>
        <v>1</v>
      </c>
      <c r="D47" s="9"/>
      <c r="E47" s="9"/>
      <c r="F47" s="9"/>
      <c r="G47" s="9"/>
      <c r="H47" s="9" t="s">
        <v>2662</v>
      </c>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TCU_numGearDmd_PHY</v>
      </c>
      <c r="B48" s="9">
        <f t="array" ref="B48">COUNT(FIND("input",$D48:$CD48))</f>
        <v>0</v>
      </c>
      <c r="C48" s="9">
        <f t="array" ref="C48">COUNT(FIND("output",$D48:$CD48))</f>
        <v>1</v>
      </c>
      <c r="H48" t="s">
        <v>2662</v>
      </c>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TCU_numGear_PHY</v>
      </c>
      <c r="B49" s="9">
        <f t="array" ref="B49">COUNT(FIND("input",$D49:$CD49))</f>
        <v>2</v>
      </c>
      <c r="C49" s="9">
        <f t="array" ref="C49">COUNT(FIND("output",$D49:$CD49))</f>
        <v>1</v>
      </c>
      <c r="H49" t="s">
        <v>2662</v>
      </c>
      <c r="I49" t="s">
        <v>2672</v>
      </c>
      <c r="J49" t="s">
        <v>2672</v>
      </c>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TCU_prcTqReq_PHY</v>
      </c>
      <c r="B50" s="9">
        <f t="array" ref="B50">COUNT(FIND("input",$D50:$CD50))</f>
        <v>1</v>
      </c>
      <c r="C50" s="9">
        <f t="array" ref="C50">COUNT(FIND("output",$D50:$CD50))</f>
        <v>1</v>
      </c>
      <c r="D50" s="9"/>
      <c r="E50" s="9"/>
      <c r="F50" s="9"/>
      <c r="G50" s="9"/>
      <c r="H50" s="9" t="s">
        <v>2662</v>
      </c>
      <c r="I50" s="9"/>
      <c r="J50" s="9" t="s">
        <v>2672</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TCU_nEngSpdReq_PHY</v>
      </c>
      <c r="B51" s="9">
        <f t="array" ref="B51">COUNT(FIND("input",$D51:$CD51))</f>
        <v>1</v>
      </c>
      <c r="C51" s="9">
        <f t="array" ref="C51">COUNT(FIND("output",$D51:$CD51))</f>
        <v>1</v>
      </c>
      <c r="D51" s="9"/>
      <c r="E51" s="9"/>
      <c r="F51" s="9"/>
      <c r="G51" s="9"/>
      <c r="H51" s="9" t="s">
        <v>2662</v>
      </c>
      <c r="I51" s="9"/>
      <c r="J51" s="9" t="s">
        <v>2672</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TCU_numOverCtrl_PHY</v>
      </c>
      <c r="B52" s="9">
        <f t="array" ref="B52">COUNT(FIND("input",$D52:$CD52))</f>
        <v>1</v>
      </c>
      <c r="C52" s="9">
        <f t="array" ref="C52">COUNT(FIND("output",$D52:$CD52))</f>
        <v>1</v>
      </c>
      <c r="D52" s="9"/>
      <c r="E52" s="9"/>
      <c r="F52" s="9"/>
      <c r="G52" s="9"/>
      <c r="H52" s="9" t="s">
        <v>2662</v>
      </c>
      <c r="I52" s="9"/>
      <c r="J52" s="9" t="s">
        <v>2672</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TCU_prcCluPosn_PHY</v>
      </c>
      <c r="B53" s="9">
        <f t="array" ref="B53">COUNT(FIND("input",$D53:$CD53))</f>
        <v>2</v>
      </c>
      <c r="C53" s="9">
        <f t="array" ref="C53">COUNT(FIND("output",$D53:$CD53))</f>
        <v>1</v>
      </c>
      <c r="H53" t="s">
        <v>2662</v>
      </c>
      <c r="I53" t="s">
        <v>2672</v>
      </c>
      <c r="R53" t="s">
        <v>2672</v>
      </c>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TCU_stShiftInProgs_PHY</v>
      </c>
      <c r="B54" s="9">
        <f t="array" ref="B54">COUNT(FIND("input",$D54:$CD54))</f>
        <v>0</v>
      </c>
      <c r="C54" s="9">
        <f t="array" ref="C54">COUNT(FIND("output",$D54:$CD54))</f>
        <v>1</v>
      </c>
      <c r="H54" t="s">
        <v>2662</v>
      </c>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TCU_stClu_PHY</v>
      </c>
      <c r="B55" s="9">
        <f t="array" ref="B55">COUNT(FIND("input",$D55:$CD55))</f>
        <v>1</v>
      </c>
      <c r="C55" s="9">
        <f t="array" ref="C55">COUNT(FIND("output",$D55:$CD55))</f>
        <v>1</v>
      </c>
      <c r="H55" t="s">
        <v>2662</v>
      </c>
      <c r="J55" t="s">
        <v>2672</v>
      </c>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TCU_stGearShiftMod_PHY</v>
      </c>
      <c r="B56" s="9">
        <f t="array" ref="B56">COUNT(FIND("input",$D56:$CD56))</f>
        <v>0</v>
      </c>
      <c r="C56" s="9">
        <f t="array" ref="C56">COUNT(FIND("output",$D56:$CD56))</f>
        <v>1</v>
      </c>
      <c r="H56" t="s">
        <v>2662</v>
      </c>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TCU_trqTrsmIntvReq_PHY</v>
      </c>
      <c r="B57" s="9">
        <f t="array" ref="B57">COUNT(FIND("input",$D57:$CD57))</f>
        <v>0</v>
      </c>
      <c r="C57" s="9">
        <f t="array" ref="C57">COUNT(FIND("output",$D57:$CD57))</f>
        <v>1</v>
      </c>
      <c r="H57" t="s">
        <v>2662</v>
      </c>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TrsmMdl_trqClu_PHY</v>
      </c>
      <c r="B58" s="9">
        <f t="array" ref="B58">COUNT(FIND("input",$D58:$CD58))</f>
        <v>0</v>
      </c>
      <c r="C58" s="9">
        <f t="array" ref="C58">COUNT(FIND("output",$D58:$CD58))</f>
        <v>1</v>
      </c>
      <c r="I58" t="s">
        <v>2662</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TrsmMdl_nCrksft_PHY</v>
      </c>
      <c r="B59" s="9">
        <f t="array" ref="B59">COUNT(FIND("input",$D59:$CD59))</f>
        <v>6</v>
      </c>
      <c r="C59" s="9">
        <f t="array" ref="C59">COUNT(FIND("output",$D59:$CD59))</f>
        <v>1</v>
      </c>
      <c r="H59" t="s">
        <v>2672</v>
      </c>
      <c r="I59" t="s">
        <v>2662</v>
      </c>
      <c r="J59" t="s">
        <v>2672</v>
      </c>
      <c r="P59" t="s">
        <v>2672</v>
      </c>
      <c r="Q59" t="s">
        <v>2672</v>
      </c>
      <c r="T59" t="s">
        <v>2672</v>
      </c>
      <c r="Y59" t="s">
        <v>2672</v>
      </c>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TrsmMdl_trqCluReactn_PHY</v>
      </c>
      <c r="B60" s="9">
        <f t="array" ref="B60">COUNT(FIND("input",$D60:$CD60))</f>
        <v>0</v>
      </c>
      <c r="C60" s="9">
        <f t="array" ref="C60">COUNT(FIND("output",$D60:$CD60))</f>
        <v>1</v>
      </c>
      <c r="I60" t="s">
        <v>2662</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TrsmMdl_trqInpShaft_PHY</v>
      </c>
      <c r="B61" s="9">
        <f t="array" ref="B61">COUNT(FIND("input",$D61:$CD61))</f>
        <v>1</v>
      </c>
      <c r="C61" s="9">
        <f t="array" ref="C61">COUNT(FIND("output",$D61:$CD61))</f>
        <v>1</v>
      </c>
      <c r="I61" t="s">
        <v>2662</v>
      </c>
      <c r="R61" t="s">
        <v>2672</v>
      </c>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TrsmMdl_trqCluFric_PHY</v>
      </c>
      <c r="B62" s="9">
        <f t="array" ref="B62">COUNT(FIND("input",$D62:$CD62))</f>
        <v>0</v>
      </c>
      <c r="C62" s="9">
        <f t="array" ref="C62">COUNT(FIND("output",$D62:$CD62))</f>
        <v>1</v>
      </c>
      <c r="D62" s="9"/>
      <c r="E62" s="9"/>
      <c r="F62" s="9"/>
      <c r="G62" s="9"/>
      <c r="H62" s="9"/>
      <c r="I62" s="9" t="s">
        <v>2662</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TrsmMdl_stCluLock_PHY</v>
      </c>
      <c r="B63" s="9">
        <f t="array" ref="B63">COUNT(FIND("input",$D63:$CD63))</f>
        <v>1</v>
      </c>
      <c r="C63" s="9">
        <f t="array" ref="C63">COUNT(FIND("output",$D63:$CD63))</f>
        <v>1</v>
      </c>
      <c r="D63" s="9"/>
      <c r="E63" s="9"/>
      <c r="F63" s="9"/>
      <c r="G63" s="9"/>
      <c r="H63" s="9" t="s">
        <v>2672</v>
      </c>
      <c r="I63" s="9" t="s">
        <v>2662</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TrsmMdl_nOutpShaft_PHY</v>
      </c>
      <c r="B64" s="9">
        <f t="array" ref="B64">COUNT(FIND("input",$D64:$CD64))</f>
        <v>1</v>
      </c>
      <c r="C64" s="9">
        <f t="array" ref="C64">COUNT(FIND("output",$D64:$CD64))</f>
        <v>1</v>
      </c>
      <c r="H64" t="s">
        <v>2672</v>
      </c>
      <c r="I64" t="s">
        <v>2662</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TrsmMdl_trqOutpShaft_PHY</v>
      </c>
      <c r="B65" s="9">
        <f t="array" ref="B65">COUNT(FIND("input",$D65:$CD65))</f>
        <v>0</v>
      </c>
      <c r="C65" s="9">
        <f t="array" ref="C65">COUNT(FIND("output",$D65:$CD65))</f>
        <v>1</v>
      </c>
      <c r="D65" s="9"/>
      <c r="E65" s="9"/>
      <c r="F65" s="9"/>
      <c r="G65" s="9"/>
      <c r="H65" s="9"/>
      <c r="I65" s="9" t="s">
        <v>2662</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TrsmMdl_ratCurrGear_PHY</v>
      </c>
      <c r="B66" s="9">
        <f t="array" ref="B66">COUNT(FIND("input",$D66:$CD66))</f>
        <v>4</v>
      </c>
      <c r="C66" s="9">
        <f t="array" ref="C66">COUNT(FIND("output",$D66:$CD66))</f>
        <v>1</v>
      </c>
      <c r="H66" t="s">
        <v>2672</v>
      </c>
      <c r="I66" t="s">
        <v>2662</v>
      </c>
      <c r="J66" t="s">
        <v>2672</v>
      </c>
      <c r="R66" t="s">
        <v>2672</v>
      </c>
      <c r="T66" t="s">
        <v>2672</v>
      </c>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TrsmMdl_jCurrGear_PHY</v>
      </c>
      <c r="B67" s="9">
        <f t="array" ref="B67">COUNT(FIND("input",$D67:$CD67))</f>
        <v>0</v>
      </c>
      <c r="C67" s="9">
        <f t="array" ref="C67">COUNT(FIND("output",$D67:$CD67))</f>
        <v>1</v>
      </c>
      <c r="D67" s="9"/>
      <c r="E67" s="9"/>
      <c r="F67" s="9"/>
      <c r="G67" s="9"/>
      <c r="H67" s="9"/>
      <c r="I67" s="9" t="s">
        <v>2662</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TrsmMdl_trqTrsmLoss_PHY</v>
      </c>
      <c r="B68" s="9">
        <f t="array" ref="B68">COUNT(FIND("input",$D68:$CD68))</f>
        <v>0</v>
      </c>
      <c r="C68" s="9">
        <f t="array" ref="C68">COUNT(FIND("output",$D68:$CD68))</f>
        <v>1</v>
      </c>
      <c r="I68" t="s">
        <v>2662</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TrsmMdl_trqDrvShaft_PHY</v>
      </c>
      <c r="B69" s="9">
        <f t="array" ref="B69">COUNT(FIND("input",$D69:$CD69))</f>
        <v>2</v>
      </c>
      <c r="C69" s="9">
        <f t="array" ref="C69">COUNT(FIND("output",$D69:$CD69))</f>
        <v>1</v>
      </c>
      <c r="G69" t="s">
        <v>2672</v>
      </c>
      <c r="I69" t="s">
        <v>2662</v>
      </c>
      <c r="R69" t="s">
        <v>2672</v>
      </c>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TrsmMdl_ratDftl_PHY</v>
      </c>
      <c r="B70" s="9">
        <f t="array" ref="B70">COUNT(FIND("input",$D70:$CD70))</f>
        <v>3</v>
      </c>
      <c r="C70" s="9">
        <f t="array" ref="C70">COUNT(FIND("output",$D70:$CD70))</f>
        <v>1</v>
      </c>
      <c r="H70" t="s">
        <v>2672</v>
      </c>
      <c r="I70" t="s">
        <v>2662</v>
      </c>
      <c r="J70" t="s">
        <v>2672</v>
      </c>
      <c r="R70" t="s">
        <v>2672</v>
      </c>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TrsmMdl_jDftl_PHY</v>
      </c>
      <c r="B71" s="9">
        <f t="array" ref="B71">COUNT(FIND("input",$D71:$CD71))</f>
        <v>0</v>
      </c>
      <c r="C71" s="9">
        <f t="array" ref="C71">COUNT(FIND("output",$D71:$CD71))</f>
        <v>1</v>
      </c>
      <c r="I71" t="s">
        <v>2662</v>
      </c>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TrsmMdl_trqItdrLoss_PHY</v>
      </c>
      <c r="B72" s="9">
        <f t="array" ref="B72">COUNT(FIND("input",$D72:$CD72))</f>
        <v>0</v>
      </c>
      <c r="C72" s="9">
        <f t="array" ref="C72">COUNT(FIND("output",$D72:$CD72))</f>
        <v>1</v>
      </c>
      <c r="D72" s="9"/>
      <c r="E72" s="9"/>
      <c r="F72" s="9"/>
      <c r="G72" s="9"/>
      <c r="H72" s="9"/>
      <c r="I72" s="9" t="s">
        <v>2662</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TrsmMdl_trqDftlLoss_PHY</v>
      </c>
      <c r="B73" s="9">
        <f t="array" ref="B73">COUNT(FIND("input",$D73:$CD73))</f>
        <v>0</v>
      </c>
      <c r="C73" s="9">
        <f t="array" ref="C73">COUNT(FIND("output",$D73:$CD73))</f>
        <v>1</v>
      </c>
      <c r="D73" s="9"/>
      <c r="E73" s="9"/>
      <c r="F73" s="9"/>
      <c r="G73" s="9"/>
      <c r="H73" s="9"/>
      <c r="I73" s="9" t="s">
        <v>2662</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TrsmMdl_nInpShaft_PHY</v>
      </c>
      <c r="B74" s="9">
        <f t="array" ref="B74">COUNT(FIND("input",$D74:$CD74))</f>
        <v>1</v>
      </c>
      <c r="C74" s="9">
        <f t="array" ref="C74">COUNT(FIND("output",$D74:$CD74))</f>
        <v>1</v>
      </c>
      <c r="H74" t="s">
        <v>2672</v>
      </c>
      <c r="I74" t="s">
        <v>2662</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ECU_nEngSetLo_PHY</v>
      </c>
      <c r="B75" s="9">
        <f t="array" ref="B75">COUNT(FIND("input",$D75:$CD75))</f>
        <v>1</v>
      </c>
      <c r="C75" s="9">
        <f t="array" ref="C75">COUNT(FIND("output",$D75:$CD75))</f>
        <v>1</v>
      </c>
      <c r="H75" t="s">
        <v>2672</v>
      </c>
      <c r="J75" t="s">
        <v>2662</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ECU_trqEngMax_PHY</v>
      </c>
      <c r="B76" s="9">
        <f t="array" ref="B76">COUNT(FIND("input",$D76:$CD76))</f>
        <v>1</v>
      </c>
      <c r="C76" s="9">
        <f t="array" ref="C76">COUNT(FIND("output",$D76:$CD76))</f>
        <v>1</v>
      </c>
      <c r="D76" s="9"/>
      <c r="E76" s="9"/>
      <c r="F76" s="9"/>
      <c r="G76" s="9"/>
      <c r="H76" s="9" t="s">
        <v>2672</v>
      </c>
      <c r="I76" s="9"/>
      <c r="J76" s="9" t="s">
        <v>2662</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ECU_prcEngActTq_PHY</v>
      </c>
      <c r="B77" s="9">
        <f t="array" ref="B77">COUNT(FIND("input",$D77:$CD77))</f>
        <v>1</v>
      </c>
      <c r="C77" s="9">
        <f t="array" ref="C77">COUNT(FIND("output",$D77:$CD77))</f>
        <v>1</v>
      </c>
      <c r="D77" s="9"/>
      <c r="E77" s="9"/>
      <c r="F77" s="9"/>
      <c r="G77" s="9"/>
      <c r="H77" s="9" t="s">
        <v>2672</v>
      </c>
      <c r="I77" s="9"/>
      <c r="J77" s="9" t="s">
        <v>2662</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ECU_prcEngActTqFrac_PHY</v>
      </c>
      <c r="B78" s="9">
        <f t="array" ref="B78">COUNT(FIND("input",$D78:$CD78))</f>
        <v>1</v>
      </c>
      <c r="C78" s="9">
        <f t="array" ref="C78">COUNT(FIND("output",$D78:$CD78))</f>
        <v>1</v>
      </c>
      <c r="H78" t="s">
        <v>2672</v>
      </c>
      <c r="J78" t="s">
        <v>2662</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ECU_prcEngFricTq_PHY</v>
      </c>
      <c r="B79" s="9">
        <f t="array" ref="B79">COUNT(FIND("input",$D79:$CD79))</f>
        <v>1</v>
      </c>
      <c r="C79" s="9">
        <f t="array" ref="C79">COUNT(FIND("output",$D79:$CD79))</f>
        <v>1</v>
      </c>
      <c r="H79" t="s">
        <v>2672</v>
      </c>
      <c r="J79" t="s">
        <v>2662</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ECU_mflUreaDes_PHY</v>
      </c>
      <c r="B80" s="9">
        <f t="array" ref="B80">COUNT(FIND("input",$D80:$CD80))</f>
        <v>1</v>
      </c>
      <c r="C80" s="9">
        <f t="array" ref="C80">COUNT(FIND("output",$D80:$CD80))</f>
        <v>1</v>
      </c>
      <c r="J80" t="s">
        <v>2662</v>
      </c>
      <c r="Q80" t="s">
        <v>2672</v>
      </c>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ECU_nFanDes_PHY</v>
      </c>
      <c r="B81" s="9">
        <f t="array" ref="B81">COUNT(FIND("input",$D81:$CD81))</f>
        <v>0</v>
      </c>
      <c r="C81" s="9">
        <f t="array" ref="C81">COUNT(FIND("output",$D81:$CD81))</f>
        <v>1</v>
      </c>
      <c r="J81" t="s">
        <v>2662</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ECU_prcEngDrvrDmdTq_PHY</v>
      </c>
      <c r="B82" s="9">
        <f t="array" ref="B82">COUNT(FIND("input",$D82:$CD82))</f>
        <v>1</v>
      </c>
      <c r="C82" s="9">
        <f t="array" ref="C82">COUNT(FIND("output",$D82:$CD82))</f>
        <v>1</v>
      </c>
      <c r="H82" t="s">
        <v>2672</v>
      </c>
      <c r="J82" t="s">
        <v>2662</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ECU_trqEngSetInr_PHY</v>
      </c>
      <c r="B83" s="9">
        <f t="array" ref="B83">COUNT(FIND("input",$D83:$CD83))</f>
        <v>0</v>
      </c>
      <c r="C83" s="9">
        <f t="array" ref="C83">COUNT(FIND("output",$D83:$CD83))</f>
        <v>1</v>
      </c>
      <c r="J83" t="s">
        <v>2662</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TrsmMdl_dnCrksft_PHY</v>
      </c>
      <c r="B84" s="9">
        <f t="array" ref="B84">COUNT(FIND("input",$D84:$CD84))</f>
        <v>1</v>
      </c>
      <c r="C84" s="9">
        <f t="array" ref="C84">COUNT(FIND("output",$D84:$CD84))</f>
        <v>1</v>
      </c>
      <c r="I84" t="s">
        <v>2662</v>
      </c>
      <c r="J84" t="s">
        <v>2672</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ECU_prcTrbVlvDes_PHY</v>
      </c>
      <c r="B85" s="9">
        <f t="array" ref="B85">COUNT(FIND("input",$D85:$CD85))</f>
        <v>1</v>
      </c>
      <c r="C85" s="9">
        <f t="array" ref="C85">COUNT(FIND("output",$D85:$CD85))</f>
        <v>1</v>
      </c>
      <c r="D85" s="9"/>
      <c r="E85" s="9"/>
      <c r="F85" s="9"/>
      <c r="G85" s="9"/>
      <c r="H85" s="9"/>
      <c r="I85" s="9"/>
      <c r="J85" s="9" t="s">
        <v>2662</v>
      </c>
      <c r="K85" s="9"/>
      <c r="L85" s="9"/>
      <c r="M85" s="9"/>
      <c r="N85" s="9"/>
      <c r="O85" s="9"/>
      <c r="P85" s="9" t="s">
        <v>2672</v>
      </c>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ECU_prcEgrVlvDes_PHY</v>
      </c>
      <c r="B86" s="9">
        <f t="array" ref="B86">COUNT(FIND("input",$D86:$CD86))</f>
        <v>1</v>
      </c>
      <c r="C86" s="9">
        <f t="array" ref="C86">COUNT(FIND("output",$D86:$CD86))</f>
        <v>1</v>
      </c>
      <c r="D86" s="9"/>
      <c r="E86" s="9"/>
      <c r="F86" s="9"/>
      <c r="G86" s="9"/>
      <c r="H86" s="9"/>
      <c r="I86" s="9"/>
      <c r="J86" s="9" t="s">
        <v>2662</v>
      </c>
      <c r="K86" s="9"/>
      <c r="L86" s="9"/>
      <c r="M86" s="9"/>
      <c r="N86" s="9"/>
      <c r="O86" s="9"/>
      <c r="P86" s="9" t="s">
        <v>2672</v>
      </c>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ECU_prcThrVlvDes_PHY</v>
      </c>
      <c r="B87" s="9">
        <f t="array" ref="B87">COUNT(FIND("input",$D87:$CD87))</f>
        <v>1</v>
      </c>
      <c r="C87" s="9">
        <f t="array" ref="C87">COUNT(FIND("output",$D87:$CD87))</f>
        <v>1</v>
      </c>
      <c r="J87" t="s">
        <v>2662</v>
      </c>
      <c r="P87" t="s">
        <v>2672</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EngMdl_pwrEgrClrHeatTrf_PHY</v>
      </c>
      <c r="B88" s="9">
        <f t="array" ref="B88">COUNT(FIND("input",$D88:$CD88))</f>
        <v>0</v>
      </c>
      <c r="C88" s="9">
        <f t="array" ref="C88">COUNT(FIND("output",$D88:$CD88))</f>
        <v>1</v>
      </c>
      <c r="P88" t="s">
        <v>2662</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EngMdl_pwrIcoHeatTrf_PHY</v>
      </c>
      <c r="B89" s="9">
        <f t="array" ref="B89">COUNT(FIND("input",$D89:$CD89))</f>
        <v>0</v>
      </c>
      <c r="C89" s="9">
        <f t="array" ref="C89">COUNT(FIND("output",$D89:$CD89))</f>
        <v>1</v>
      </c>
      <c r="P89" t="s">
        <v>2662</v>
      </c>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EngMdl_pwrCylHeatTrfRate_PHY</v>
      </c>
      <c r="B90" s="9">
        <f t="array" ref="B90">COUNT(FIND("input",$D90:$CD90))</f>
        <v>0</v>
      </c>
      <c r="C90" s="9">
        <f t="array" ref="C90">COUNT(FIND("output",$D90:$CD90))</f>
        <v>1</v>
      </c>
      <c r="D90" s="9"/>
      <c r="E90" s="9"/>
      <c r="F90" s="9"/>
      <c r="G90" s="9"/>
      <c r="H90" s="9"/>
      <c r="I90" s="9"/>
      <c r="J90" s="9"/>
      <c r="K90" s="9"/>
      <c r="L90" s="9"/>
      <c r="M90" s="9"/>
      <c r="N90" s="9"/>
      <c r="O90" s="9"/>
      <c r="P90" s="9" t="s">
        <v>2662</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EngMdl_sfcBrkSpcFuCns_PHY</v>
      </c>
      <c r="B91" s="9">
        <f t="array" ref="B91">COUNT(FIND("input",$D91:$CD91))</f>
        <v>0</v>
      </c>
      <c r="C91" s="9">
        <f t="array" ref="C91">COUNT(FIND("output",$D91:$CD91))</f>
        <v>1</v>
      </c>
      <c r="D91" s="9"/>
      <c r="E91" s="9"/>
      <c r="F91" s="9"/>
      <c r="G91" s="9"/>
      <c r="H91" s="9"/>
      <c r="I91" s="9"/>
      <c r="J91" s="9"/>
      <c r="K91" s="9"/>
      <c r="L91" s="9"/>
      <c r="M91" s="9"/>
      <c r="N91" s="9"/>
      <c r="O91" s="9"/>
      <c r="P91" s="9" t="s">
        <v>2662</v>
      </c>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EngMdl_trqEngTqOut_PHY</v>
      </c>
      <c r="B92" s="9">
        <f t="array" ref="B92">COUNT(FIND("input",$D92:$CD92))</f>
        <v>3</v>
      </c>
      <c r="C92" s="9">
        <f t="array" ref="C92">COUNT(FIND("output",$D92:$CD92))</f>
        <v>1</v>
      </c>
      <c r="H92" t="s">
        <v>2672</v>
      </c>
      <c r="I92" t="s">
        <v>2672</v>
      </c>
      <c r="P92" t="s">
        <v>2662</v>
      </c>
      <c r="Q92" t="s">
        <v>2672</v>
      </c>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EngMdl_nEngSpdOut_PHY</v>
      </c>
      <c r="B93" s="9">
        <f t="array" ref="B93">COUNT(FIND("input",$D93:$CD93))</f>
        <v>0</v>
      </c>
      <c r="C93" s="9">
        <f t="array" ref="C93">COUNT(FIND("output",$D93:$CD93))</f>
        <v>1</v>
      </c>
      <c r="P93" t="s">
        <v>2662</v>
      </c>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EngMdl_ratNOx_PHY</v>
      </c>
      <c r="B94" s="9">
        <f t="array" ref="B94">COUNT(FIND("input",$D94:$CD94))</f>
        <v>2</v>
      </c>
      <c r="C94" s="9">
        <f t="array" ref="C94">COUNT(FIND("output",$D94:$CD94))</f>
        <v>1</v>
      </c>
      <c r="J94" t="s">
        <v>2672</v>
      </c>
      <c r="P94" t="s">
        <v>2662</v>
      </c>
      <c r="Q94" t="s">
        <v>2672</v>
      </c>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EngMdl_ratNO2_PHY</v>
      </c>
      <c r="B95" s="9">
        <f t="array" ref="B95">COUNT(FIND("input",$D95:$CD95))</f>
        <v>1</v>
      </c>
      <c r="C95" s="9">
        <f t="array" ref="C95">COUNT(FIND("output",$D95:$CD95))</f>
        <v>1</v>
      </c>
      <c r="P95" t="s">
        <v>2662</v>
      </c>
      <c r="Q95" t="s">
        <v>2672</v>
      </c>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EngMdl_ratCO_PHY</v>
      </c>
      <c r="B96" s="9">
        <f t="array" ref="B96">COUNT(FIND("input",$D96:$CD96))</f>
        <v>0</v>
      </c>
      <c r="C96" s="9">
        <f t="array" ref="C96">COUNT(FIND("output",$D96:$CD96))</f>
        <v>1</v>
      </c>
      <c r="D96" s="9"/>
      <c r="E96" s="9"/>
      <c r="F96" s="9"/>
      <c r="G96" s="9"/>
      <c r="H96" s="9"/>
      <c r="I96" s="9"/>
      <c r="J96" s="9"/>
      <c r="K96" s="9"/>
      <c r="L96" s="9"/>
      <c r="M96" s="9"/>
      <c r="N96" s="9"/>
      <c r="O96" s="9"/>
      <c r="P96" s="9" t="s">
        <v>2662</v>
      </c>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EngMdl_ratHC_PHY</v>
      </c>
      <c r="B97" s="9">
        <f t="array" ref="B97">COUNT(FIND("input",$D97:$CD97))</f>
        <v>0</v>
      </c>
      <c r="C97" s="9">
        <f t="array" ref="C97">COUNT(FIND("output",$D97:$CD97))</f>
        <v>1</v>
      </c>
      <c r="D97" s="9"/>
      <c r="E97" s="9"/>
      <c r="F97" s="9"/>
      <c r="G97" s="9"/>
      <c r="H97" s="9"/>
      <c r="I97" s="9"/>
      <c r="J97" s="9"/>
      <c r="K97" s="9"/>
      <c r="L97" s="9"/>
      <c r="M97" s="9"/>
      <c r="N97" s="9"/>
      <c r="O97" s="9"/>
      <c r="P97" s="9" t="s">
        <v>2662</v>
      </c>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EngMdl_ratCO2_PHY</v>
      </c>
      <c r="B98" s="9">
        <f t="array" ref="B98">COUNT(FIND("input",$D98:$CD98))</f>
        <v>0</v>
      </c>
      <c r="C98" s="9">
        <f t="array" ref="C98">COUNT(FIND("output",$D98:$CD98))</f>
        <v>1</v>
      </c>
      <c r="D98" s="9"/>
      <c r="E98" s="9"/>
      <c r="F98" s="9"/>
      <c r="G98" s="9"/>
      <c r="H98" s="9"/>
      <c r="I98" s="9"/>
      <c r="J98" s="9"/>
      <c r="K98" s="9"/>
      <c r="L98" s="9"/>
      <c r="M98" s="9"/>
      <c r="N98" s="9"/>
      <c r="O98" s="9"/>
      <c r="P98" s="9" t="s">
        <v>2662</v>
      </c>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EngMdl_ratO2ConcInExh_PHY</v>
      </c>
      <c r="B99" s="9">
        <f t="array" ref="B99">COUNT(FIND("input",$D99:$CD99))</f>
        <v>1</v>
      </c>
      <c r="C99" s="9">
        <f t="array" ref="C99">COUNT(FIND("output",$D99:$CD99))</f>
        <v>1</v>
      </c>
      <c r="D99" s="9"/>
      <c r="E99" s="9"/>
      <c r="F99" s="9"/>
      <c r="G99" s="9"/>
      <c r="H99" s="9"/>
      <c r="I99" s="9"/>
      <c r="J99" s="9"/>
      <c r="K99" s="9"/>
      <c r="L99" s="9"/>
      <c r="M99" s="9"/>
      <c r="N99" s="9"/>
      <c r="O99" s="9"/>
      <c r="P99" s="9" t="s">
        <v>2662</v>
      </c>
      <c r="Q99" s="9" t="s">
        <v>2672</v>
      </c>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PnmSys_trqAirCmpr_PHY</v>
      </c>
      <c r="B100" s="9">
        <f t="array" ref="B100">COUNT(FIND("input",$D100:$CD100))</f>
        <v>0</v>
      </c>
      <c r="C100" s="9">
        <f t="array" ref="C100">COUNT(FIND("output",$D100:$CD100))</f>
        <v>1</v>
      </c>
      <c r="D100" s="9"/>
      <c r="E100" s="9"/>
      <c r="F100" s="9"/>
      <c r="G100" s="9"/>
      <c r="H100" s="9"/>
      <c r="I100" s="9"/>
      <c r="J100" s="9"/>
      <c r="K100" s="9"/>
      <c r="L100" s="9"/>
      <c r="M100" s="9"/>
      <c r="N100" s="9"/>
      <c r="O100" s="9"/>
      <c r="P100" s="9"/>
      <c r="Q100" s="9"/>
      <c r="R100" s="9"/>
      <c r="S100" s="9"/>
      <c r="T100" s="9" t="s">
        <v>2662</v>
      </c>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PnmSys_jAirCmpr_PHY</v>
      </c>
      <c r="B101" s="9">
        <f t="array" ref="B101">COUNT(FIND("input",$D101:$CD101))</f>
        <v>0</v>
      </c>
      <c r="C101" s="9">
        <f t="array" ref="C101">COUNT(FIND("output",$D101:$CD101))</f>
        <v>1</v>
      </c>
      <c r="D101" s="9"/>
      <c r="E101" s="9"/>
      <c r="F101" s="9"/>
      <c r="G101" s="9"/>
      <c r="H101" s="9"/>
      <c r="I101" s="9"/>
      <c r="J101" s="9"/>
      <c r="K101" s="9"/>
      <c r="L101" s="9"/>
      <c r="M101" s="9"/>
      <c r="N101" s="9"/>
      <c r="O101" s="9"/>
      <c r="P101" s="9"/>
      <c r="Q101" s="9"/>
      <c r="R101" s="9"/>
      <c r="S101" s="9"/>
      <c r="T101" s="9" t="s">
        <v>2662</v>
      </c>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CoolgSys_tCooltRadrOut_PHY</v>
      </c>
      <c r="B102" s="9">
        <f t="array" ref="B102">COUNT(FIND("input",$D102:$CD102))</f>
        <v>0</v>
      </c>
      <c r="C102" s="9">
        <f t="array" ref="C102">COUNT(FIND("output",$D102:$CD102))</f>
        <v>1</v>
      </c>
      <c r="D102" s="9"/>
      <c r="E102" s="9"/>
      <c r="F102" s="9"/>
      <c r="G102" s="9"/>
      <c r="H102" s="9"/>
      <c r="I102" s="9"/>
      <c r="J102" s="9"/>
      <c r="K102" s="9"/>
      <c r="L102" s="9"/>
      <c r="M102" s="9"/>
      <c r="N102" s="9"/>
      <c r="O102" s="9"/>
      <c r="P102" s="9"/>
      <c r="Q102" s="9"/>
      <c r="R102" s="9"/>
      <c r="S102" s="9"/>
      <c r="T102" s="9"/>
      <c r="U102" s="9" t="s">
        <v>2662</v>
      </c>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CoolgSys_tCooltRadrIn_PHY</v>
      </c>
      <c r="B103" s="9">
        <f t="array" ref="B103">COUNT(FIND("input",$D103:$CD103))</f>
        <v>0</v>
      </c>
      <c r="C103" s="9">
        <f t="array" ref="C103">COUNT(FIND("output",$D103:$CD103))</f>
        <v>1</v>
      </c>
      <c r="D103" s="9"/>
      <c r="E103" s="9"/>
      <c r="F103" s="9"/>
      <c r="G103" s="9"/>
      <c r="H103" s="9"/>
      <c r="I103" s="9"/>
      <c r="J103" s="9"/>
      <c r="K103" s="9"/>
      <c r="L103" s="9"/>
      <c r="M103" s="9"/>
      <c r="N103" s="9"/>
      <c r="O103" s="9"/>
      <c r="P103" s="9"/>
      <c r="Q103" s="9"/>
      <c r="R103" s="9"/>
      <c r="S103" s="9"/>
      <c r="T103" s="9"/>
      <c r="U103" s="9" t="s">
        <v>2662</v>
      </c>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CoolgSys_tCooltSp_INT</v>
      </c>
      <c r="B104" s="9">
        <f t="array" ref="B104">COUNT(FIND("input",$D104:$CD104))</f>
        <v>1</v>
      </c>
      <c r="C104" s="9">
        <f t="array" ref="C104">COUNT(FIND("output",$D104:$CD104))</f>
        <v>1</v>
      </c>
      <c r="D104" s="9"/>
      <c r="E104" s="9"/>
      <c r="F104" s="9"/>
      <c r="G104" s="9"/>
      <c r="H104" s="9"/>
      <c r="I104" s="9"/>
      <c r="J104" s="9"/>
      <c r="K104" s="9"/>
      <c r="L104" s="9"/>
      <c r="M104" s="9"/>
      <c r="N104" s="9"/>
      <c r="O104" s="9"/>
      <c r="P104" s="9"/>
      <c r="Q104" s="9"/>
      <c r="R104" s="9"/>
      <c r="S104" s="9"/>
      <c r="T104" s="9"/>
      <c r="U104" s="9" t="s">
        <v>2662</v>
      </c>
      <c r="V104" s="9"/>
      <c r="W104" s="9"/>
      <c r="X104" s="9" t="s">
        <v>2672</v>
      </c>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CoolgSys_stThOpend_INT</v>
      </c>
      <c r="B105" s="9">
        <f t="array" ref="B105">COUNT(FIND("input",$D105:$CD105))</f>
        <v>1</v>
      </c>
      <c r="C105" s="9">
        <f t="array" ref="C105">COUNT(FIND("output",$D105:$CD105))</f>
        <v>1</v>
      </c>
      <c r="D105" s="9"/>
      <c r="E105" s="9"/>
      <c r="F105" s="9"/>
      <c r="G105" s="9"/>
      <c r="H105" s="9"/>
      <c r="I105" s="9"/>
      <c r="J105" s="9"/>
      <c r="K105" s="9"/>
      <c r="L105" s="9"/>
      <c r="M105" s="9"/>
      <c r="N105" s="9"/>
      <c r="O105" s="9"/>
      <c r="P105" s="9"/>
      <c r="Q105" s="9"/>
      <c r="R105" s="9"/>
      <c r="S105" s="9"/>
      <c r="T105" s="9"/>
      <c r="U105" s="9" t="s">
        <v>2662</v>
      </c>
      <c r="V105" s="9"/>
      <c r="W105" s="9" t="s">
        <v>2672</v>
      </c>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WtrPmp_nWtrPmp_PHY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c r="V106" s="9"/>
      <c r="W106" s="9"/>
      <c r="X106" s="9" t="s">
        <v>2662</v>
      </c>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WtrPmp_jWtrPmp_PHY</v>
      </c>
      <c r="B107" s="9">
        <f t="array" ref="B107">COUNT(FIND("input",$D107:$CD107))</f>
        <v>0</v>
      </c>
      <c r="C107" s="9">
        <f t="array" ref="C107">COUNT(FIND("output",$D107:$CD107))</f>
        <v>1</v>
      </c>
      <c r="D107" s="9"/>
      <c r="E107" s="9"/>
      <c r="F107" s="9"/>
      <c r="G107" s="9"/>
      <c r="H107" s="9"/>
      <c r="I107" s="9"/>
      <c r="J107" s="9"/>
      <c r="K107" s="9"/>
      <c r="L107" s="9"/>
      <c r="M107" s="9"/>
      <c r="N107" s="9"/>
      <c r="O107" s="9"/>
      <c r="P107" s="9"/>
      <c r="Q107" s="9"/>
      <c r="R107" s="9"/>
      <c r="S107" s="9"/>
      <c r="T107" s="9"/>
      <c r="U107" s="9"/>
      <c r="V107" s="9"/>
      <c r="W107" s="9"/>
      <c r="X107" s="9" t="s">
        <v>2662</v>
      </c>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WtrPmp_trqWtrPmpReqd_PHY</v>
      </c>
      <c r="B108" s="9">
        <f t="array" ref="B108">COUNT(FIND("input",$D108:$CD108))</f>
        <v>0</v>
      </c>
      <c r="C108" s="9">
        <f t="array" ref="C108">COUNT(FIND("output",$D108:$CD108))</f>
        <v>1</v>
      </c>
      <c r="D108" s="9"/>
      <c r="E108" s="9"/>
      <c r="F108" s="9"/>
      <c r="G108" s="9"/>
      <c r="H108" s="9"/>
      <c r="I108" s="9"/>
      <c r="J108" s="9"/>
      <c r="K108" s="9"/>
      <c r="L108" s="9"/>
      <c r="M108" s="9"/>
      <c r="N108" s="9"/>
      <c r="O108" s="9"/>
      <c r="P108" s="9"/>
      <c r="Q108" s="9"/>
      <c r="R108" s="9"/>
      <c r="S108" s="9"/>
      <c r="T108" s="9"/>
      <c r="U108" s="9"/>
      <c r="V108" s="9"/>
      <c r="W108" s="9"/>
      <c r="X108" s="9" t="s">
        <v>2662</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WtrPmp_pwrWtrPmp_INT</v>
      </c>
      <c r="B109" s="9">
        <f t="array" ref="B109">COUNT(FIND("input",$D109:$CD109))</f>
        <v>0</v>
      </c>
      <c r="C109" s="9">
        <f t="array" ref="C109">COUNT(FIND("output",$D109:$CD109))</f>
        <v>1</v>
      </c>
      <c r="D109" s="9"/>
      <c r="E109" s="9"/>
      <c r="F109" s="9"/>
      <c r="G109" s="9"/>
      <c r="H109" s="9"/>
      <c r="I109" s="9"/>
      <c r="J109" s="9"/>
      <c r="K109" s="9"/>
      <c r="L109" s="9"/>
      <c r="M109" s="9"/>
      <c r="N109" s="9"/>
      <c r="O109" s="9"/>
      <c r="P109" s="9"/>
      <c r="Q109" s="9"/>
      <c r="R109" s="9"/>
      <c r="S109" s="9"/>
      <c r="T109" s="9"/>
      <c r="U109" s="9"/>
      <c r="V109" s="9"/>
      <c r="W109" s="9"/>
      <c r="X109" s="9" t="s">
        <v>2662</v>
      </c>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WtrPmp_stThEnag_INT</v>
      </c>
      <c r="B110" s="9">
        <f t="array" ref="B110">COUNT(FIND("input",$D110:$CD110))</f>
        <v>1</v>
      </c>
      <c r="C110" s="9">
        <f t="array" ref="C110">COUNT(FIND("output",$D110:$CD110))</f>
        <v>1</v>
      </c>
      <c r="D110" s="9"/>
      <c r="E110" s="9"/>
      <c r="F110" s="9"/>
      <c r="G110" s="9"/>
      <c r="H110" s="9"/>
      <c r="I110" s="9"/>
      <c r="J110" s="9"/>
      <c r="K110" s="9"/>
      <c r="L110" s="9"/>
      <c r="M110" s="9"/>
      <c r="N110" s="9"/>
      <c r="O110" s="9"/>
      <c r="P110" s="9"/>
      <c r="Q110" s="9"/>
      <c r="R110" s="9"/>
      <c r="S110" s="9"/>
      <c r="T110" s="9"/>
      <c r="U110" s="9" t="s">
        <v>2672</v>
      </c>
      <c r="V110" s="9"/>
      <c r="W110" s="9"/>
      <c r="X110" s="9" t="s">
        <v>2662</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WtrPmp_mflWtrPmpCoolt_INT</v>
      </c>
      <c r="B111" s="9">
        <f t="array" ref="B111">COUNT(FIND("input",$D111:$CD111))</f>
        <v>1</v>
      </c>
      <c r="C111" s="9">
        <f t="array" ref="C111">COUNT(FIND("output",$D111:$CD111))</f>
        <v>1</v>
      </c>
      <c r="D111" s="9"/>
      <c r="E111" s="9"/>
      <c r="F111" s="9"/>
      <c r="G111" s="9"/>
      <c r="H111" s="9"/>
      <c r="I111" s="9"/>
      <c r="J111" s="9"/>
      <c r="K111" s="9"/>
      <c r="L111" s="9"/>
      <c r="M111" s="9"/>
      <c r="N111" s="9"/>
      <c r="O111" s="9"/>
      <c r="P111" s="9"/>
      <c r="Q111" s="9"/>
      <c r="R111" s="9"/>
      <c r="S111" s="9"/>
      <c r="T111" s="9"/>
      <c r="U111" s="9" t="s">
        <v>2672</v>
      </c>
      <c r="V111" s="9"/>
      <c r="W111" s="9"/>
      <c r="X111" s="9" t="s">
        <v>2662</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CoolgFan_mflCoolgFanAir_INT</v>
      </c>
      <c r="B112" s="9">
        <f t="array" ref="B112">COUNT(FIND("input",$D112:$CD112))</f>
        <v>1</v>
      </c>
      <c r="C112" s="9">
        <f t="array" ref="C112">COUNT(FIND("output",$D112:$CD112))</f>
        <v>1</v>
      </c>
      <c r="D112" s="9"/>
      <c r="E112" s="9"/>
      <c r="F112" s="9"/>
      <c r="G112" s="9"/>
      <c r="H112" s="9"/>
      <c r="I112" s="9"/>
      <c r="J112" s="9"/>
      <c r="K112" s="9"/>
      <c r="L112" s="9"/>
      <c r="M112" s="9"/>
      <c r="N112" s="9"/>
      <c r="O112" s="9"/>
      <c r="P112" s="9"/>
      <c r="Q112" s="9"/>
      <c r="R112" s="9"/>
      <c r="S112" s="9"/>
      <c r="T112" s="9"/>
      <c r="U112" s="9" t="s">
        <v>2672</v>
      </c>
      <c r="V112" s="9"/>
      <c r="W112" s="9" t="s">
        <v>2662</v>
      </c>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CoolgFan_trqCoolgFan_INT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W113" s="9" t="s">
        <v>2662</v>
      </c>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CoolgFan_trqCoolgFanReq_PHY</v>
      </c>
      <c r="B114" s="9">
        <f t="array" ref="B114">COUNT(FIND("input",$D114:$CD114))</f>
        <v>0</v>
      </c>
      <c r="C114" s="9">
        <f t="array" ref="C114">COUNT(FIND("output",$D114:$CD114))</f>
        <v>1</v>
      </c>
      <c r="D114" s="9"/>
      <c r="E114" s="9"/>
      <c r="F114" s="9"/>
      <c r="G114" s="9"/>
      <c r="H114" s="9"/>
      <c r="I114" s="9"/>
      <c r="J114" s="9"/>
      <c r="K114" s="9"/>
      <c r="L114" s="9"/>
      <c r="M114" s="9"/>
      <c r="N114" s="9"/>
      <c r="O114" s="9"/>
      <c r="P114" s="9"/>
      <c r="Q114" s="9"/>
      <c r="R114" s="9"/>
      <c r="S114" s="9"/>
      <c r="T114" s="9"/>
      <c r="U114" s="9"/>
      <c r="V114" s="9"/>
      <c r="W114" s="9" t="s">
        <v>2662</v>
      </c>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CoolgFan_nCoolgFan_PHY</v>
      </c>
      <c r="B115" s="9">
        <f t="array" ref="B115">COUNT(FIND("input",$D115:$CD115))</f>
        <v>0</v>
      </c>
      <c r="C115" s="9">
        <f t="array" ref="C115">COUNT(FIND("output",$D115:$CD115))</f>
        <v>1</v>
      </c>
      <c r="D115" s="9"/>
      <c r="E115" s="9"/>
      <c r="F115" s="9"/>
      <c r="G115" s="9"/>
      <c r="H115" s="9"/>
      <c r="I115" s="9"/>
      <c r="J115" s="9"/>
      <c r="K115" s="9"/>
      <c r="L115" s="9"/>
      <c r="M115" s="9"/>
      <c r="N115" s="9"/>
      <c r="O115" s="9"/>
      <c r="P115" s="9"/>
      <c r="Q115" s="9"/>
      <c r="R115" s="9"/>
      <c r="S115" s="9"/>
      <c r="T115" s="9"/>
      <c r="U115" s="9"/>
      <c r="V115" s="9"/>
      <c r="W115" s="9" t="s">
        <v>2662</v>
      </c>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CoolgFan_jCoolgFan_PHY</v>
      </c>
      <c r="B116" s="9">
        <f t="array" ref="B116">COUNT(FIND("input",$D116:$CD116))</f>
        <v>0</v>
      </c>
      <c r="C116" s="9">
        <f t="array" ref="C116">COUNT(FIND("output",$D116:$CD116))</f>
        <v>1</v>
      </c>
      <c r="D116" s="9"/>
      <c r="E116" s="9"/>
      <c r="F116" s="9"/>
      <c r="G116" s="9"/>
      <c r="H116" s="9"/>
      <c r="I116" s="9"/>
      <c r="J116" s="9"/>
      <c r="K116" s="9"/>
      <c r="L116" s="9"/>
      <c r="M116" s="9"/>
      <c r="N116" s="9"/>
      <c r="O116" s="9"/>
      <c r="P116" s="9"/>
      <c r="Q116" s="9"/>
      <c r="R116" s="9"/>
      <c r="S116" s="9"/>
      <c r="T116" s="9"/>
      <c r="U116" s="9"/>
      <c r="V116" s="9"/>
      <c r="W116" s="9" t="s">
        <v>2662</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AirCdn_jAirCdnCmpr_PHY</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t="s">
        <v>2662</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AirCdn_trqAirCdnReqd_PHY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t="s">
        <v>2662</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AirCdn_nAirCdn_PHY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t="s">
        <v>2662</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ElecSys_trqAltBltDrv_PHY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c r="X120" s="9"/>
      <c r="Y120" s="9" t="s">
        <v>2662</v>
      </c>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PnmSys_trqAirCmprTrsmInp_PHY</v>
      </c>
      <c r="B121" s="9">
        <f t="array" ref="B121">COUNT(FIND("input",$D121:$CD121))</f>
        <v>1</v>
      </c>
      <c r="C121" s="9">
        <f t="array" ref="C121">COUNT(FIND("output",$D121:$CD121))</f>
        <v>1</v>
      </c>
      <c r="D121" s="9"/>
      <c r="E121" s="9"/>
      <c r="F121" s="9"/>
      <c r="G121" s="9"/>
      <c r="H121" s="9"/>
      <c r="I121" s="9"/>
      <c r="J121" s="9" t="s">
        <v>2672</v>
      </c>
      <c r="K121" s="9"/>
      <c r="L121" s="9"/>
      <c r="M121" s="9"/>
      <c r="N121" s="9"/>
      <c r="O121" s="9"/>
      <c r="P121" s="9"/>
      <c r="Q121" s="9"/>
      <c r="R121" s="9"/>
      <c r="S121" s="9"/>
      <c r="T121" s="9" t="s">
        <v>2662</v>
      </c>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PnmSys_pwrMeclRqrd_PHY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t="s">
        <v>2662</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PnmSys_pwrAirCmprMecl_PHY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t="s">
        <v>2662</v>
      </c>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PnmSys_volAirRqrdStdLiters_PHY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t="s">
        <v>2662</v>
      </c>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PnmSys_volflAirCompressed_PHY</v>
      </c>
      <c r="B125" s="9">
        <f t="array" ref="B125">COUNT(FIND("input",$D125:$CD125))</f>
        <v>0</v>
      </c>
      <c r="C125" s="9">
        <f t="array" ref="C125">COUNT(FIND("output",$D125:$CD125))</f>
        <v>1</v>
      </c>
      <c r="D125" s="9"/>
      <c r="E125" s="9"/>
      <c r="F125" s="9"/>
      <c r="G125" s="9"/>
      <c r="H125" s="9"/>
      <c r="I125" s="9"/>
      <c r="J125" s="9"/>
      <c r="K125" s="9"/>
      <c r="L125" s="9"/>
      <c r="M125" s="9"/>
      <c r="N125" s="9"/>
      <c r="O125" s="9"/>
      <c r="P125" s="9"/>
      <c r="Q125" s="9"/>
      <c r="R125" s="9"/>
      <c r="S125" s="9"/>
      <c r="T125" s="9" t="s">
        <v>2662</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PnmSys_volflAirRqrdSysStdLiters_PHY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2662</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PnmSys_volflAirRqrdMeanSysStdLiters_PHY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2662</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PnmSys_volflAirCompressedStdLiters_PHY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2662</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PnmSys_volflAirCmprMapStdLiters_PHY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2662</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PnmSys_pAirTank_PHY</v>
      </c>
      <c r="B130" s="9">
        <f t="array" ref="B130">COUNT(FIND("input",$D130:$CD130))</f>
        <v>1</v>
      </c>
      <c r="C130" s="9">
        <f t="array" ref="C130">COUNT(FIND("output",$D130:$CD130))</f>
        <v>1</v>
      </c>
      <c r="T130" t="s">
        <v>2662</v>
      </c>
      <c r="Z130" t="s">
        <v>2672</v>
      </c>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AuxCtrl_swtAirCmpr_PHY</v>
      </c>
      <c r="B131" s="9">
        <f t="array" ref="B131">COUNT(FIND("input",$D131:$CD131))</f>
        <v>1</v>
      </c>
      <c r="C131" s="9">
        <f t="array" ref="C131">COUNT(FIND("output",$D131:$CD131))</f>
        <v>1</v>
      </c>
      <c r="S131" t="s">
        <v>2662</v>
      </c>
      <c r="Z131" t="s">
        <v>2672</v>
      </c>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AuxCtrl_swtAirCmprOpertgMod_PHY</v>
      </c>
      <c r="B132" s="9">
        <f t="array" ref="B132">COUNT(FIND("input",$D132:$CD132))</f>
        <v>1</v>
      </c>
      <c r="C132" s="9">
        <f t="array" ref="C132">COUNT(FIND("output",$D132:$CD132))</f>
        <v>1</v>
      </c>
      <c r="S132" t="s">
        <v>2662</v>
      </c>
      <c r="Z132" t="s">
        <v>2672</v>
      </c>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PnmSys_nAirCmpr_PHY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2662</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CoolgSys_tCooltRadrIn_INT</v>
      </c>
      <c r="B134" s="9">
        <f t="array" ref="B134">COUNT(FIND("input",$D134:$CD134))</f>
        <v>2</v>
      </c>
      <c r="C134" s="9">
        <f t="array" ref="C134">COUNT(FIND("output",$D134:$CD134))</f>
        <v>1</v>
      </c>
      <c r="D134" s="9"/>
      <c r="E134" s="9"/>
      <c r="F134" s="9"/>
      <c r="G134" s="9"/>
      <c r="H134" s="9"/>
      <c r="I134" s="9"/>
      <c r="J134" s="9"/>
      <c r="K134" s="9"/>
      <c r="L134" s="9"/>
      <c r="M134" s="9"/>
      <c r="N134" s="9"/>
      <c r="O134" s="9"/>
      <c r="P134" s="9"/>
      <c r="Q134" s="9"/>
      <c r="R134" s="9"/>
      <c r="S134" s="9"/>
      <c r="T134" s="9"/>
      <c r="U134" s="9" t="s">
        <v>2662</v>
      </c>
      <c r="V134" s="9"/>
      <c r="W134" s="9" t="s">
        <v>2672</v>
      </c>
      <c r="X134" s="9" t="s">
        <v>2672</v>
      </c>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ECU_stCrsCtrl_PHY</v>
      </c>
      <c r="B135" s="9">
        <f t="array" ref="B135">COUNT(FIND("input",$D135:$CD135))</f>
        <v>1</v>
      </c>
      <c r="C135" s="9">
        <f t="array" ref="C135">COUNT(FIND("output",$D135:$CD135))</f>
        <v>1</v>
      </c>
      <c r="H135" t="s">
        <v>2672</v>
      </c>
      <c r="J135" t="s">
        <v>2662</v>
      </c>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ECU_vVehDesCrsCtrl_PHY</v>
      </c>
      <c r="B136" s="9">
        <f t="array" ref="B136">COUNT(FIND("input",$D136:$CD136))</f>
        <v>0</v>
      </c>
      <c r="C136" s="9">
        <f t="array" ref="C136">COUNT(FIND("output",$D136:$CD136))</f>
        <v>1</v>
      </c>
      <c r="D136" s="9"/>
      <c r="E136" s="9"/>
      <c r="F136" s="9"/>
      <c r="G136" s="9"/>
      <c r="H136" s="9"/>
      <c r="I136" s="9"/>
      <c r="J136" s="9" t="s">
        <v>2662</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ECU_vVehCrsCtrl_PHY</v>
      </c>
      <c r="B137" s="9">
        <f t="array" ref="B137">COUNT(FIND("input",$D137:$CD137))</f>
        <v>0</v>
      </c>
      <c r="C137" s="9">
        <f t="array" ref="C137">COUNT(FIND("output",$D137:$CD137))</f>
        <v>1</v>
      </c>
      <c r="D137" s="9"/>
      <c r="E137" s="9"/>
      <c r="F137" s="9"/>
      <c r="G137" s="9"/>
      <c r="H137" s="9"/>
      <c r="I137" s="9"/>
      <c r="J137" s="9" t="s">
        <v>2662</v>
      </c>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DrvrMdl_prcAccrPedlPosn_PHY</v>
      </c>
      <c r="B138" s="9">
        <f t="array" ref="B138">COUNT(FIND("input",$D138:$CD138))</f>
        <v>2</v>
      </c>
      <c r="C138" s="9">
        <f t="array" ref="C138">COUNT(FIND("output",$D138:$CD138))</f>
        <v>1</v>
      </c>
      <c r="E138" t="s">
        <v>2662</v>
      </c>
      <c r="H138" t="s">
        <v>2672</v>
      </c>
      <c r="J138" t="s">
        <v>2672</v>
      </c>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DrvrMdl_prcBrkPedlPosn_PHY</v>
      </c>
      <c r="B139" s="9">
        <f t="array" ref="B139">COUNT(FIND("input",$D139:$CD139))</f>
        <v>5</v>
      </c>
      <c r="C139" s="9">
        <f t="array" ref="C139">COUNT(FIND("output",$D139:$CD139))</f>
        <v>1</v>
      </c>
      <c r="E139" t="s">
        <v>2662</v>
      </c>
      <c r="G139" t="s">
        <v>2672</v>
      </c>
      <c r="I139" t="s">
        <v>2672</v>
      </c>
      <c r="J139" t="s">
        <v>2672</v>
      </c>
      <c r="R139" t="s">
        <v>2672</v>
      </c>
      <c r="T139" t="s">
        <v>2672</v>
      </c>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DrvrMdl_swtKeyOn_PHY</v>
      </c>
      <c r="B140" s="9">
        <f t="array" ref="B140">COUNT(FIND("input",$D140:$CD140))</f>
        <v>1</v>
      </c>
      <c r="C140" s="9">
        <f t="array" ref="C140">COUNT(FIND("output",$D140:$CD140))</f>
        <v>1</v>
      </c>
      <c r="E140" t="s">
        <v>2662</v>
      </c>
      <c r="J140" t="s">
        <v>2672</v>
      </c>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DrvrMdl_swtEngBrk_PHY</v>
      </c>
      <c r="B141" s="9">
        <f t="array" ref="B141">COUNT(FIND("input",$D141:$CD141))</f>
        <v>1</v>
      </c>
      <c r="C141" s="9">
        <f t="array" ref="C141">COUNT(FIND("output",$D141:$CD141))</f>
        <v>1</v>
      </c>
      <c r="E141" t="s">
        <v>2662</v>
      </c>
      <c r="J141" t="s">
        <v>2672</v>
      </c>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DrvrMdl_swtCrsCtrl_PHY</v>
      </c>
      <c r="B142" s="9">
        <f t="array" ref="B142">COUNT(FIND("input",$D142:$CD142))</f>
        <v>1</v>
      </c>
      <c r="C142" s="9">
        <f t="array" ref="C142">COUNT(FIND("output",$D142:$CD142))</f>
        <v>1</v>
      </c>
      <c r="E142" t="s">
        <v>2662</v>
      </c>
      <c r="J142" t="s">
        <v>2672</v>
      </c>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DrvrMdl_vDesCrsCtrl_PHY</v>
      </c>
      <c r="B143" s="9">
        <f t="array" ref="B143">COUNT(FIND("input",$D143:$CD143))</f>
        <v>1</v>
      </c>
      <c r="C143" s="9">
        <f t="array" ref="C143">COUNT(FIND("output",$D143:$CD143))</f>
        <v>1</v>
      </c>
      <c r="E143" t="s">
        <v>2662</v>
      </c>
      <c r="J143" t="s">
        <v>2672</v>
      </c>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DrvrMdl_swtVehSpdLim_PHY</v>
      </c>
      <c r="B144" s="9">
        <f t="array" ref="B144">COUNT(FIND("input",$D144:$CD144))</f>
        <v>1</v>
      </c>
      <c r="C144" s="9">
        <f t="array" ref="C144">COUNT(FIND("output",$D144:$CD144))</f>
        <v>1</v>
      </c>
      <c r="E144" t="s">
        <v>2662</v>
      </c>
      <c r="J144" t="s">
        <v>2672</v>
      </c>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DrvrMdl_vVehSpdLimMax_PHY</v>
      </c>
      <c r="B145" s="9">
        <f t="array" ref="B145">COUNT(FIND("input",$D145:$CD145))</f>
        <v>1</v>
      </c>
      <c r="C145" s="9">
        <f t="array" ref="C145">COUNT(FIND("output",$D145:$CD145))</f>
        <v>1</v>
      </c>
      <c r="E145" t="s">
        <v>2662</v>
      </c>
      <c r="J145" t="s">
        <v>2672</v>
      </c>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EnvMdl_pEnv_PHY</v>
      </c>
      <c r="B146" s="9">
        <f t="array" ref="B146">COUNT(FIND("input",$D146:$CD146))</f>
        <v>2</v>
      </c>
      <c r="C146" s="9">
        <f t="array" ref="C146">COUNT(FIND("output",$D146:$CD146))</f>
        <v>1</v>
      </c>
      <c r="F146" t="s">
        <v>2662</v>
      </c>
      <c r="J146" t="s">
        <v>2672</v>
      </c>
      <c r="Q146" t="s">
        <v>2672</v>
      </c>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EnvMdl_tEnv_PHY</v>
      </c>
      <c r="B147" s="9">
        <f t="array" ref="B147">COUNT(FIND("input",$D147:$CD147))</f>
        <v>2</v>
      </c>
      <c r="C147" s="9">
        <f t="array" ref="C147">COUNT(FIND("output",$D147:$CD147))</f>
        <v>1</v>
      </c>
      <c r="F147" t="s">
        <v>2662</v>
      </c>
      <c r="J147" t="s">
        <v>2672</v>
      </c>
      <c r="Q147" t="s">
        <v>2672</v>
      </c>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EngMdl_pAirFilDs_PHY</v>
      </c>
      <c r="B148" s="9">
        <f t="array" ref="B148">COUNT(FIND("input",$D148:$CD148))</f>
        <v>1</v>
      </c>
      <c r="C148" s="9">
        <f t="array" ref="C148">COUNT(FIND("output",$D148:$CD148))</f>
        <v>1</v>
      </c>
      <c r="J148" t="s">
        <v>2672</v>
      </c>
      <c r="P148" t="s">
        <v>2662</v>
      </c>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EngMdl_pAirClrDs_PHY</v>
      </c>
      <c r="B149" s="9">
        <f t="array" ref="B149">COUNT(FIND("input",$D149:$CD149))</f>
        <v>1</v>
      </c>
      <c r="C149" s="9">
        <f t="array" ref="C149">COUNT(FIND("output",$D149:$CD149))</f>
        <v>1</v>
      </c>
      <c r="J149" t="s">
        <v>2672</v>
      </c>
      <c r="P149" t="s">
        <v>2662</v>
      </c>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EngMdl_pIntkMnfld_PHY</v>
      </c>
      <c r="B150" s="9">
        <f t="array" ref="B150">COUNT(FIND("input",$D150:$CD150))</f>
        <v>1</v>
      </c>
      <c r="C150" s="9">
        <f t="array" ref="C150">COUNT(FIND("output",$D150:$CD150))</f>
        <v>1</v>
      </c>
      <c r="J150" t="s">
        <v>2672</v>
      </c>
      <c r="P150" t="s">
        <v>2662</v>
      </c>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EngMdl_tIntkMnfld_PHY</v>
      </c>
      <c r="B151" s="9">
        <f t="array" ref="B151">COUNT(FIND("input",$D151:$CD151))</f>
        <v>1</v>
      </c>
      <c r="C151" s="9">
        <f t="array" ref="C151">COUNT(FIND("output",$D151:$CD151))</f>
        <v>1</v>
      </c>
      <c r="J151" t="s">
        <v>2672</v>
      </c>
      <c r="P151" t="s">
        <v>2662</v>
      </c>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EngMdl_tEngCoolt_PHY</v>
      </c>
      <c r="B152" s="9">
        <f t="array" ref="B152">COUNT(FIND("input",$D152:$CD152))</f>
        <v>1</v>
      </c>
      <c r="C152" s="9">
        <f t="array" ref="C152">COUNT(FIND("output",$D152:$CD152))</f>
        <v>1</v>
      </c>
      <c r="J152" t="s">
        <v>2672</v>
      </c>
      <c r="P152" t="s">
        <v>2662</v>
      </c>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EngMdl_tFu_PHY</v>
      </c>
      <c r="B153" s="9">
        <f t="array" ref="B153">COUNT(FIND("input",$D153:$CD153))</f>
        <v>1</v>
      </c>
      <c r="C153" s="9">
        <f t="array" ref="C153">COUNT(FIND("output",$D153:$CD153))</f>
        <v>1</v>
      </c>
      <c r="J153" t="s">
        <v>2672</v>
      </c>
      <c r="P153" t="s">
        <v>2662</v>
      </c>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EngMdl_tOil_PHY</v>
      </c>
      <c r="B154" s="9">
        <f t="array" ref="B154">COUNT(FIND("input",$D154:$CD154))</f>
        <v>1</v>
      </c>
      <c r="C154" s="9">
        <f t="array" ref="C154">COUNT(FIND("output",$D154:$CD154))</f>
        <v>1</v>
      </c>
      <c r="J154" t="s">
        <v>2672</v>
      </c>
      <c r="P154" t="s">
        <v>2662</v>
      </c>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LgtVehMdl_aVeh_PHY</v>
      </c>
      <c r="B155" s="9">
        <f t="array" ref="B155">COUNT(FIND("input",$D155:$CD155))</f>
        <v>2</v>
      </c>
      <c r="C155" s="9">
        <f t="array" ref="C155">COUNT(FIND("output",$D155:$CD155))</f>
        <v>1</v>
      </c>
      <c r="G155" t="s">
        <v>2662</v>
      </c>
      <c r="H155" t="s">
        <v>2672</v>
      </c>
      <c r="I155" t="s">
        <v>2672</v>
      </c>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LgtVehMdl_mVehTot_PHY</v>
      </c>
      <c r="B156" s="9">
        <f t="array" ref="B156">COUNT(FIND("input",$D156:$CD156))</f>
        <v>2</v>
      </c>
      <c r="C156" s="9">
        <f t="array" ref="C156">COUNT(FIND("output",$D156:$CD156))</f>
        <v>1</v>
      </c>
      <c r="E156" t="s">
        <v>2672</v>
      </c>
      <c r="G156" t="s">
        <v>2662</v>
      </c>
      <c r="H156" t="s">
        <v>2672</v>
      </c>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LgtVehMdl_trqVehRTot_PHY</v>
      </c>
      <c r="B157" s="9">
        <f t="array" ref="B157">COUNT(FIND("input",$D157:$CD157))</f>
        <v>1</v>
      </c>
      <c r="C157" s="9">
        <f t="array" ref="C157">COUNT(FIND("output",$D157:$CD157))</f>
        <v>1</v>
      </c>
      <c r="G157" t="s">
        <v>2662</v>
      </c>
      <c r="I157" t="s">
        <v>2672</v>
      </c>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LgtVehMdl_jWhlTot_PHY</v>
      </c>
      <c r="B158" s="9">
        <f t="array" ref="B158">COUNT(FIND("input",$D158:$CD158))</f>
        <v>1</v>
      </c>
      <c r="C158" s="9">
        <f t="array" ref="C158">COUNT(FIND("output",$D158:$CD158))</f>
        <v>1</v>
      </c>
      <c r="G158" t="s">
        <v>2662</v>
      </c>
      <c r="I158" t="s">
        <v>2672</v>
      </c>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LgtVehMdl_lWhlRd_PHY</v>
      </c>
      <c r="B159" s="9">
        <f t="array" ref="B159">COUNT(FIND("input",$D159:$CD159))</f>
        <v>1</v>
      </c>
      <c r="C159" s="9">
        <f t="array" ref="C159">COUNT(FIND("output",$D159:$CD159))</f>
        <v>1</v>
      </c>
      <c r="G159" t="s">
        <v>2662</v>
      </c>
      <c r="I159" t="s">
        <v>2672</v>
      </c>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ECUTx_swtAirCmpr_PHY</v>
      </c>
      <c r="B160" s="9">
        <f t="array" ref="B160">COUNT(FIND("input",$D160:$CD160))</f>
        <v>0</v>
      </c>
      <c r="C160" s="9">
        <f t="array" ref="C160">COUNT(FIND("output",$D160:$CD160))</f>
        <v>1</v>
      </c>
      <c r="D160" s="9"/>
      <c r="E160" s="9"/>
      <c r="F160" s="9"/>
      <c r="G160" s="9"/>
      <c r="H160" s="9"/>
      <c r="I160" s="9"/>
      <c r="J160" s="9"/>
      <c r="K160" s="9"/>
      <c r="L160" s="9"/>
      <c r="M160" s="9"/>
      <c r="N160" s="9"/>
      <c r="O160" s="9"/>
      <c r="P160" s="9"/>
      <c r="Q160" s="9"/>
      <c r="R160" s="9"/>
      <c r="S160" s="9"/>
      <c r="T160" s="9"/>
      <c r="U160" s="9"/>
      <c r="V160" s="9"/>
      <c r="W160" s="9"/>
      <c r="X160" s="9"/>
      <c r="Y160" s="9"/>
      <c r="Z160" s="9" t="s">
        <v>2662</v>
      </c>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ECUTx_pAirTank_PHY</v>
      </c>
      <c r="B161" s="9">
        <f t="array" ref="B161">COUNT(FIND("input",$D161:$CD161))</f>
        <v>0</v>
      </c>
      <c r="C161" s="9">
        <f t="array" ref="C161">COUNT(FIND("output",$D161:$CD161))</f>
        <v>1</v>
      </c>
      <c r="D161" s="9"/>
      <c r="E161" s="9"/>
      <c r="F161" s="9"/>
      <c r="G161" s="9"/>
      <c r="H161" s="9"/>
      <c r="I161" s="9"/>
      <c r="J161" s="9"/>
      <c r="K161" s="9"/>
      <c r="L161" s="9"/>
      <c r="M161" s="9"/>
      <c r="N161" s="9"/>
      <c r="O161" s="9"/>
      <c r="P161" s="9"/>
      <c r="Q161" s="9"/>
      <c r="R161" s="9"/>
      <c r="S161" s="9"/>
      <c r="T161" s="9"/>
      <c r="U161" s="9"/>
      <c r="V161" s="9"/>
      <c r="W161" s="9"/>
      <c r="X161" s="9"/>
      <c r="Y161" s="9"/>
      <c r="Z161" s="9" t="s">
        <v>2662</v>
      </c>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ECUTx_swtAirCmprOpertgMod_PHY</v>
      </c>
      <c r="B162" s="9">
        <f t="array" ref="B162">COUNT(FIND("input",$D162:$CD162))</f>
        <v>0</v>
      </c>
      <c r="C162" s="9">
        <f t="array" ref="C162">COUNT(FIND("output",$D162:$CD162))</f>
        <v>1</v>
      </c>
      <c r="D162" s="9"/>
      <c r="E162" s="9"/>
      <c r="F162" s="9"/>
      <c r="G162" s="9"/>
      <c r="H162" s="9"/>
      <c r="I162" s="9"/>
      <c r="J162" s="9"/>
      <c r="K162" s="9"/>
      <c r="L162" s="9"/>
      <c r="M162" s="9"/>
      <c r="N162" s="9"/>
      <c r="O162" s="9"/>
      <c r="P162" s="9"/>
      <c r="Q162" s="9"/>
      <c r="R162" s="9"/>
      <c r="S162" s="9"/>
      <c r="T162" s="9"/>
      <c r="U162" s="9"/>
      <c r="V162" s="9"/>
      <c r="W162" s="9"/>
      <c r="X162" s="9"/>
      <c r="Y162" s="9"/>
      <c r="Z162" s="9" t="s">
        <v>2662</v>
      </c>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EngMdl_mflExhGas_PHY</v>
      </c>
      <c r="B163" s="9">
        <f t="array" ref="B163">COUNT(FIND("input",$D163:$CD163))</f>
        <v>2</v>
      </c>
      <c r="C163" s="9">
        <f t="array" ref="C163">COUNT(FIND("output",$D163:$CD163))</f>
        <v>1</v>
      </c>
      <c r="J163" t="s">
        <v>2672</v>
      </c>
      <c r="P163" t="s">
        <v>2662</v>
      </c>
      <c r="Q163" t="s">
        <v>2672</v>
      </c>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EngMdl_mflFu_PHY</v>
      </c>
      <c r="B164" s="9">
        <f t="array" ref="B164">COUNT(FIND("input",$D164:$CD164))</f>
        <v>0</v>
      </c>
      <c r="C164" s="9">
        <f t="array" ref="C164">COUNT(FIND("output",$D164:$CD164))</f>
        <v>1</v>
      </c>
      <c r="D164" s="9"/>
      <c r="E164" s="9"/>
      <c r="F164" s="9"/>
      <c r="G164" s="9"/>
      <c r="H164" s="9"/>
      <c r="I164" s="9"/>
      <c r="J164" s="9"/>
      <c r="K164" s="9"/>
      <c r="L164" s="9"/>
      <c r="M164" s="9"/>
      <c r="N164" s="9"/>
      <c r="O164" s="9"/>
      <c r="P164" s="9" t="s">
        <v>2662</v>
      </c>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EngMdl_ratPM_PHY</v>
      </c>
      <c r="B165" s="9">
        <f t="array" ref="B165">COUNT(FIND("input",$D165:$CD165))</f>
        <v>1</v>
      </c>
      <c r="C165" s="9">
        <f t="array" ref="C165">COUNT(FIND("output",$D165:$CD165))</f>
        <v>1</v>
      </c>
      <c r="P165" t="s">
        <v>2662</v>
      </c>
      <c r="Q165" t="s">
        <v>2672</v>
      </c>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EnvMdl_rhoAir_PHY</v>
      </c>
      <c r="B166" s="9">
        <f t="array" ref="B166">COUNT(FIND("input",$D166:$CD166))</f>
        <v>1</v>
      </c>
      <c r="C166" s="9">
        <f t="array" ref="C166">COUNT(FIND("output",$D166:$CD166))</f>
        <v>1</v>
      </c>
      <c r="F166" t="s">
        <v>2662</v>
      </c>
      <c r="G166" t="s">
        <v>2672</v>
      </c>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EnvMdl_aGrvy_PHY</v>
      </c>
      <c r="B167" s="9">
        <f t="array" ref="B167">COUNT(FIND("input",$D167:$CD167))</f>
        <v>1</v>
      </c>
      <c r="C167" s="9">
        <f t="array" ref="C167">COUNT(FIND("output",$D167:$CD167))</f>
        <v>1</v>
      </c>
      <c r="F167" t="s">
        <v>2662</v>
      </c>
      <c r="G167" t="s">
        <v>2672</v>
      </c>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RefSpdGenr_vRefSpd_CLD</v>
      </c>
      <c r="B168" s="9">
        <f t="array" ref="B168">COUNT(FIND("input",$D168:$CD168))</f>
        <v>2</v>
      </c>
      <c r="C168" s="9">
        <f t="array" ref="C168">COUNT(FIND("output",$D168:$CD168))</f>
        <v>1</v>
      </c>
      <c r="D168" t="s">
        <v>2662</v>
      </c>
      <c r="E168" t="s">
        <v>2672</v>
      </c>
      <c r="G168" t="s">
        <v>2672</v>
      </c>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EngMdl_tExhMnfld_PHY</v>
      </c>
      <c r="B169" s="9">
        <f t="array" ref="B169">COUNT(FIND("input",$D169:$CD169))</f>
        <v>1</v>
      </c>
      <c r="C169" s="9">
        <f t="array" ref="C169">COUNT(FIND("output",$D169:$CD169))</f>
        <v>1</v>
      </c>
      <c r="P169" t="s">
        <v>2662</v>
      </c>
      <c r="Q169" t="s">
        <v>2672</v>
      </c>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EngMdl_tTrbDs_PHY</v>
      </c>
      <c r="B170" s="9">
        <f t="array" ref="B170">COUNT(FIND("input",$D170:$CD170))</f>
        <v>1</v>
      </c>
      <c r="C170" s="9">
        <f t="array" ref="C170">COUNT(FIND("output",$D170:$CD170))</f>
        <v>1</v>
      </c>
      <c r="P170" t="s">
        <v>2662</v>
      </c>
      <c r="Q170" t="s">
        <v>2672</v>
      </c>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row>
    <row r="172" spans="1:70" x14ac:dyDescent="0.25">
      <c r="A172" s="9" t="str">
        <f>IF(ISBLANK('Signal Definition'!J172),"",'Signal Definition'!J172)</f>
        <v/>
      </c>
      <c r="B172" s="9">
        <f t="array" ref="B172">COUNT(FIND("input",$D172:$CD172))</f>
        <v>0</v>
      </c>
      <c r="C172" s="9">
        <f t="array" ref="C172">COUNT(FIND("output",$D172:$CD172))</f>
        <v>0</v>
      </c>
    </row>
    <row r="173" spans="1:70" x14ac:dyDescent="0.25">
      <c r="A173" s="9" t="str">
        <f>IF(ISBLANK('Signal Definition'!J173),"",'Signal Definition'!J173)</f>
        <v/>
      </c>
      <c r="B173" s="9">
        <f t="array" ref="B173">COUNT(FIND("input",$D173:$CD173))</f>
        <v>0</v>
      </c>
      <c r="C173" s="9">
        <f t="array" ref="C173">COUNT(FIND("output",$D173:$CD173))</f>
        <v>0</v>
      </c>
    </row>
    <row r="174" spans="1:70" x14ac:dyDescent="0.25">
      <c r="A174" s="9" t="str">
        <f>IF(ISBLANK('Signal Definition'!J174),"",'Signal Definition'!J174)</f>
        <v/>
      </c>
      <c r="B174" s="9">
        <f t="array" ref="B174">COUNT(FIND("input",$D174:$CD174))</f>
        <v>0</v>
      </c>
      <c r="C174" s="9">
        <f t="array" ref="C174">COUNT(FIND("output",$D174:$CD174))</f>
        <v>0</v>
      </c>
    </row>
    <row r="175" spans="1:70" x14ac:dyDescent="0.25">
      <c r="A175" s="9" t="str">
        <f>IF(ISBLANK('Signal Definition'!J175),"",'Signal Definition'!J175)</f>
        <v/>
      </c>
      <c r="B175" s="9">
        <f t="array" ref="B175">COUNT(FIND("input",$D175:$CD175))</f>
        <v>0</v>
      </c>
      <c r="C175" s="9">
        <f t="array" ref="C175">COUNT(FIND("output",$D175:$CD175))</f>
        <v>0</v>
      </c>
    </row>
    <row r="176" spans="1:70" x14ac:dyDescent="0.25">
      <c r="A176" s="9" t="str">
        <f>IF(ISBLANK('Signal Definition'!J176),"",'Signal Definition'!J176)</f>
        <v/>
      </c>
      <c r="B176" s="9">
        <f t="array" ref="B176">COUNT(FIND("input",$D176:$CD176))</f>
        <v>0</v>
      </c>
      <c r="C176" s="9">
        <f t="array" ref="C176">COUNT(FIND("output",$D176:$CD176))</f>
        <v>0</v>
      </c>
    </row>
    <row r="177" spans="1:3" x14ac:dyDescent="0.25">
      <c r="A177" s="9" t="str">
        <f>IF(ISBLANK('Signal Definition'!J177),"",'Signal Definition'!J177)</f>
        <v/>
      </c>
      <c r="B177" s="9">
        <f t="array" ref="B177">COUNT(FIND("input",$D177:$CD177))</f>
        <v>0</v>
      </c>
      <c r="C177" s="9">
        <f t="array" ref="C177">COUNT(FIND("output",$D177:$CD177))</f>
        <v>0</v>
      </c>
    </row>
    <row r="178" spans="1:3" x14ac:dyDescent="0.25">
      <c r="A178" s="9" t="str">
        <f>IF(ISBLANK('Signal Definition'!J178),"",'Signal Definition'!J178)</f>
        <v/>
      </c>
      <c r="B178" s="9">
        <f t="array" ref="B178">COUNT(FIND("input",$D178:$CD178))</f>
        <v>0</v>
      </c>
      <c r="C178" s="9">
        <f t="array" ref="C178">COUNT(FIND("output",$D178:$CD178))</f>
        <v>0</v>
      </c>
    </row>
    <row r="179" spans="1:3" x14ac:dyDescent="0.25">
      <c r="A179" s="9" t="str">
        <f>IF(ISBLANK('Signal Definition'!J179),"",'Signal Definition'!J179)</f>
        <v/>
      </c>
      <c r="B179" s="9">
        <f t="array" ref="B179">COUNT(FIND("input",$D179:$CD179))</f>
        <v>0</v>
      </c>
      <c r="C179" s="9">
        <f t="array" ref="C179">COUNT(FIND("output",$D179:$CD179))</f>
        <v>0</v>
      </c>
    </row>
    <row r="180" spans="1:3" x14ac:dyDescent="0.25">
      <c r="A180" s="9" t="str">
        <f>IF(ISBLANK('Signal Definition'!J180),"",'Signal Definition'!J180)</f>
        <v/>
      </c>
      <c r="B180" s="9">
        <f t="array" ref="B180">COUNT(FIND("input",$D180:$CD180))</f>
        <v>0</v>
      </c>
      <c r="C180" s="9">
        <f t="array" ref="C180">COUNT(FIND("output",$D180:$CD180))</f>
        <v>0</v>
      </c>
    </row>
    <row r="181" spans="1:3" x14ac:dyDescent="0.25">
      <c r="A181" s="9" t="str">
        <f>IF(ISBLANK('Signal Definition'!J181),"",'Signal Definition'!J181)</f>
        <v/>
      </c>
      <c r="B181" s="9">
        <f t="array" ref="B181">COUNT(FIND("input",$D181:$CD181))</f>
        <v>0</v>
      </c>
      <c r="C181" s="9">
        <f t="array" ref="C181">COUNT(FIND("output",$D181:$CD181))</f>
        <v>0</v>
      </c>
    </row>
    <row r="182" spans="1:3" x14ac:dyDescent="0.25">
      <c r="A182" s="9" t="str">
        <f>IF(ISBLANK('Signal Definition'!J182),"",'Signal Definition'!J182)</f>
        <v/>
      </c>
      <c r="B182" s="9">
        <f t="array" ref="B182">COUNT(FIND("input",$D182:$CD182))</f>
        <v>0</v>
      </c>
      <c r="C182" s="9">
        <f t="array" ref="C182">COUNT(FIND("output",$D182:$CD182))</f>
        <v>0</v>
      </c>
    </row>
    <row r="183" spans="1:3" x14ac:dyDescent="0.25">
      <c r="A183" s="9" t="str">
        <f>IF(ISBLANK('Signal Definition'!J183),"",'Signal Definition'!J183)</f>
        <v/>
      </c>
      <c r="B183" s="9">
        <f t="array" ref="B183">COUNT(FIND("input",$D183:$CD183))</f>
        <v>0</v>
      </c>
      <c r="C183" s="9">
        <f t="array" ref="C183">COUNT(FIND("output",$D183:$CD183))</f>
        <v>0</v>
      </c>
    </row>
    <row r="184" spans="1:3" x14ac:dyDescent="0.25">
      <c r="A184" s="9" t="str">
        <f>IF(ISBLANK('Signal Definition'!J184),"",'Signal Definition'!J184)</f>
        <v/>
      </c>
      <c r="B184" s="9">
        <f t="array" ref="B184">COUNT(FIND("input",$D184:$CD184))</f>
        <v>0</v>
      </c>
      <c r="C184" s="9">
        <f t="array" ref="C184">COUNT(FIND("output",$D184:$CD184))</f>
        <v>0</v>
      </c>
    </row>
    <row r="185" spans="1:3" x14ac:dyDescent="0.25">
      <c r="A185" s="9" t="str">
        <f>IF(ISBLANK('Signal Definition'!J185),"",'Signal Definition'!J185)</f>
        <v/>
      </c>
      <c r="B185" s="9">
        <f t="array" ref="B185">COUNT(FIND("input",$D185:$CD185))</f>
        <v>0</v>
      </c>
      <c r="C185" s="9">
        <f t="array" ref="C185">COUNT(FIND("output",$D185:$CD185))</f>
        <v>0</v>
      </c>
    </row>
    <row r="186" spans="1:3" x14ac:dyDescent="0.25">
      <c r="A186" s="9" t="str">
        <f>IF(ISBLANK('Signal Definition'!J186),"",'Signal Definition'!J186)</f>
        <v/>
      </c>
      <c r="B186" s="9">
        <f t="array" ref="B186">COUNT(FIND("input",$D186:$CD186))</f>
        <v>0</v>
      </c>
      <c r="C186" s="9">
        <f t="array" ref="C186">COUNT(FIND("output",$D186:$CD186))</f>
        <v>0</v>
      </c>
    </row>
    <row r="187" spans="1:3" x14ac:dyDescent="0.25">
      <c r="A187" s="9" t="str">
        <f>IF(ISBLANK('Signal Definition'!J187),"",'Signal Definition'!J187)</f>
        <v/>
      </c>
      <c r="B187" s="9">
        <f t="array" ref="B187">COUNT(FIND("input",$D187:$CD187))</f>
        <v>0</v>
      </c>
      <c r="C187" s="9">
        <f t="array" ref="C187">COUNT(FIND("output",$D187:$CD187))</f>
        <v>0</v>
      </c>
    </row>
    <row r="188" spans="1:3" x14ac:dyDescent="0.25">
      <c r="A188" s="9" t="str">
        <f>IF(ISBLANK('Signal Definition'!J188),"",'Signal Definition'!J188)</f>
        <v/>
      </c>
      <c r="B188" s="9">
        <f t="array" ref="B188">COUNT(FIND("input",$D188:$CD188))</f>
        <v>0</v>
      </c>
      <c r="C188" s="9">
        <f t="array" ref="C188">COUNT(FIND("output",$D188:$CD188))</f>
        <v>0</v>
      </c>
    </row>
    <row r="189" spans="1:3" x14ac:dyDescent="0.25">
      <c r="A189" s="9" t="str">
        <f>IF(ISBLANK('Signal Definition'!J189),"",'Signal Definition'!J189)</f>
        <v/>
      </c>
      <c r="B189" s="9">
        <f t="array" ref="B189">COUNT(FIND("input",$D189:$CD189))</f>
        <v>0</v>
      </c>
      <c r="C189" s="9">
        <f t="array" ref="C189">COUNT(FIND("output",$D189:$CD189))</f>
        <v>0</v>
      </c>
    </row>
    <row r="190" spans="1:3" x14ac:dyDescent="0.25">
      <c r="A190" s="9" t="str">
        <f>IF(ISBLANK('Signal Definition'!J190),"",'Signal Definition'!J190)</f>
        <v/>
      </c>
      <c r="B190" s="9">
        <f t="array" ref="B190">COUNT(FIND("input",$D190:$CD190))</f>
        <v>0</v>
      </c>
      <c r="C190" s="9">
        <f t="array" ref="C190">COUNT(FIND("output",$D190:$CD190))</f>
        <v>0</v>
      </c>
    </row>
    <row r="191" spans="1:3" x14ac:dyDescent="0.25">
      <c r="A191" s="9" t="str">
        <f>IF(ISBLANK('Signal Definition'!J191),"",'Signal Definition'!J191)</f>
        <v/>
      </c>
      <c r="B191" s="9">
        <f t="array" ref="B191">COUNT(FIND("input",$D191:$CD191))</f>
        <v>0</v>
      </c>
      <c r="C191" s="9">
        <f t="array" ref="C191">COUNT(FIND("output",$D191:$CD191))</f>
        <v>0</v>
      </c>
    </row>
    <row r="192" spans="1:3" x14ac:dyDescent="0.25">
      <c r="A192" s="9" t="str">
        <f>IF(ISBLANK('Signal Definition'!J192),"",'Signal Definition'!J192)</f>
        <v/>
      </c>
      <c r="B192" s="9">
        <f t="array" ref="B192">COUNT(FIND("input",$D192:$CD192))</f>
        <v>0</v>
      </c>
      <c r="C192" s="9">
        <f t="array" ref="C192">COUNT(FIND("output",$D192:$CD192))</f>
        <v>0</v>
      </c>
    </row>
    <row r="193" spans="1:3" x14ac:dyDescent="0.25">
      <c r="A193" s="9" t="str">
        <f>IF(ISBLANK('Signal Definition'!J193),"",'Signal Definition'!J193)</f>
        <v/>
      </c>
      <c r="B193" s="9">
        <f t="array" ref="B193">COUNT(FIND("input",$D193:$CD193))</f>
        <v>0</v>
      </c>
      <c r="C193" s="9">
        <f t="array" ref="C193">COUNT(FIND("output",$D193:$CD193))</f>
        <v>0</v>
      </c>
    </row>
    <row r="194" spans="1:3" x14ac:dyDescent="0.25">
      <c r="A194" s="9" t="str">
        <f>IF(ISBLANK('Signal Definition'!J194),"",'Signal Definition'!J194)</f>
        <v/>
      </c>
      <c r="B194" s="9">
        <f t="array" ref="B194">COUNT(FIND("input",$D194:$CD194))</f>
        <v>0</v>
      </c>
      <c r="C194" s="9">
        <f t="array" ref="C194">COUNT(FIND("output",$D194:$CD194))</f>
        <v>0</v>
      </c>
    </row>
    <row r="195" spans="1:3" x14ac:dyDescent="0.25">
      <c r="A195" s="9" t="str">
        <f>IF(ISBLANK('Signal Definition'!J195),"",'Signal Definition'!J195)</f>
        <v/>
      </c>
      <c r="B195" s="9">
        <f t="array" ref="B195">COUNT(FIND("input",$D195:$CD195))</f>
        <v>0</v>
      </c>
      <c r="C195" s="9">
        <f t="array" ref="C195">COUNT(FIND("output",$D195:$CD195))</f>
        <v>0</v>
      </c>
    </row>
    <row r="196" spans="1:3" x14ac:dyDescent="0.25">
      <c r="A196" s="9" t="str">
        <f>IF(ISBLANK('Signal Definition'!J196),"",'Signal Definition'!J196)</f>
        <v/>
      </c>
      <c r="B196" s="9">
        <f t="array" ref="B196">COUNT(FIND("input",$D196:$CD196))</f>
        <v>0</v>
      </c>
      <c r="C196" s="9">
        <f t="array" ref="C196">COUNT(FIND("output",$D196:$CD196))</f>
        <v>0</v>
      </c>
    </row>
    <row r="197" spans="1:3" x14ac:dyDescent="0.25">
      <c r="A197" s="9" t="str">
        <f>IF(ISBLANK('Signal Definition'!J197),"",'Signal Definition'!J197)</f>
        <v/>
      </c>
      <c r="B197" s="9">
        <f t="array" ref="B197">COUNT(FIND("input",$D197:$CD197))</f>
        <v>0</v>
      </c>
      <c r="C197" s="9">
        <f t="array" ref="C197">COUNT(FIND("output",$D197:$CD197))</f>
        <v>0</v>
      </c>
    </row>
    <row r="198" spans="1:3" x14ac:dyDescent="0.25">
      <c r="A198" s="9" t="str">
        <f>IF(ISBLANK('Signal Definition'!J198),"",'Signal Definition'!J198)</f>
        <v/>
      </c>
      <c r="B198" s="9">
        <f t="array" ref="B198">COUNT(FIND("input",$D198:$CD198))</f>
        <v>0</v>
      </c>
      <c r="C198" s="9">
        <f t="array" ref="C198">COUNT(FIND("output",$D198:$CD198))</f>
        <v>0</v>
      </c>
    </row>
    <row r="199" spans="1:3" x14ac:dyDescent="0.25">
      <c r="A199" s="9" t="str">
        <f>IF(ISBLANK('Signal Definition'!J199),"",'Signal Definition'!J199)</f>
        <v/>
      </c>
      <c r="B199" s="9">
        <f t="array" ref="B199">COUNT(FIND("input",$D199:$CD199))</f>
        <v>0</v>
      </c>
      <c r="C199" s="9">
        <f t="array" ref="C199">COUNT(FIND("output",$D199:$CD199))</f>
        <v>0</v>
      </c>
    </row>
    <row r="200" spans="1:3" x14ac:dyDescent="0.25">
      <c r="A200" s="9" t="str">
        <f>IF(ISBLANK('Signal Definition'!J200),"",'Signal Definition'!J200)</f>
        <v/>
      </c>
      <c r="B200" s="9">
        <f t="array" ref="B200">COUNT(FIND("input",$D200:$CD200))</f>
        <v>0</v>
      </c>
      <c r="C200" s="9">
        <f t="array" ref="C200">COUNT(FIND("output",$D200:$CD200))</f>
        <v>0</v>
      </c>
    </row>
    <row r="201" spans="1:3" x14ac:dyDescent="0.25">
      <c r="A201" s="9" t="str">
        <f>IF(ISBLANK('Signal Definition'!J201),"",'Signal Definition'!J201)</f>
        <v/>
      </c>
      <c r="B201" s="9">
        <f t="array" ref="B201">COUNT(FIND("input",$D201:$CD201))</f>
        <v>0</v>
      </c>
      <c r="C201" s="9">
        <f t="array" ref="C201">COUNT(FIND("output",$D201:$CD201))</f>
        <v>0</v>
      </c>
    </row>
    <row r="202" spans="1:3" x14ac:dyDescent="0.25">
      <c r="A202" s="9" t="str">
        <f>IF(ISBLANK('Signal Definition'!J202),"",'Signal Definition'!J202)</f>
        <v/>
      </c>
      <c r="B202" s="9">
        <f t="array" ref="B202">COUNT(FIND("input",$D202:$CD202))</f>
        <v>0</v>
      </c>
      <c r="C202" s="9">
        <f t="array" ref="C202">COUNT(FIND("output",$D202:$CD202))</f>
        <v>0</v>
      </c>
    </row>
    <row r="203" spans="1:3" x14ac:dyDescent="0.25">
      <c r="A203" s="9" t="str">
        <f>IF(ISBLANK('Signal Definition'!J203),"",'Signal Definition'!J203)</f>
        <v/>
      </c>
      <c r="B203" s="9">
        <f t="array" ref="B203">COUNT(FIND("input",$D203:$CD203))</f>
        <v>0</v>
      </c>
      <c r="C203" s="9">
        <f t="array" ref="C203">COUNT(FIND("output",$D203:$CD203))</f>
        <v>0</v>
      </c>
    </row>
    <row r="204" spans="1:3" x14ac:dyDescent="0.25">
      <c r="A204" s="9" t="str">
        <f>IF(ISBLANK('Signal Definition'!J204),"",'Signal Definition'!J204)</f>
        <v/>
      </c>
      <c r="B204" s="9">
        <f t="array" ref="B204">COUNT(FIND("input",$D204:$CD204))</f>
        <v>0</v>
      </c>
      <c r="C204" s="9">
        <f t="array" ref="C204">COUNT(FIND("output",$D204:$CD204))</f>
        <v>0</v>
      </c>
    </row>
    <row r="205" spans="1:3" x14ac:dyDescent="0.25">
      <c r="A205" s="9" t="str">
        <f>IF(ISBLANK('Signal Definition'!J205),"",'Signal Definition'!J205)</f>
        <v/>
      </c>
      <c r="B205" s="9">
        <f t="array" ref="B205">COUNT(FIND("input",$D205:$CD205))</f>
        <v>0</v>
      </c>
      <c r="C205" s="9">
        <f t="array" ref="C205">COUNT(FIND("output",$D205:$CD205))</f>
        <v>0</v>
      </c>
    </row>
    <row r="206" spans="1:3" x14ac:dyDescent="0.25">
      <c r="A206" s="9" t="str">
        <f>IF(ISBLANK('Signal Definition'!J206),"",'Signal Definition'!J206)</f>
        <v/>
      </c>
      <c r="B206" s="9">
        <f t="array" ref="B206">COUNT(FIND("input",$D206:$CD206))</f>
        <v>0</v>
      </c>
      <c r="C206" s="9">
        <f t="array" ref="C206">COUNT(FIND("output",$D206:$CD206))</f>
        <v>0</v>
      </c>
    </row>
    <row r="207" spans="1:3" x14ac:dyDescent="0.25">
      <c r="A207" s="9" t="str">
        <f>IF(ISBLANK('Signal Definition'!J207),"",'Signal Definition'!J207)</f>
        <v/>
      </c>
      <c r="B207" s="9">
        <f t="array" ref="B207">COUNT(FIND("input",$D207:$CD207))</f>
        <v>0</v>
      </c>
      <c r="C207" s="9">
        <f t="array" ref="C207">COUNT(FIND("output",$D207:$CD207))</f>
        <v>0</v>
      </c>
    </row>
    <row r="208" spans="1:3" x14ac:dyDescent="0.25">
      <c r="A208" s="9" t="str">
        <f>IF(ISBLANK('Signal Definition'!J208),"",'Signal Definition'!J208)</f>
        <v/>
      </c>
      <c r="B208" s="9">
        <f t="array" ref="B208">COUNT(FIND("input",$D208:$CD208))</f>
        <v>0</v>
      </c>
      <c r="C208" s="9">
        <f t="array" ref="C208">COUNT(FIND("output",$D208:$CD208))</f>
        <v>0</v>
      </c>
    </row>
    <row r="209" spans="1:3" x14ac:dyDescent="0.25">
      <c r="A209" s="9" t="str">
        <f>IF(ISBLANK('Signal Definition'!J209),"",'Signal Definition'!J209)</f>
        <v/>
      </c>
      <c r="B209" s="9">
        <f t="array" ref="B209">COUNT(FIND("input",$D209:$CD209))</f>
        <v>0</v>
      </c>
      <c r="C209" s="9">
        <f t="array" ref="C209">COUNT(FIND("output",$D209:$CD209))</f>
        <v>0</v>
      </c>
    </row>
    <row r="210" spans="1:3" x14ac:dyDescent="0.25">
      <c r="A210" s="9" t="str">
        <f>IF(ISBLANK('Signal Definition'!J210),"",'Signal Definition'!J210)</f>
        <v/>
      </c>
      <c r="B210" s="9">
        <f t="array" ref="B210">COUNT(FIND("input",$D210:$CD210))</f>
        <v>0</v>
      </c>
      <c r="C210" s="9">
        <f t="array" ref="C210">COUNT(FIND("output",$D210:$CD210))</f>
        <v>0</v>
      </c>
    </row>
    <row r="211" spans="1:3" x14ac:dyDescent="0.25">
      <c r="A211" s="9" t="str">
        <f>IF(ISBLANK('Signal Definition'!J211),"",'Signal Definition'!J211)</f>
        <v/>
      </c>
      <c r="B211" s="9">
        <f t="array" ref="B211">COUNT(FIND("input",$D211:$CD211))</f>
        <v>0</v>
      </c>
      <c r="C211" s="9">
        <f t="array" ref="C211">COUNT(FIND("output",$D211:$CD211))</f>
        <v>0</v>
      </c>
    </row>
    <row r="212" spans="1:3" x14ac:dyDescent="0.25">
      <c r="A212" s="9" t="str">
        <f>IF(ISBLANK('Signal Definition'!J212),"",'Signal Definition'!J212)</f>
        <v/>
      </c>
      <c r="B212" s="9">
        <f t="array" ref="B212">COUNT(FIND("input",$D212:$CD212))</f>
        <v>0</v>
      </c>
      <c r="C212" s="9">
        <f t="array" ref="C212">COUNT(FIND("output",$D212:$CD212))</f>
        <v>0</v>
      </c>
    </row>
    <row r="213" spans="1:3" x14ac:dyDescent="0.25">
      <c r="A213" s="9" t="str">
        <f>IF(ISBLANK('Signal Definition'!J213),"",'Signal Definition'!J213)</f>
        <v/>
      </c>
      <c r="B213" s="9">
        <f t="array" ref="B213">COUNT(FIND("input",$D213:$CD213))</f>
        <v>0</v>
      </c>
      <c r="C213" s="9">
        <f t="array" ref="C213">COUNT(FIND("output",$D213:$CD213))</f>
        <v>0</v>
      </c>
    </row>
    <row r="214" spans="1:3" x14ac:dyDescent="0.25">
      <c r="A214" s="9" t="str">
        <f>IF(ISBLANK('Signal Definition'!J214),"",'Signal Definition'!J214)</f>
        <v/>
      </c>
      <c r="B214" s="9">
        <f t="array" ref="B214">COUNT(FIND("input",$D214:$CD214))</f>
        <v>0</v>
      </c>
      <c r="C214" s="9">
        <f t="array" ref="C214">COUNT(FIND("output",$D214:$CD214))</f>
        <v>0</v>
      </c>
    </row>
    <row r="215" spans="1:3" x14ac:dyDescent="0.25">
      <c r="A215" s="9" t="str">
        <f>IF(ISBLANK('Signal Definition'!J215),"",'Signal Definition'!J215)</f>
        <v/>
      </c>
      <c r="B215" s="9">
        <f t="array" ref="B215">COUNT(FIND("input",$D215:$CD215))</f>
        <v>0</v>
      </c>
      <c r="C215" s="9">
        <f t="array" ref="C215">COUNT(FIND("output",$D215:$CD215))</f>
        <v>0</v>
      </c>
    </row>
    <row r="216" spans="1:3" x14ac:dyDescent="0.25">
      <c r="A216" s="9" t="str">
        <f>IF(ISBLANK('Signal Definition'!J216),"",'Signal Definition'!J216)</f>
        <v/>
      </c>
      <c r="B216" s="9">
        <f t="array" ref="B216">COUNT(FIND("input",$D216:$CD216))</f>
        <v>0</v>
      </c>
      <c r="C216" s="9">
        <f t="array" ref="C216">COUNT(FIND("output",$D216:$CD216))</f>
        <v>0</v>
      </c>
    </row>
    <row r="217" spans="1:3" x14ac:dyDescent="0.25">
      <c r="A217" s="9" t="str">
        <f>IF(ISBLANK('Signal Definition'!J217),"",'Signal Definition'!J217)</f>
        <v/>
      </c>
      <c r="B217" s="9">
        <f t="array" ref="B217">COUNT(FIND("input",$D217:$CD217))</f>
        <v>0</v>
      </c>
      <c r="C217" s="9">
        <f t="array" ref="C217">COUNT(FIND("output",$D217:$CD217))</f>
        <v>0</v>
      </c>
    </row>
    <row r="218" spans="1:3" x14ac:dyDescent="0.25">
      <c r="A218" s="9" t="str">
        <f>IF(ISBLANK('Signal Definition'!J218),"",'Signal Definition'!J218)</f>
        <v/>
      </c>
      <c r="B218" s="9">
        <f t="array" ref="B218">COUNT(FIND("input",$D218:$CD218))</f>
        <v>0</v>
      </c>
      <c r="C218" s="9">
        <f t="array" ref="C218">COUNT(FIND("output",$D218:$CD218))</f>
        <v>0</v>
      </c>
    </row>
    <row r="219" spans="1:3" x14ac:dyDescent="0.25">
      <c r="A219" s="9" t="str">
        <f>IF(ISBLANK('Signal Definition'!J219),"",'Signal Definition'!J219)</f>
        <v/>
      </c>
      <c r="B219" s="9">
        <f t="array" ref="B219">COUNT(FIND("input",$D219:$CD219))</f>
        <v>0</v>
      </c>
      <c r="C219" s="9">
        <f t="array" ref="C219">COUNT(FIND("output",$D219:$CD219))</f>
        <v>0</v>
      </c>
    </row>
    <row r="220" spans="1:3" x14ac:dyDescent="0.25">
      <c r="A220" s="9" t="str">
        <f>IF(ISBLANK('Signal Definition'!J220),"",'Signal Definition'!J220)</f>
        <v/>
      </c>
      <c r="B220" s="9">
        <f t="array" ref="B220">COUNT(FIND("input",$D220:$CD220))</f>
        <v>0</v>
      </c>
      <c r="C220" s="9">
        <f t="array" ref="C220">COUNT(FIND("output",$D220:$CD220))</f>
        <v>0</v>
      </c>
    </row>
    <row r="221" spans="1:3" x14ac:dyDescent="0.25">
      <c r="A221" s="9" t="str">
        <f>IF(ISBLANK('Signal Definition'!J221),"",'Signal Definition'!J221)</f>
        <v/>
      </c>
      <c r="B221" s="9">
        <f t="array" ref="B221">COUNT(FIND("input",$D221:$CD221))</f>
        <v>0</v>
      </c>
      <c r="C221" s="9">
        <f t="array" ref="C221">COUNT(FIND("output",$D221:$CD221))</f>
        <v>0</v>
      </c>
    </row>
    <row r="222" spans="1:3" x14ac:dyDescent="0.25">
      <c r="A222" s="9" t="str">
        <f>IF(ISBLANK('Signal Definition'!J222),"",'Signal Definition'!J222)</f>
        <v/>
      </c>
      <c r="B222" s="9">
        <f t="array" ref="B222">COUNT(FIND("input",$D222:$CD222))</f>
        <v>0</v>
      </c>
      <c r="C222" s="9">
        <f t="array" ref="C222">COUNT(FIND("output",$D222:$CD222))</f>
        <v>0</v>
      </c>
    </row>
    <row r="223" spans="1:3" x14ac:dyDescent="0.25">
      <c r="A223" s="9" t="str">
        <f>IF(ISBLANK('Signal Definition'!J223),"",'Signal Definition'!J223)</f>
        <v/>
      </c>
      <c r="B223" s="9">
        <f t="array" ref="B223">COUNT(FIND("input",$D223:$CD223))</f>
        <v>0</v>
      </c>
      <c r="C223" s="9">
        <f t="array" ref="C223">COUNT(FIND("output",$D223:$CD223))</f>
        <v>0</v>
      </c>
    </row>
    <row r="224" spans="1:3"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sheetData>
  <sheetProtection password="D3ED" sheet="1" objects="1" scenarios="1" autoFilter="0"/>
  <autoFilter ref="A2:BP1095"/>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1">
              <controlPr defaultSize="0" print="0" autoFill="0" autoPict="0" macro="[0]!Call_Signal_Form" altText="Add Signal">
                <anchor moveWithCells="1">
                  <from>
                    <xdr:col>0</xdr:col>
                    <xdr:colOff>66675</xdr:colOff>
                    <xdr:row>0</xdr:row>
                    <xdr:rowOff>66675</xdr:rowOff>
                  </from>
                  <to>
                    <xdr:col>0</xdr:col>
                    <xdr:colOff>942975</xdr:colOff>
                    <xdr:row>1</xdr:row>
                    <xdr:rowOff>257175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3"/>
  <sheetViews>
    <sheetView zoomScale="80" zoomScaleNormal="80" workbookViewId="0">
      <selection activeCell="C20" sqref="C20"/>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2613</v>
      </c>
      <c r="C1" s="88"/>
      <c r="D1" s="88"/>
      <c r="E1" s="88"/>
      <c r="F1" s="88"/>
      <c r="G1" s="88"/>
      <c r="H1" s="88"/>
      <c r="I1" s="88"/>
      <c r="J1" s="89" t="s">
        <v>2612</v>
      </c>
      <c r="K1" s="89"/>
      <c r="L1" s="89"/>
      <c r="M1" s="89"/>
      <c r="N1" s="89"/>
      <c r="O1" s="89"/>
      <c r="P1" s="89"/>
    </row>
    <row r="2" spans="1:16" x14ac:dyDescent="0.25">
      <c r="A2" s="11" t="s">
        <v>1</v>
      </c>
      <c r="B2" s="12" t="s">
        <v>31</v>
      </c>
      <c r="C2" s="11" t="s">
        <v>32</v>
      </c>
      <c r="D2" s="14" t="s">
        <v>549</v>
      </c>
      <c r="E2" s="11" t="s">
        <v>2599</v>
      </c>
      <c r="F2" s="11" t="s">
        <v>3</v>
      </c>
      <c r="G2" s="13" t="s">
        <v>4</v>
      </c>
      <c r="H2" s="14" t="s">
        <v>132</v>
      </c>
      <c r="I2" s="68" t="s">
        <v>2609</v>
      </c>
      <c r="J2" s="11" t="s">
        <v>7</v>
      </c>
      <c r="K2" s="14" t="s">
        <v>772</v>
      </c>
      <c r="L2" s="11" t="s">
        <v>8</v>
      </c>
      <c r="M2" s="11" t="s">
        <v>9</v>
      </c>
      <c r="N2" s="11" t="s">
        <v>1952</v>
      </c>
      <c r="O2" s="11" t="s">
        <v>10</v>
      </c>
      <c r="P2" s="57" t="s">
        <v>2457</v>
      </c>
    </row>
    <row r="3" spans="1:16" x14ac:dyDescent="0.25">
      <c r="A3" t="s">
        <v>2929</v>
      </c>
      <c r="B3" t="s">
        <v>2930</v>
      </c>
      <c r="C3" t="s">
        <v>2931</v>
      </c>
      <c r="D3" t="s">
        <v>2791</v>
      </c>
      <c r="E3" t="s">
        <v>2792</v>
      </c>
      <c r="F3" t="s">
        <v>2932</v>
      </c>
      <c r="G3" t="s">
        <v>2602</v>
      </c>
      <c r="H3" t="s">
        <v>2568</v>
      </c>
      <c r="I3" s="16" t="s">
        <v>2933</v>
      </c>
      <c r="J3" t="s">
        <v>14</v>
      </c>
      <c r="K3">
        <v>0</v>
      </c>
      <c r="L3">
        <v>0</v>
      </c>
      <c r="M3">
        <v>1</v>
      </c>
      <c r="N3">
        <v>2.0000000000000001E-10</v>
      </c>
      <c r="O3">
        <v>4294967296</v>
      </c>
      <c r="P3" s="55">
        <v>1E-3</v>
      </c>
    </row>
    <row r="4" spans="1:16" x14ac:dyDescent="0.25">
      <c r="A4" t="s">
        <v>2929</v>
      </c>
      <c r="B4" t="s">
        <v>2930</v>
      </c>
      <c r="C4" t="s">
        <v>2931</v>
      </c>
      <c r="D4" t="s">
        <v>2665</v>
      </c>
      <c r="E4" t="s">
        <v>2665</v>
      </c>
      <c r="F4" t="s">
        <v>2932</v>
      </c>
      <c r="G4" t="s">
        <v>2602</v>
      </c>
      <c r="H4" t="s">
        <v>2568</v>
      </c>
      <c r="I4" s="16" t="s">
        <v>2934</v>
      </c>
      <c r="J4" t="s">
        <v>14</v>
      </c>
      <c r="K4">
        <v>0</v>
      </c>
      <c r="L4">
        <v>0</v>
      </c>
      <c r="M4">
        <v>1</v>
      </c>
      <c r="N4">
        <v>2.0000000000000001E-10</v>
      </c>
      <c r="O4">
        <v>4294967296</v>
      </c>
      <c r="P4" s="56">
        <v>0.01</v>
      </c>
    </row>
    <row r="5" spans="1:16" x14ac:dyDescent="0.25">
      <c r="A5" t="s">
        <v>2929</v>
      </c>
      <c r="B5" t="s">
        <v>2930</v>
      </c>
      <c r="C5" t="s">
        <v>2931</v>
      </c>
      <c r="D5" t="s">
        <v>2799</v>
      </c>
      <c r="E5" t="s">
        <v>2799</v>
      </c>
      <c r="F5" t="s">
        <v>2932</v>
      </c>
      <c r="G5" t="s">
        <v>2602</v>
      </c>
      <c r="H5" t="s">
        <v>2568</v>
      </c>
      <c r="I5" s="16" t="s">
        <v>2935</v>
      </c>
      <c r="J5" t="s">
        <v>14</v>
      </c>
      <c r="K5">
        <v>0</v>
      </c>
      <c r="L5">
        <v>0</v>
      </c>
      <c r="M5">
        <v>1</v>
      </c>
      <c r="N5">
        <v>2.0000000000000001E-10</v>
      </c>
      <c r="O5">
        <v>4294967296</v>
      </c>
      <c r="P5" s="55">
        <v>1E-3</v>
      </c>
    </row>
    <row r="6" spans="1:16" x14ac:dyDescent="0.25">
      <c r="A6" t="s">
        <v>2929</v>
      </c>
      <c r="B6" t="s">
        <v>2930</v>
      </c>
      <c r="C6" t="s">
        <v>2931</v>
      </c>
      <c r="D6" t="s">
        <v>2676</v>
      </c>
      <c r="E6" t="s">
        <v>2676</v>
      </c>
      <c r="F6" t="s">
        <v>2932</v>
      </c>
      <c r="G6" t="s">
        <v>2602</v>
      </c>
      <c r="H6" t="s">
        <v>2568</v>
      </c>
      <c r="I6" s="16" t="s">
        <v>2936</v>
      </c>
      <c r="J6" t="s">
        <v>14</v>
      </c>
      <c r="K6">
        <v>0</v>
      </c>
      <c r="L6">
        <v>0</v>
      </c>
      <c r="M6">
        <v>1</v>
      </c>
      <c r="N6">
        <v>2.0000000000000001E-10</v>
      </c>
      <c r="O6">
        <v>4294967296</v>
      </c>
      <c r="P6" s="55">
        <v>1E-3</v>
      </c>
    </row>
    <row r="7" spans="1:16" x14ac:dyDescent="0.25">
      <c r="A7" t="s">
        <v>2929</v>
      </c>
      <c r="B7" t="s">
        <v>2930</v>
      </c>
      <c r="C7" t="s">
        <v>2931</v>
      </c>
      <c r="D7" t="s">
        <v>2685</v>
      </c>
      <c r="E7" t="s">
        <v>2686</v>
      </c>
      <c r="F7" t="s">
        <v>2932</v>
      </c>
      <c r="G7" t="s">
        <v>2602</v>
      </c>
      <c r="H7" t="s">
        <v>2568</v>
      </c>
      <c r="I7" s="16" t="s">
        <v>2937</v>
      </c>
      <c r="J7" t="s">
        <v>14</v>
      </c>
      <c r="K7">
        <v>0</v>
      </c>
      <c r="L7">
        <v>0</v>
      </c>
      <c r="M7">
        <v>1</v>
      </c>
      <c r="N7">
        <v>2.0000000000000001E-10</v>
      </c>
      <c r="O7">
        <v>4294967296</v>
      </c>
      <c r="P7" s="55">
        <v>0.01</v>
      </c>
    </row>
    <row r="8" spans="1:16" x14ac:dyDescent="0.25">
      <c r="A8" t="s">
        <v>2929</v>
      </c>
      <c r="B8" t="s">
        <v>2930</v>
      </c>
      <c r="C8" t="s">
        <v>2931</v>
      </c>
      <c r="D8" t="s">
        <v>2657</v>
      </c>
      <c r="E8" t="s">
        <v>2657</v>
      </c>
      <c r="F8" t="s">
        <v>2932</v>
      </c>
      <c r="G8" t="s">
        <v>2602</v>
      </c>
      <c r="H8" t="s">
        <v>2568</v>
      </c>
      <c r="I8" s="16" t="s">
        <v>2938</v>
      </c>
      <c r="J8" t="s">
        <v>14</v>
      </c>
      <c r="K8">
        <v>0</v>
      </c>
      <c r="L8">
        <v>0</v>
      </c>
      <c r="M8">
        <v>1</v>
      </c>
      <c r="N8">
        <v>2.0000000000000001E-10</v>
      </c>
      <c r="O8">
        <v>4294967296</v>
      </c>
      <c r="P8" s="55">
        <v>1E-3</v>
      </c>
    </row>
    <row r="9" spans="1:16" x14ac:dyDescent="0.25">
      <c r="A9" t="s">
        <v>2930</v>
      </c>
      <c r="B9" t="s">
        <v>2930</v>
      </c>
      <c r="C9" t="s">
        <v>2931</v>
      </c>
      <c r="D9" t="s">
        <v>2703</v>
      </c>
      <c r="E9" t="s">
        <v>2704</v>
      </c>
      <c r="F9" t="s">
        <v>2932</v>
      </c>
      <c r="G9" t="s">
        <v>2602</v>
      </c>
      <c r="H9" t="s">
        <v>2568</v>
      </c>
      <c r="I9" s="16" t="s">
        <v>2939</v>
      </c>
      <c r="J9" t="s">
        <v>14</v>
      </c>
      <c r="K9">
        <v>0</v>
      </c>
      <c r="L9">
        <v>0</v>
      </c>
      <c r="M9">
        <v>1</v>
      </c>
      <c r="N9">
        <v>2.0000000000000001E-10</v>
      </c>
      <c r="O9">
        <v>4294967296</v>
      </c>
      <c r="P9" s="55">
        <v>0.01</v>
      </c>
    </row>
    <row r="10" spans="1:16" x14ac:dyDescent="0.25">
      <c r="A10" t="s">
        <v>2930</v>
      </c>
      <c r="B10" t="s">
        <v>2930</v>
      </c>
      <c r="C10" t="s">
        <v>2931</v>
      </c>
      <c r="D10" t="s">
        <v>2723</v>
      </c>
      <c r="E10" t="s">
        <v>2724</v>
      </c>
      <c r="F10" t="s">
        <v>2932</v>
      </c>
      <c r="G10" t="s">
        <v>2602</v>
      </c>
      <c r="H10" t="s">
        <v>2568</v>
      </c>
      <c r="I10" s="16" t="s">
        <v>2940</v>
      </c>
      <c r="J10" t="s">
        <v>14</v>
      </c>
      <c r="K10">
        <v>0</v>
      </c>
      <c r="L10">
        <v>0</v>
      </c>
      <c r="M10">
        <v>1</v>
      </c>
      <c r="N10">
        <v>2.0000000000000001E-10</v>
      </c>
      <c r="O10">
        <v>4294967296</v>
      </c>
      <c r="P10" s="55">
        <v>0.02</v>
      </c>
    </row>
    <row r="11" spans="1:16" x14ac:dyDescent="0.25">
      <c r="A11" t="s">
        <v>2930</v>
      </c>
      <c r="B11" t="s">
        <v>2930</v>
      </c>
      <c r="C11" t="s">
        <v>2931</v>
      </c>
      <c r="D11" t="s">
        <v>2713</v>
      </c>
      <c r="E11" t="s">
        <v>2713</v>
      </c>
      <c r="F11" t="s">
        <v>2932</v>
      </c>
      <c r="G11" t="s">
        <v>2602</v>
      </c>
      <c r="H11" t="s">
        <v>2568</v>
      </c>
      <c r="I11" s="16" t="s">
        <v>2941</v>
      </c>
      <c r="J11" t="s">
        <v>14</v>
      </c>
      <c r="K11">
        <v>0</v>
      </c>
      <c r="L11">
        <v>0</v>
      </c>
      <c r="M11">
        <v>1</v>
      </c>
      <c r="N11">
        <v>2.0000000000000001E-10</v>
      </c>
      <c r="O11">
        <v>4294967296</v>
      </c>
      <c r="P11" s="55">
        <v>0.01</v>
      </c>
    </row>
    <row r="12" spans="1:16" x14ac:dyDescent="0.25">
      <c r="A12" t="s">
        <v>2930</v>
      </c>
      <c r="B12" t="s">
        <v>2930</v>
      </c>
      <c r="C12" t="s">
        <v>2931</v>
      </c>
      <c r="D12" t="s">
        <v>2801</v>
      </c>
      <c r="E12" t="s">
        <v>2802</v>
      </c>
      <c r="F12" t="s">
        <v>2932</v>
      </c>
      <c r="G12" t="s">
        <v>2602</v>
      </c>
      <c r="H12" t="s">
        <v>2568</v>
      </c>
      <c r="I12" s="16" t="s">
        <v>2942</v>
      </c>
      <c r="J12" t="s">
        <v>14</v>
      </c>
      <c r="K12">
        <v>0</v>
      </c>
      <c r="L12">
        <v>0</v>
      </c>
      <c r="M12">
        <v>1</v>
      </c>
      <c r="N12">
        <v>2.0000000000000001E-10</v>
      </c>
      <c r="O12">
        <v>4294967296</v>
      </c>
      <c r="P12" s="55">
        <v>1E-3</v>
      </c>
    </row>
    <row r="13" spans="1:16" x14ac:dyDescent="0.25">
      <c r="A13" t="s">
        <v>2930</v>
      </c>
      <c r="B13" t="s">
        <v>2930</v>
      </c>
      <c r="C13" t="s">
        <v>2931</v>
      </c>
      <c r="D13" t="s">
        <v>2870</v>
      </c>
      <c r="E13" t="s">
        <v>2872</v>
      </c>
      <c r="F13" t="s">
        <v>2932</v>
      </c>
      <c r="G13" t="s">
        <v>2602</v>
      </c>
      <c r="H13" t="s">
        <v>2568</v>
      </c>
      <c r="I13" s="69" t="s">
        <v>2943</v>
      </c>
      <c r="J13" t="s">
        <v>14</v>
      </c>
      <c r="K13">
        <v>0</v>
      </c>
      <c r="L13">
        <v>0</v>
      </c>
      <c r="M13">
        <v>1</v>
      </c>
      <c r="N13">
        <v>2.0000000000000001E-10</v>
      </c>
      <c r="O13">
        <v>4294967296</v>
      </c>
      <c r="P13" s="55">
        <v>1E-3</v>
      </c>
    </row>
  </sheetData>
  <sheetProtection password="D3ED"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3">
              <controlPr defaultSize="0" print="0" autoFill="0" autoPict="0" macro="[0]!Call_Signal_Form" altText="Add Signal">
                <anchor moveWithCells="1">
                  <from>
                    <xdr:col>0</xdr:col>
                    <xdr:colOff>47625</xdr:colOff>
                    <xdr:row>0</xdr:row>
                    <xdr:rowOff>38100</xdr:rowOff>
                  </from>
                  <to>
                    <xdr:col>0</xdr:col>
                    <xdr:colOff>714375</xdr:colOff>
                    <xdr:row>0</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election activeCell="B14" sqref="B14"/>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2902</v>
      </c>
      <c r="B10" s="1" t="s">
        <v>2645</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6"/>
  <sheetViews>
    <sheetView topLeftCell="A1243" zoomScale="85" zoomScaleNormal="85" zoomScalePageLayoutView="85" workbookViewId="0">
      <selection activeCell="D2" sqref="D2:E24"/>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2610</v>
      </c>
      <c r="I1" s="45" t="s">
        <v>3</v>
      </c>
      <c r="J1" s="46" t="s">
        <v>39</v>
      </c>
      <c r="K1" s="44" t="s">
        <v>132</v>
      </c>
      <c r="L1" s="64" t="s">
        <v>1</v>
      </c>
      <c r="M1" s="63" t="s">
        <v>549</v>
      </c>
      <c r="N1" s="60" t="s">
        <v>128</v>
      </c>
      <c r="O1" s="40"/>
      <c r="P1" s="40"/>
    </row>
    <row r="2" spans="1:16" x14ac:dyDescent="0.25">
      <c r="A2" s="21" t="s">
        <v>137</v>
      </c>
      <c r="B2" s="21" t="s">
        <v>137</v>
      </c>
      <c r="C2" s="36"/>
      <c r="D2" s="19" t="s">
        <v>2657</v>
      </c>
      <c r="E2" s="20" t="s">
        <v>2663</v>
      </c>
      <c r="F2" s="19" t="s">
        <v>34</v>
      </c>
      <c r="G2" s="41" t="s">
        <v>2648</v>
      </c>
      <c r="H2" s="34" t="s">
        <v>147</v>
      </c>
      <c r="I2" s="30" t="s">
        <v>40</v>
      </c>
      <c r="J2" s="32" t="s">
        <v>2603</v>
      </c>
      <c r="K2" s="42" t="s">
        <v>2568</v>
      </c>
      <c r="L2" s="65" t="s">
        <v>129</v>
      </c>
      <c r="M2" s="58" t="s">
        <v>2657</v>
      </c>
      <c r="N2" s="61" t="s">
        <v>2663</v>
      </c>
    </row>
    <row r="3" spans="1:16" x14ac:dyDescent="0.25">
      <c r="A3" s="21" t="s">
        <v>138</v>
      </c>
      <c r="B3" s="21" t="s">
        <v>138</v>
      </c>
      <c r="C3" s="36" t="s">
        <v>139</v>
      </c>
      <c r="D3" s="19" t="s">
        <v>2665</v>
      </c>
      <c r="E3" s="20" t="s">
        <v>2666</v>
      </c>
      <c r="F3" s="19" t="s">
        <v>35</v>
      </c>
      <c r="G3" s="70" t="s">
        <v>2650</v>
      </c>
      <c r="H3" s="34" t="s">
        <v>75</v>
      </c>
      <c r="I3" s="30" t="s">
        <v>74</v>
      </c>
      <c r="J3" s="32" t="s">
        <v>76</v>
      </c>
      <c r="K3" s="42" t="s">
        <v>2569</v>
      </c>
      <c r="L3" s="65" t="s">
        <v>130</v>
      </c>
      <c r="M3" s="58" t="s">
        <v>2665</v>
      </c>
      <c r="N3" s="61" t="s">
        <v>2666</v>
      </c>
    </row>
    <row r="4" spans="1:16" x14ac:dyDescent="0.25">
      <c r="A4" s="21" t="s">
        <v>140</v>
      </c>
      <c r="B4" s="21" t="s">
        <v>141</v>
      </c>
      <c r="C4" s="36" t="s">
        <v>142</v>
      </c>
      <c r="D4" s="19" t="s">
        <v>2676</v>
      </c>
      <c r="E4" s="20" t="s">
        <v>2771</v>
      </c>
      <c r="F4" s="19" t="s">
        <v>36</v>
      </c>
      <c r="G4" s="41" t="s">
        <v>36</v>
      </c>
      <c r="H4" s="34" t="s">
        <v>2575</v>
      </c>
      <c r="I4" s="30" t="s">
        <v>2576</v>
      </c>
      <c r="J4" s="32" t="s">
        <v>2601</v>
      </c>
      <c r="K4" s="42" t="s">
        <v>2638</v>
      </c>
      <c r="L4" s="65" t="s">
        <v>2641</v>
      </c>
      <c r="M4" s="58" t="s">
        <v>2676</v>
      </c>
      <c r="N4" s="61" t="s">
        <v>2771</v>
      </c>
    </row>
    <row r="5" spans="1:16" x14ac:dyDescent="0.25">
      <c r="A5" s="21" t="s">
        <v>143</v>
      </c>
      <c r="B5" s="21" t="s">
        <v>143</v>
      </c>
      <c r="C5" s="36" t="s">
        <v>144</v>
      </c>
      <c r="D5" s="19" t="s">
        <v>2686</v>
      </c>
      <c r="E5" s="20" t="s">
        <v>2772</v>
      </c>
      <c r="F5" s="19" t="s">
        <v>37</v>
      </c>
      <c r="G5" s="41" t="s">
        <v>2649</v>
      </c>
      <c r="H5" s="34" t="s">
        <v>42</v>
      </c>
      <c r="I5" s="30" t="s">
        <v>41</v>
      </c>
      <c r="J5" s="32" t="s">
        <v>43</v>
      </c>
      <c r="K5" s="42" t="s">
        <v>2639</v>
      </c>
      <c r="L5" s="65" t="s">
        <v>2642</v>
      </c>
      <c r="M5" s="58" t="s">
        <v>2685</v>
      </c>
      <c r="N5" s="61" t="s">
        <v>2773</v>
      </c>
    </row>
    <row r="6" spans="1:16" x14ac:dyDescent="0.25">
      <c r="A6" s="21" t="s">
        <v>145</v>
      </c>
      <c r="B6" s="21" t="s">
        <v>145</v>
      </c>
      <c r="C6" s="36" t="s">
        <v>146</v>
      </c>
      <c r="D6" s="19" t="s">
        <v>2704</v>
      </c>
      <c r="E6" s="20" t="s">
        <v>2704</v>
      </c>
      <c r="F6" s="19" t="s">
        <v>2597</v>
      </c>
      <c r="G6" s="41" t="s">
        <v>2597</v>
      </c>
      <c r="H6" s="34" t="s">
        <v>45</v>
      </c>
      <c r="I6" s="30" t="s">
        <v>44</v>
      </c>
      <c r="J6" s="32" t="s">
        <v>2604</v>
      </c>
      <c r="K6" s="42" t="s">
        <v>2640</v>
      </c>
      <c r="L6" s="65" t="s">
        <v>2643</v>
      </c>
      <c r="M6" s="58" t="s">
        <v>2703</v>
      </c>
      <c r="N6" s="61" t="s">
        <v>2774</v>
      </c>
    </row>
    <row r="7" spans="1:16" x14ac:dyDescent="0.25">
      <c r="A7" s="21" t="s">
        <v>147</v>
      </c>
      <c r="B7" s="21" t="s">
        <v>59</v>
      </c>
      <c r="C7" s="36" t="s">
        <v>148</v>
      </c>
      <c r="D7" s="19" t="s">
        <v>2713</v>
      </c>
      <c r="E7" s="20" t="s">
        <v>2775</v>
      </c>
      <c r="H7" s="35" t="s">
        <v>112</v>
      </c>
      <c r="I7" s="31" t="s">
        <v>111</v>
      </c>
      <c r="J7" s="33" t="s">
        <v>113</v>
      </c>
      <c r="K7" s="42" t="s">
        <v>2570</v>
      </c>
      <c r="L7" s="65" t="s">
        <v>2644</v>
      </c>
      <c r="M7" s="58" t="s">
        <v>2713</v>
      </c>
      <c r="N7" s="61" t="s">
        <v>2775</v>
      </c>
    </row>
    <row r="8" spans="1:16" x14ac:dyDescent="0.25">
      <c r="A8" s="21" t="s">
        <v>149</v>
      </c>
      <c r="B8" s="21" t="s">
        <v>150</v>
      </c>
      <c r="C8" s="36"/>
      <c r="D8" s="19" t="s">
        <v>2724</v>
      </c>
      <c r="E8" s="20" t="s">
        <v>2724</v>
      </c>
      <c r="H8" s="34" t="s">
        <v>58</v>
      </c>
      <c r="I8" s="30" t="s">
        <v>57</v>
      </c>
      <c r="J8" s="32" t="s">
        <v>59</v>
      </c>
      <c r="K8" s="42" t="s">
        <v>2571</v>
      </c>
      <c r="L8" s="65" t="s">
        <v>131</v>
      </c>
      <c r="M8" s="58" t="s">
        <v>2723</v>
      </c>
      <c r="N8" s="61" t="s">
        <v>2776</v>
      </c>
    </row>
    <row r="9" spans="1:16" x14ac:dyDescent="0.25">
      <c r="A9" s="21" t="s">
        <v>151</v>
      </c>
      <c r="B9" s="21" t="s">
        <v>152</v>
      </c>
      <c r="C9" s="36"/>
      <c r="D9" s="19" t="s">
        <v>2792</v>
      </c>
      <c r="E9" s="20" t="s">
        <v>2837</v>
      </c>
      <c r="H9" s="34" t="s">
        <v>90</v>
      </c>
      <c r="I9" s="30" t="s">
        <v>89</v>
      </c>
      <c r="J9" s="32" t="s">
        <v>2605</v>
      </c>
      <c r="L9" s="65"/>
      <c r="M9" s="59" t="s">
        <v>2791</v>
      </c>
      <c r="N9" s="62" t="s">
        <v>2838</v>
      </c>
    </row>
    <row r="10" spans="1:16" x14ac:dyDescent="0.25">
      <c r="A10" s="21" t="s">
        <v>153</v>
      </c>
      <c r="B10" s="21" t="s">
        <v>154</v>
      </c>
      <c r="C10" s="36"/>
      <c r="D10" s="19" t="s">
        <v>2723</v>
      </c>
      <c r="E10" s="20" t="s">
        <v>2776</v>
      </c>
      <c r="H10" s="34" t="s">
        <v>115</v>
      </c>
      <c r="I10" s="30" t="s">
        <v>114</v>
      </c>
      <c r="J10" s="32" t="s">
        <v>113</v>
      </c>
      <c r="M10" s="58" t="s">
        <v>2799</v>
      </c>
      <c r="N10" s="61" t="s">
        <v>2839</v>
      </c>
    </row>
    <row r="11" spans="1:16" x14ac:dyDescent="0.25">
      <c r="A11" s="21" t="s">
        <v>155</v>
      </c>
      <c r="B11" s="21" t="s">
        <v>156</v>
      </c>
      <c r="C11" s="36"/>
      <c r="D11" s="19" t="s">
        <v>2793</v>
      </c>
      <c r="E11" s="20" t="s">
        <v>2840</v>
      </c>
      <c r="H11" s="34" t="s">
        <v>117</v>
      </c>
      <c r="I11" s="30" t="s">
        <v>116</v>
      </c>
      <c r="J11" s="32" t="s">
        <v>113</v>
      </c>
      <c r="M11" s="58" t="s">
        <v>2794</v>
      </c>
      <c r="N11" s="61" t="s">
        <v>2841</v>
      </c>
    </row>
    <row r="12" spans="1:16" x14ac:dyDescent="0.25">
      <c r="A12" s="21" t="s">
        <v>157</v>
      </c>
      <c r="B12" s="21" t="s">
        <v>158</v>
      </c>
      <c r="C12" s="36"/>
      <c r="D12" s="19" t="s">
        <v>2842</v>
      </c>
      <c r="E12" s="20" t="s">
        <v>2843</v>
      </c>
      <c r="H12" s="34" t="s">
        <v>50</v>
      </c>
      <c r="I12" s="30" t="s">
        <v>49</v>
      </c>
      <c r="J12" s="32" t="s">
        <v>51</v>
      </c>
      <c r="M12" s="58" t="s">
        <v>2801</v>
      </c>
      <c r="N12" s="61" t="s">
        <v>2844</v>
      </c>
    </row>
    <row r="13" spans="1:16" x14ac:dyDescent="0.25">
      <c r="A13" s="21" t="s">
        <v>159</v>
      </c>
      <c r="B13" s="21" t="s">
        <v>160</v>
      </c>
      <c r="C13" s="36"/>
      <c r="D13" s="19" t="s">
        <v>2794</v>
      </c>
      <c r="E13" s="20" t="s">
        <v>2841</v>
      </c>
      <c r="H13" s="34" t="s">
        <v>47</v>
      </c>
      <c r="I13" s="30" t="s">
        <v>46</v>
      </c>
      <c r="J13" s="32" t="s">
        <v>48</v>
      </c>
      <c r="M13" s="58" t="s">
        <v>2870</v>
      </c>
      <c r="N13" s="61" t="s">
        <v>2871</v>
      </c>
    </row>
    <row r="14" spans="1:16" x14ac:dyDescent="0.25">
      <c r="A14" s="21" t="s">
        <v>161</v>
      </c>
      <c r="B14" s="21" t="s">
        <v>162</v>
      </c>
      <c r="C14" s="36"/>
      <c r="D14" s="19" t="s">
        <v>2799</v>
      </c>
      <c r="E14" s="20" t="s">
        <v>2839</v>
      </c>
      <c r="H14" s="34" t="s">
        <v>84</v>
      </c>
      <c r="I14" s="30" t="s">
        <v>83</v>
      </c>
      <c r="J14" s="32" t="s">
        <v>85</v>
      </c>
      <c r="M14" s="58" t="s">
        <v>2626</v>
      </c>
      <c r="N14" s="61" t="s">
        <v>309</v>
      </c>
    </row>
    <row r="15" spans="1:16" x14ac:dyDescent="0.25">
      <c r="A15" s="21" t="s">
        <v>163</v>
      </c>
      <c r="B15" s="21" t="s">
        <v>164</v>
      </c>
      <c r="C15" s="36"/>
      <c r="D15" s="19" t="s">
        <v>2802</v>
      </c>
      <c r="E15" s="20" t="s">
        <v>2845</v>
      </c>
      <c r="H15" s="34" t="s">
        <v>52</v>
      </c>
      <c r="I15" s="30" t="s">
        <v>2608</v>
      </c>
      <c r="J15" s="32" t="s">
        <v>53</v>
      </c>
    </row>
    <row r="16" spans="1:16" x14ac:dyDescent="0.25">
      <c r="A16" s="21" t="s">
        <v>165</v>
      </c>
      <c r="B16" s="21" t="s">
        <v>166</v>
      </c>
      <c r="C16" s="36"/>
      <c r="D16" s="19" t="s">
        <v>2872</v>
      </c>
      <c r="E16" s="20" t="s">
        <v>2872</v>
      </c>
      <c r="H16" s="34" t="s">
        <v>55</v>
      </c>
      <c r="I16" s="30" t="s">
        <v>54</v>
      </c>
      <c r="J16" s="32" t="s">
        <v>56</v>
      </c>
    </row>
    <row r="17" spans="1:10" x14ac:dyDescent="0.25">
      <c r="A17" s="21" t="s">
        <v>167</v>
      </c>
      <c r="B17" s="21" t="s">
        <v>168</v>
      </c>
      <c r="C17" s="36"/>
      <c r="D17" s="19" t="s">
        <v>3241</v>
      </c>
      <c r="E17" s="20" t="s">
        <v>3248</v>
      </c>
      <c r="H17" s="34" t="s">
        <v>119</v>
      </c>
      <c r="I17" s="30" t="s">
        <v>118</v>
      </c>
      <c r="J17" s="32" t="s">
        <v>113</v>
      </c>
    </row>
    <row r="18" spans="1:10" x14ac:dyDescent="0.25">
      <c r="A18" s="21" t="s">
        <v>169</v>
      </c>
      <c r="B18" s="21" t="s">
        <v>170</v>
      </c>
      <c r="C18" s="36"/>
      <c r="D18" s="19" t="s">
        <v>3124</v>
      </c>
      <c r="E18" s="20" t="s">
        <v>3249</v>
      </c>
      <c r="H18" s="34" t="s">
        <v>63</v>
      </c>
      <c r="I18" s="30" t="s">
        <v>62</v>
      </c>
      <c r="J18" s="32" t="s">
        <v>64</v>
      </c>
    </row>
    <row r="19" spans="1:10" x14ac:dyDescent="0.25">
      <c r="A19" s="21" t="s">
        <v>171</v>
      </c>
      <c r="B19" s="21" t="s">
        <v>172</v>
      </c>
      <c r="C19" s="36"/>
      <c r="D19" s="19" t="s">
        <v>3131</v>
      </c>
      <c r="E19" s="20" t="s">
        <v>3250</v>
      </c>
      <c r="H19" s="34" t="s">
        <v>105</v>
      </c>
      <c r="I19" s="30" t="s">
        <v>104</v>
      </c>
      <c r="J19" s="32" t="s">
        <v>3068</v>
      </c>
    </row>
    <row r="20" spans="1:10" x14ac:dyDescent="0.25">
      <c r="A20" s="21" t="s">
        <v>173</v>
      </c>
      <c r="B20" s="21" t="s">
        <v>174</v>
      </c>
      <c r="C20" s="36"/>
      <c r="D20" s="19" t="s">
        <v>3184</v>
      </c>
      <c r="E20" s="20" t="s">
        <v>3191</v>
      </c>
      <c r="H20" s="34" t="s">
        <v>65</v>
      </c>
      <c r="I20" s="30" t="s">
        <v>64</v>
      </c>
      <c r="J20" s="32" t="s">
        <v>66</v>
      </c>
    </row>
    <row r="21" spans="1:10" x14ac:dyDescent="0.25">
      <c r="A21" s="21" t="s">
        <v>175</v>
      </c>
      <c r="B21" s="21" t="s">
        <v>176</v>
      </c>
      <c r="C21" s="36"/>
      <c r="D21" s="19" t="s">
        <v>3168</v>
      </c>
      <c r="E21" s="20" t="s">
        <v>3171</v>
      </c>
      <c r="H21" s="34" t="s">
        <v>68</v>
      </c>
      <c r="I21" s="30" t="s">
        <v>67</v>
      </c>
      <c r="J21" s="32" t="s">
        <v>2600</v>
      </c>
    </row>
    <row r="22" spans="1:10" x14ac:dyDescent="0.25">
      <c r="A22" s="21" t="s">
        <v>177</v>
      </c>
      <c r="B22" s="21" t="s">
        <v>178</v>
      </c>
      <c r="C22" s="36"/>
      <c r="D22" s="19" t="s">
        <v>3146</v>
      </c>
      <c r="E22" s="20" t="s">
        <v>3147</v>
      </c>
      <c r="H22" s="34" t="s">
        <v>61</v>
      </c>
      <c r="I22" s="30" t="s">
        <v>60</v>
      </c>
      <c r="J22" s="32" t="s">
        <v>2606</v>
      </c>
    </row>
    <row r="23" spans="1:10" x14ac:dyDescent="0.25">
      <c r="A23" s="21" t="s">
        <v>179</v>
      </c>
      <c r="B23" s="21" t="s">
        <v>180</v>
      </c>
      <c r="C23" s="36"/>
      <c r="D23" s="19" t="s">
        <v>3196</v>
      </c>
      <c r="E23" s="20" t="s">
        <v>3251</v>
      </c>
      <c r="H23" s="34" t="s">
        <v>121</v>
      </c>
      <c r="I23" s="30" t="s">
        <v>120</v>
      </c>
      <c r="J23" s="32" t="s">
        <v>113</v>
      </c>
    </row>
    <row r="24" spans="1:10" x14ac:dyDescent="0.25">
      <c r="A24" s="21" t="s">
        <v>181</v>
      </c>
      <c r="B24" s="21" t="s">
        <v>182</v>
      </c>
      <c r="C24" s="36"/>
      <c r="D24" s="19" t="s">
        <v>3365</v>
      </c>
      <c r="E24" s="20" t="s">
        <v>3366</v>
      </c>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2944</v>
      </c>
      <c r="J27" s="32" t="s">
        <v>2908</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2602</v>
      </c>
    </row>
    <row r="36" spans="1:10" x14ac:dyDescent="0.25">
      <c r="A36" s="21" t="s">
        <v>2846</v>
      </c>
      <c r="B36" s="21" t="s">
        <v>2847</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2607</v>
      </c>
    </row>
    <row r="39" spans="1:10" x14ac:dyDescent="0.25">
      <c r="A39" s="21" t="s">
        <v>209</v>
      </c>
      <c r="B39" s="21" t="s">
        <v>209</v>
      </c>
      <c r="C39" s="36"/>
      <c r="H39" s="34" t="s">
        <v>2635</v>
      </c>
      <c r="I39" s="30" t="s">
        <v>2636</v>
      </c>
      <c r="J39" s="32" t="s">
        <v>2637</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3067</v>
      </c>
      <c r="I41" s="75" t="s">
        <v>3075</v>
      </c>
      <c r="J41" s="74" t="s">
        <v>3074</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2945</v>
      </c>
      <c r="B76" s="22" t="s">
        <v>2945</v>
      </c>
      <c r="C76" s="37"/>
    </row>
    <row r="77" spans="1:3" x14ac:dyDescent="0.25">
      <c r="A77" s="21" t="s">
        <v>279</v>
      </c>
      <c r="B77" s="21" t="s">
        <v>279</v>
      </c>
      <c r="C77" s="36" t="s">
        <v>280</v>
      </c>
    </row>
    <row r="78" spans="1:3" x14ac:dyDescent="0.25">
      <c r="A78" s="21" t="s">
        <v>2946</v>
      </c>
      <c r="B78" s="21" t="s">
        <v>2946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2626</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2821</v>
      </c>
      <c r="B161" s="21" t="s">
        <v>2822</v>
      </c>
      <c r="C161" s="36"/>
    </row>
    <row r="162" spans="1:3" x14ac:dyDescent="0.25">
      <c r="A162" s="21" t="s">
        <v>2810</v>
      </c>
      <c r="B162" s="21" t="s">
        <v>2811</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2848</v>
      </c>
      <c r="B172" s="21" t="s">
        <v>2849</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3252</v>
      </c>
      <c r="B225" s="21" t="s">
        <v>3252</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3253</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2988</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2850</v>
      </c>
      <c r="B334" s="21" t="s">
        <v>2851</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2947</v>
      </c>
      <c r="B356" s="21" t="s">
        <v>2947</v>
      </c>
      <c r="C356" s="36"/>
    </row>
    <row r="357" spans="1:3" x14ac:dyDescent="0.25">
      <c r="A357" s="21" t="s">
        <v>803</v>
      </c>
      <c r="B357" s="21" t="s">
        <v>803</v>
      </c>
      <c r="C357" s="36"/>
    </row>
    <row r="358" spans="1:3" x14ac:dyDescent="0.25">
      <c r="A358" s="21" t="s">
        <v>804</v>
      </c>
      <c r="B358" s="21" t="s">
        <v>805</v>
      </c>
      <c r="C358" s="36"/>
    </row>
    <row r="359" spans="1:3" x14ac:dyDescent="0.25">
      <c r="A359" s="21" t="s">
        <v>2948</v>
      </c>
      <c r="B359" s="21" t="s">
        <v>2949</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2618</v>
      </c>
      <c r="B363" s="21" t="s">
        <v>2619</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2724</v>
      </c>
      <c r="B379" s="21" t="s">
        <v>2724</v>
      </c>
      <c r="C379" s="36"/>
    </row>
    <row r="380" spans="1:3" x14ac:dyDescent="0.25">
      <c r="A380" s="21" t="s">
        <v>843</v>
      </c>
      <c r="B380" s="21" t="s">
        <v>843</v>
      </c>
      <c r="C380" s="36" t="s">
        <v>844</v>
      </c>
    </row>
    <row r="381" spans="1:3" x14ac:dyDescent="0.25">
      <c r="A381" s="21" t="s">
        <v>2777</v>
      </c>
      <c r="B381" s="21" t="s">
        <v>2777</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2616</v>
      </c>
      <c r="B413" s="21" t="s">
        <v>2617</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2852</v>
      </c>
      <c r="B436" s="21" t="s">
        <v>2853</v>
      </c>
      <c r="C436" s="36"/>
    </row>
    <row r="437" spans="1:3" x14ac:dyDescent="0.25">
      <c r="A437" s="21" t="s">
        <v>2854</v>
      </c>
      <c r="B437" s="21" t="s">
        <v>2855</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3046</v>
      </c>
      <c r="B494" s="21" t="s">
        <v>3047</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2778</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2812</v>
      </c>
      <c r="B572" s="21" t="s">
        <v>2813</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2591</v>
      </c>
      <c r="B602" s="21" t="s">
        <v>2592</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2779</v>
      </c>
      <c r="B612" s="21" t="s">
        <v>2780</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8" t="s">
        <v>1269</v>
      </c>
      <c r="B616" s="28" t="s">
        <v>1270</v>
      </c>
      <c r="C616" s="39" t="s">
        <v>1271</v>
      </c>
    </row>
    <row r="617" spans="1:3" x14ac:dyDescent="0.25">
      <c r="A617" s="21" t="s">
        <v>1272</v>
      </c>
      <c r="B617" s="21" t="s">
        <v>1273</v>
      </c>
      <c r="C617" s="36"/>
    </row>
    <row r="618" spans="1:3" x14ac:dyDescent="0.25">
      <c r="A618" s="21" t="s">
        <v>3001</v>
      </c>
      <c r="B618" s="21" t="s">
        <v>3002</v>
      </c>
      <c r="C618" s="36"/>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2" t="s">
        <v>1309</v>
      </c>
      <c r="B635" s="22" t="s">
        <v>1310</v>
      </c>
      <c r="C635" s="37"/>
    </row>
    <row r="636" spans="1:3" x14ac:dyDescent="0.25">
      <c r="A636" s="22" t="s">
        <v>1307</v>
      </c>
      <c r="B636" s="21" t="s">
        <v>1308</v>
      </c>
      <c r="C636" s="36"/>
    </row>
    <row r="637" spans="1:3" x14ac:dyDescent="0.25">
      <c r="A637" s="21" t="s">
        <v>1311</v>
      </c>
      <c r="B637" s="21" t="s">
        <v>1312</v>
      </c>
      <c r="C637" s="36"/>
    </row>
    <row r="638" spans="1:3" x14ac:dyDescent="0.25">
      <c r="A638" s="21"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2" t="s">
        <v>1332</v>
      </c>
      <c r="B649" s="22" t="s">
        <v>1333</v>
      </c>
      <c r="C649" s="37"/>
    </row>
    <row r="650" spans="1:3" x14ac:dyDescent="0.25">
      <c r="A650" s="21" t="s">
        <v>134</v>
      </c>
      <c r="B650" s="21" t="s">
        <v>134</v>
      </c>
      <c r="C650" s="36"/>
    </row>
    <row r="651" spans="1:3" x14ac:dyDescent="0.25">
      <c r="A651" s="21" t="s">
        <v>1334</v>
      </c>
      <c r="B651" s="21" t="s">
        <v>1335</v>
      </c>
      <c r="C651" s="36"/>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3" t="s">
        <v>1348</v>
      </c>
      <c r="B659" s="21" t="s">
        <v>1348</v>
      </c>
      <c r="C659" s="36"/>
    </row>
    <row r="660" spans="1:3" x14ac:dyDescent="0.25">
      <c r="A660" s="25" t="s">
        <v>1349</v>
      </c>
      <c r="B660" s="22" t="s">
        <v>1350</v>
      </c>
      <c r="C660" s="37"/>
    </row>
    <row r="661" spans="1:3" x14ac:dyDescent="0.25">
      <c r="A661" s="21" t="s">
        <v>1351</v>
      </c>
      <c r="B661" s="21" t="s">
        <v>1352</v>
      </c>
      <c r="C661" s="36"/>
    </row>
    <row r="662" spans="1:3" x14ac:dyDescent="0.25">
      <c r="A662" s="28" t="s">
        <v>1353</v>
      </c>
      <c r="B662" s="28" t="s">
        <v>1354</v>
      </c>
    </row>
    <row r="663" spans="1:3" x14ac:dyDescent="0.25">
      <c r="A663" s="21" t="s">
        <v>1355</v>
      </c>
      <c r="B663" s="21" t="s">
        <v>1356</v>
      </c>
      <c r="C663" s="36"/>
    </row>
    <row r="664" spans="1:3" x14ac:dyDescent="0.25">
      <c r="A664" s="21" t="s">
        <v>2952</v>
      </c>
      <c r="B664" s="21" t="s">
        <v>2952</v>
      </c>
      <c r="C664" s="36"/>
    </row>
    <row r="665" spans="1:3" x14ac:dyDescent="0.25">
      <c r="A665" s="21" t="s">
        <v>1357</v>
      </c>
      <c r="B665" s="21" t="s">
        <v>1357</v>
      </c>
      <c r="C665" s="36" t="s">
        <v>1358</v>
      </c>
    </row>
    <row r="666" spans="1:3" x14ac:dyDescent="0.25">
      <c r="A666" s="21" t="s">
        <v>1359</v>
      </c>
      <c r="B666" s="21" t="s">
        <v>1359</v>
      </c>
      <c r="C666" s="36"/>
    </row>
    <row r="667" spans="1:3" x14ac:dyDescent="0.25">
      <c r="A667" s="22" t="s">
        <v>1360</v>
      </c>
      <c r="B667" s="22" t="s">
        <v>1361</v>
      </c>
      <c r="C667" s="37"/>
    </row>
    <row r="668" spans="1:3" x14ac:dyDescent="0.25">
      <c r="A668" s="21" t="s">
        <v>1362</v>
      </c>
      <c r="B668" s="21" t="s">
        <v>1363</v>
      </c>
      <c r="C668" s="36"/>
    </row>
    <row r="669" spans="1:3" x14ac:dyDescent="0.25">
      <c r="A669" s="21" t="s">
        <v>1364</v>
      </c>
      <c r="B669" s="21" t="s">
        <v>1365</v>
      </c>
      <c r="C669" s="36"/>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2856</v>
      </c>
      <c r="B687" s="21" t="s">
        <v>2857</v>
      </c>
      <c r="C687" s="36"/>
    </row>
    <row r="688" spans="1:3" x14ac:dyDescent="0.25">
      <c r="A688" s="21" t="s">
        <v>1398</v>
      </c>
      <c r="B688" s="21" t="s">
        <v>1398</v>
      </c>
      <c r="C688" s="36"/>
    </row>
    <row r="689" spans="1:3" x14ac:dyDescent="0.25">
      <c r="A689" s="21" t="s">
        <v>1399</v>
      </c>
      <c r="B689" s="21" t="s">
        <v>108</v>
      </c>
      <c r="C689" s="36" t="s">
        <v>1400</v>
      </c>
    </row>
    <row r="690" spans="1:3" x14ac:dyDescent="0.25">
      <c r="A690" s="21" t="s">
        <v>3254</v>
      </c>
      <c r="B690" s="21" t="s">
        <v>3254</v>
      </c>
      <c r="C690" s="36"/>
    </row>
    <row r="691" spans="1:3" x14ac:dyDescent="0.25">
      <c r="A691" s="21" t="s">
        <v>1401</v>
      </c>
      <c r="B691" s="21" t="s">
        <v>1401</v>
      </c>
      <c r="C691" s="36" t="s">
        <v>1402</v>
      </c>
    </row>
    <row r="692" spans="1:3" x14ac:dyDescent="0.25">
      <c r="A692" s="21" t="s">
        <v>1403</v>
      </c>
      <c r="B692" s="21" t="s">
        <v>1404</v>
      </c>
      <c r="C692" s="36" t="s">
        <v>1405</v>
      </c>
    </row>
    <row r="693" spans="1:3" x14ac:dyDescent="0.25">
      <c r="A693" s="22"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1"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2" t="s">
        <v>1442</v>
      </c>
      <c r="B714" s="22" t="s">
        <v>1443</v>
      </c>
      <c r="C714" s="37"/>
    </row>
    <row r="715" spans="1:3" x14ac:dyDescent="0.25">
      <c r="A715" s="21" t="s">
        <v>1444</v>
      </c>
      <c r="B715" s="21" t="s">
        <v>1445</v>
      </c>
      <c r="C715" s="36"/>
    </row>
    <row r="716" spans="1:3" x14ac:dyDescent="0.25">
      <c r="A716" s="21" t="s">
        <v>1446</v>
      </c>
      <c r="B716" s="21" t="s">
        <v>1447</v>
      </c>
      <c r="C716" s="36"/>
    </row>
    <row r="717" spans="1:3" x14ac:dyDescent="0.25">
      <c r="A717" s="21" t="s">
        <v>1448</v>
      </c>
      <c r="B717" s="21" t="s">
        <v>1449</v>
      </c>
      <c r="C717" s="36"/>
    </row>
    <row r="718" spans="1:3" x14ac:dyDescent="0.25">
      <c r="A718" s="21" t="s">
        <v>1450</v>
      </c>
      <c r="B718" s="21" t="s">
        <v>1450</v>
      </c>
      <c r="C718" s="36"/>
    </row>
    <row r="719" spans="1:3" x14ac:dyDescent="0.25">
      <c r="A719" s="21" t="s">
        <v>1451</v>
      </c>
      <c r="B719" s="21" t="s">
        <v>1452</v>
      </c>
      <c r="C719" s="36"/>
    </row>
    <row r="720" spans="1:3" x14ac:dyDescent="0.25">
      <c r="A720" s="22" t="s">
        <v>1453</v>
      </c>
      <c r="B720" s="22" t="s">
        <v>1454</v>
      </c>
      <c r="C720" s="37"/>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1" t="s">
        <v>1465</v>
      </c>
      <c r="B726" s="21" t="s">
        <v>1466</v>
      </c>
      <c r="C726" s="36"/>
    </row>
    <row r="727" spans="1:3" x14ac:dyDescent="0.25">
      <c r="A727" s="21" t="s">
        <v>1467</v>
      </c>
      <c r="B727" s="21" t="s">
        <v>9</v>
      </c>
      <c r="C727" s="36"/>
    </row>
    <row r="728" spans="1:3" x14ac:dyDescent="0.25">
      <c r="A728" s="21" t="s">
        <v>3255</v>
      </c>
      <c r="B728" s="21" t="s">
        <v>3255</v>
      </c>
      <c r="C728" s="36"/>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8" t="s">
        <v>2581</v>
      </c>
      <c r="B755" s="28" t="s">
        <v>2582</v>
      </c>
    </row>
    <row r="756" spans="1:3" x14ac:dyDescent="0.25">
      <c r="A756" s="21" t="s">
        <v>1515</v>
      </c>
      <c r="B756" s="21" t="s">
        <v>1516</v>
      </c>
      <c r="C756" s="36"/>
    </row>
    <row r="757" spans="1:3" x14ac:dyDescent="0.25">
      <c r="A757" s="22" t="s">
        <v>1517</v>
      </c>
      <c r="B757" s="22" t="s">
        <v>1518</v>
      </c>
      <c r="C757" s="37"/>
    </row>
    <row r="758" spans="1:3" x14ac:dyDescent="0.25">
      <c r="A758" s="21" t="s">
        <v>1519</v>
      </c>
      <c r="B758" s="21" t="s">
        <v>1520</v>
      </c>
      <c r="C758" s="36"/>
    </row>
    <row r="759" spans="1:3" x14ac:dyDescent="0.25">
      <c r="A759" s="21" t="s">
        <v>1521</v>
      </c>
      <c r="B759" s="21" t="s">
        <v>1522</v>
      </c>
      <c r="C759" s="36"/>
    </row>
    <row r="760" spans="1:3" x14ac:dyDescent="0.25">
      <c r="A760" s="21" t="s">
        <v>1523</v>
      </c>
      <c r="B760" s="21" t="s">
        <v>1524</v>
      </c>
      <c r="C760" s="36"/>
    </row>
    <row r="761" spans="1:3" x14ac:dyDescent="0.25">
      <c r="A761" s="21" t="s">
        <v>1525</v>
      </c>
      <c r="B761" s="21" t="s">
        <v>1526</v>
      </c>
      <c r="C761" s="36"/>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2" t="s">
        <v>2614</v>
      </c>
      <c r="B775" s="22" t="s">
        <v>2615</v>
      </c>
      <c r="C775" s="37"/>
    </row>
    <row r="776" spans="1:3" x14ac:dyDescent="0.25">
      <c r="A776" s="21" t="s">
        <v>51</v>
      </c>
      <c r="B776" s="21" t="s">
        <v>51</v>
      </c>
      <c r="C776" s="36" t="s">
        <v>1551</v>
      </c>
    </row>
    <row r="777" spans="1:3" x14ac:dyDescent="0.25">
      <c r="A777" s="21" t="s">
        <v>1552</v>
      </c>
      <c r="B777" s="21" t="s">
        <v>1552</v>
      </c>
      <c r="C777" s="36"/>
    </row>
    <row r="778" spans="1:3" x14ac:dyDescent="0.25">
      <c r="A778" s="23" t="s">
        <v>1553</v>
      </c>
      <c r="B778" s="21" t="s">
        <v>1554</v>
      </c>
      <c r="C778" s="36"/>
    </row>
    <row r="779" spans="1:3" x14ac:dyDescent="0.25">
      <c r="A779" s="21" t="s">
        <v>1555</v>
      </c>
      <c r="B779" s="21" t="s">
        <v>1555</v>
      </c>
      <c r="C779" s="36"/>
    </row>
    <row r="780" spans="1:3" x14ac:dyDescent="0.25">
      <c r="A780" s="21" t="s">
        <v>1556</v>
      </c>
      <c r="B780" s="21" t="s">
        <v>1557</v>
      </c>
      <c r="C780" s="36"/>
    </row>
    <row r="781" spans="1:3" x14ac:dyDescent="0.25">
      <c r="A781" s="21" t="s">
        <v>1558</v>
      </c>
      <c r="B781" s="21" t="s">
        <v>1559</v>
      </c>
      <c r="C781" s="36"/>
    </row>
    <row r="782" spans="1:3" x14ac:dyDescent="0.25">
      <c r="A782" s="21"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2858</v>
      </c>
      <c r="B787" s="21" t="s">
        <v>51</v>
      </c>
      <c r="C787" s="36"/>
    </row>
    <row r="788" spans="1:3" x14ac:dyDescent="0.25">
      <c r="A788" s="21" t="s">
        <v>2859</v>
      </c>
      <c r="B788" s="21" t="s">
        <v>2809</v>
      </c>
      <c r="C788" s="36"/>
    </row>
    <row r="789" spans="1:3" x14ac:dyDescent="0.25">
      <c r="A789" s="21" t="s">
        <v>2860</v>
      </c>
      <c r="B789" s="21" t="s">
        <v>2807</v>
      </c>
      <c r="C789" s="36"/>
    </row>
    <row r="790" spans="1:3" x14ac:dyDescent="0.25">
      <c r="A790" s="21" t="s">
        <v>2806</v>
      </c>
      <c r="B790" s="21" t="s">
        <v>2807</v>
      </c>
      <c r="C790" s="36"/>
    </row>
    <row r="791" spans="1:3" x14ac:dyDescent="0.25">
      <c r="A791" s="21" t="s">
        <v>2808</v>
      </c>
      <c r="B791" s="21" t="s">
        <v>2809</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2" t="s">
        <v>1585</v>
      </c>
      <c r="B799" s="22" t="s">
        <v>1585</v>
      </c>
      <c r="C799" s="37" t="s">
        <v>1570</v>
      </c>
    </row>
    <row r="800" spans="1:3" x14ac:dyDescent="0.25">
      <c r="A800" s="22" t="s">
        <v>1586</v>
      </c>
      <c r="B800" s="22" t="s">
        <v>1587</v>
      </c>
      <c r="C800" s="37"/>
    </row>
    <row r="801" spans="1:3" x14ac:dyDescent="0.25">
      <c r="A801" s="21" t="s">
        <v>1588</v>
      </c>
      <c r="B801" s="21" t="s">
        <v>1588</v>
      </c>
      <c r="C801" s="36" t="s">
        <v>1589</v>
      </c>
    </row>
    <row r="802" spans="1:3" x14ac:dyDescent="0.25">
      <c r="A802" s="21" t="s">
        <v>1590</v>
      </c>
      <c r="B802" s="21" t="s">
        <v>1590</v>
      </c>
      <c r="C802" s="36" t="s">
        <v>1591</v>
      </c>
    </row>
    <row r="803" spans="1:3" x14ac:dyDescent="0.25">
      <c r="A803" s="21" t="s">
        <v>1592</v>
      </c>
      <c r="B803" s="21" t="s">
        <v>1593</v>
      </c>
      <c r="C803" s="36"/>
    </row>
    <row r="804" spans="1:3" x14ac:dyDescent="0.25">
      <c r="A804" s="21" t="s">
        <v>121</v>
      </c>
      <c r="B804" s="21" t="s">
        <v>1594</v>
      </c>
      <c r="C804" s="36"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2" t="s">
        <v>1608</v>
      </c>
      <c r="B811" s="22" t="s">
        <v>1608</v>
      </c>
      <c r="C811" s="37"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1" t="s">
        <v>88</v>
      </c>
      <c r="B815" s="21" t="s">
        <v>88</v>
      </c>
      <c r="C815" s="36"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2593</v>
      </c>
      <c r="B820" s="21" t="s">
        <v>2594</v>
      </c>
      <c r="C820" s="36"/>
    </row>
    <row r="821" spans="1:3" x14ac:dyDescent="0.25">
      <c r="A821" s="21" t="s">
        <v>2781</v>
      </c>
      <c r="B821" s="21" t="s">
        <v>2706</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2585</v>
      </c>
      <c r="B826" s="21" t="s">
        <v>2586</v>
      </c>
      <c r="C826" s="36"/>
    </row>
    <row r="827" spans="1:3" x14ac:dyDescent="0.25">
      <c r="A827" s="21" t="s">
        <v>1624</v>
      </c>
      <c r="B827" s="21" t="s">
        <v>1625</v>
      </c>
      <c r="C827" s="36"/>
    </row>
    <row r="828" spans="1:3" x14ac:dyDescent="0.25">
      <c r="A828" s="21" t="s">
        <v>1626</v>
      </c>
      <c r="B828" s="21" t="s">
        <v>1627</v>
      </c>
      <c r="C828" s="36"/>
    </row>
    <row r="829" spans="1:3" x14ac:dyDescent="0.25">
      <c r="A829" s="21" t="s">
        <v>2583</v>
      </c>
      <c r="B829" s="21" t="s">
        <v>2584</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2"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1"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2861</v>
      </c>
      <c r="B848" s="21" t="s">
        <v>2862</v>
      </c>
      <c r="C848" s="36"/>
    </row>
    <row r="849" spans="1:3" x14ac:dyDescent="0.25">
      <c r="A849" s="21" t="s">
        <v>3256</v>
      </c>
      <c r="B849" s="21" t="s">
        <v>3257</v>
      </c>
      <c r="C849" s="36"/>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2863</v>
      </c>
      <c r="B858" s="21" t="s">
        <v>2815</v>
      </c>
      <c r="C858" s="36"/>
    </row>
    <row r="859" spans="1:3" x14ac:dyDescent="0.25">
      <c r="A859" s="21" t="s">
        <v>2814</v>
      </c>
      <c r="B859" s="21" t="s">
        <v>2815</v>
      </c>
      <c r="C859" s="36"/>
    </row>
    <row r="860" spans="1:3" x14ac:dyDescent="0.25">
      <c r="A860" s="21" t="s">
        <v>2818</v>
      </c>
      <c r="B860" s="21" t="s">
        <v>2819</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6" t="s">
        <v>1684</v>
      </c>
      <c r="B864" s="26" t="s">
        <v>1685</v>
      </c>
      <c r="C864" s="38"/>
    </row>
    <row r="865" spans="1:3" x14ac:dyDescent="0.25">
      <c r="A865" s="21" t="s">
        <v>1686</v>
      </c>
      <c r="B865" s="21" t="s">
        <v>1687</v>
      </c>
      <c r="C865" s="36"/>
    </row>
    <row r="866" spans="1:3" x14ac:dyDescent="0.25">
      <c r="A866" s="22" t="s">
        <v>1688</v>
      </c>
      <c r="B866" s="22" t="s">
        <v>1688</v>
      </c>
      <c r="C866" s="37"/>
    </row>
    <row r="867" spans="1:3" x14ac:dyDescent="0.25">
      <c r="A867" s="21" t="s">
        <v>1689</v>
      </c>
      <c r="B867" s="21" t="s">
        <v>1690</v>
      </c>
      <c r="C867" s="36"/>
    </row>
    <row r="868" spans="1:3" x14ac:dyDescent="0.25">
      <c r="A868" s="21" t="s">
        <v>1691</v>
      </c>
      <c r="B868" s="21" t="s">
        <v>1691</v>
      </c>
      <c r="C868" s="36"/>
    </row>
    <row r="869" spans="1:3" x14ac:dyDescent="0.25">
      <c r="A869" s="21" t="s">
        <v>1692</v>
      </c>
      <c r="B869" s="21" t="s">
        <v>1693</v>
      </c>
      <c r="C869" s="36"/>
    </row>
    <row r="870" spans="1:3" x14ac:dyDescent="0.25">
      <c r="A870" s="21" t="s">
        <v>1694</v>
      </c>
      <c r="B870" s="21" t="s">
        <v>1695</v>
      </c>
      <c r="C870" s="36"/>
    </row>
    <row r="871" spans="1:3" x14ac:dyDescent="0.25">
      <c r="A871" s="21" t="s">
        <v>1696</v>
      </c>
      <c r="B871" s="21" t="s">
        <v>1697</v>
      </c>
      <c r="C871" s="36"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2782</v>
      </c>
      <c r="B886" s="21" t="s">
        <v>2783</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8" t="s">
        <v>1756</v>
      </c>
      <c r="B908" s="28" t="s">
        <v>1757</v>
      </c>
    </row>
    <row r="909" spans="1:3" x14ac:dyDescent="0.25">
      <c r="A909" s="28" t="s">
        <v>1758</v>
      </c>
      <c r="B909" s="28" t="s">
        <v>1758</v>
      </c>
      <c r="C909" s="39" t="s">
        <v>1759</v>
      </c>
    </row>
    <row r="910" spans="1:3" x14ac:dyDescent="0.25">
      <c r="A910" s="21" t="s">
        <v>1760</v>
      </c>
      <c r="B910" s="21" t="s">
        <v>1761</v>
      </c>
      <c r="C910" s="36"/>
    </row>
    <row r="911" spans="1:3" x14ac:dyDescent="0.25">
      <c r="A911" s="21" t="s">
        <v>1762</v>
      </c>
      <c r="B911" s="21" t="s">
        <v>1763</v>
      </c>
      <c r="C911" s="36"/>
    </row>
    <row r="912" spans="1:3" x14ac:dyDescent="0.25">
      <c r="A912" s="21" t="s">
        <v>2577</v>
      </c>
      <c r="B912" s="21" t="s">
        <v>2580</v>
      </c>
      <c r="C912" s="36"/>
    </row>
    <row r="913" spans="1:3" x14ac:dyDescent="0.25">
      <c r="A913" s="22" t="s">
        <v>2578</v>
      </c>
      <c r="B913" s="22" t="s">
        <v>2579</v>
      </c>
      <c r="C913" s="37"/>
    </row>
    <row r="914" spans="1:3" x14ac:dyDescent="0.25">
      <c r="A914" s="21" t="s">
        <v>1764</v>
      </c>
      <c r="B914" s="21" t="s">
        <v>1765</v>
      </c>
      <c r="C914" s="36"/>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1" t="s">
        <v>1773</v>
      </c>
      <c r="B918" s="21" t="s">
        <v>1774</v>
      </c>
      <c r="C918" s="36"/>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2595</v>
      </c>
      <c r="B925" s="21" t="s">
        <v>2596</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3"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8" t="s">
        <v>1802</v>
      </c>
      <c r="B934" s="28" t="s">
        <v>1803</v>
      </c>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1" t="s">
        <v>1813</v>
      </c>
      <c r="B939" s="21" t="s">
        <v>1814</v>
      </c>
      <c r="C939" s="36"/>
    </row>
    <row r="940" spans="1:3" x14ac:dyDescent="0.25">
      <c r="A940" s="22" t="s">
        <v>2622</v>
      </c>
      <c r="B940" s="22" t="s">
        <v>2623</v>
      </c>
      <c r="C940" s="37"/>
    </row>
    <row r="941" spans="1:3" x14ac:dyDescent="0.25">
      <c r="A941" s="22" t="s">
        <v>2624</v>
      </c>
      <c r="B941" s="22" t="s">
        <v>2625</v>
      </c>
      <c r="C941" s="37"/>
    </row>
    <row r="942" spans="1:3" x14ac:dyDescent="0.25">
      <c r="A942" s="21" t="s">
        <v>1815</v>
      </c>
      <c r="B942" s="21" t="s">
        <v>1815</v>
      </c>
      <c r="C942" s="36" t="s">
        <v>1816</v>
      </c>
    </row>
    <row r="943" spans="1:3" x14ac:dyDescent="0.25">
      <c r="A943" s="21" t="s">
        <v>2587</v>
      </c>
      <c r="B943" s="21" t="s">
        <v>2587</v>
      </c>
      <c r="C943" s="36" t="s">
        <v>2588</v>
      </c>
    </row>
    <row r="944" spans="1:3" x14ac:dyDescent="0.25">
      <c r="A944" s="21" t="s">
        <v>1817</v>
      </c>
      <c r="B944" s="21" t="s">
        <v>1817</v>
      </c>
      <c r="C944" s="36"/>
    </row>
    <row r="945" spans="1:3" x14ac:dyDescent="0.25">
      <c r="A945" s="21" t="s">
        <v>1818</v>
      </c>
      <c r="B945" s="21" t="s">
        <v>1818</v>
      </c>
      <c r="C945" s="36"/>
    </row>
    <row r="946" spans="1:3" x14ac:dyDescent="0.25">
      <c r="A946" s="21" t="s">
        <v>1819</v>
      </c>
      <c r="B946" s="21" t="s">
        <v>1820</v>
      </c>
      <c r="C946" s="36" t="s">
        <v>1821</v>
      </c>
    </row>
    <row r="947" spans="1:3" x14ac:dyDescent="0.25">
      <c r="A947" s="21" t="s">
        <v>1822</v>
      </c>
      <c r="B947" s="21" t="s">
        <v>1823</v>
      </c>
      <c r="C947" s="36"/>
    </row>
    <row r="948" spans="1:3" x14ac:dyDescent="0.25">
      <c r="A948" s="22" t="s">
        <v>1824</v>
      </c>
      <c r="B948" s="22" t="s">
        <v>1825</v>
      </c>
      <c r="C948" s="37"/>
    </row>
    <row r="949" spans="1:3" x14ac:dyDescent="0.25">
      <c r="A949" s="22" t="s">
        <v>1826</v>
      </c>
      <c r="B949" s="22" t="s">
        <v>1826</v>
      </c>
      <c r="C949" s="37"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1" t="s">
        <v>1834</v>
      </c>
      <c r="B953" s="21" t="s">
        <v>1835</v>
      </c>
      <c r="C953" s="36" t="s">
        <v>1836</v>
      </c>
    </row>
    <row r="954" spans="1:3" x14ac:dyDescent="0.25">
      <c r="A954" s="21" t="s">
        <v>1837</v>
      </c>
      <c r="B954" s="21" t="s">
        <v>1838</v>
      </c>
      <c r="C954" s="36"/>
    </row>
    <row r="955" spans="1:3" x14ac:dyDescent="0.25">
      <c r="A955" s="21" t="s">
        <v>1839</v>
      </c>
      <c r="B955" s="21" t="s">
        <v>1840</v>
      </c>
      <c r="C955" s="36"/>
    </row>
    <row r="956" spans="1:3" x14ac:dyDescent="0.25">
      <c r="A956" s="21" t="s">
        <v>2864</v>
      </c>
      <c r="B956" s="21" t="s">
        <v>2864</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2620</v>
      </c>
      <c r="B967" s="21" t="s">
        <v>2621</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2"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1"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2" t="s">
        <v>1930</v>
      </c>
      <c r="B1003" s="22" t="s">
        <v>1931</v>
      </c>
      <c r="C1003" s="37"/>
    </row>
    <row r="1004" spans="1:3" x14ac:dyDescent="0.25">
      <c r="A1004" s="21" t="s">
        <v>1932</v>
      </c>
      <c r="B1004" s="21" t="s">
        <v>1933</v>
      </c>
      <c r="C1004" s="36"/>
    </row>
    <row r="1005" spans="1:3" x14ac:dyDescent="0.25">
      <c r="A1005" s="21" t="s">
        <v>1934</v>
      </c>
      <c r="B1005" s="21" t="s">
        <v>1935</v>
      </c>
      <c r="C1005" s="36"/>
    </row>
    <row r="1006" spans="1:3" x14ac:dyDescent="0.25">
      <c r="A1006" s="22" t="s">
        <v>1936</v>
      </c>
      <c r="B1006" s="21" t="s">
        <v>1937</v>
      </c>
      <c r="C1006" s="36"/>
    </row>
    <row r="1007" spans="1:3" x14ac:dyDescent="0.25">
      <c r="A1007" s="21" t="s">
        <v>1938</v>
      </c>
      <c r="B1007" s="21" t="s">
        <v>1939</v>
      </c>
      <c r="C1007" s="36"/>
    </row>
    <row r="1008" spans="1:3" x14ac:dyDescent="0.25">
      <c r="A1008" s="21" t="s">
        <v>1940</v>
      </c>
      <c r="B1008" s="21" t="s">
        <v>1941</v>
      </c>
      <c r="C1008" s="36"/>
    </row>
    <row r="1009" spans="1:3" x14ac:dyDescent="0.25">
      <c r="A1009" s="21" t="s">
        <v>1942</v>
      </c>
      <c r="B1009" s="21" t="s">
        <v>1943</v>
      </c>
      <c r="C1009" s="36"/>
    </row>
    <row r="1010" spans="1:3" x14ac:dyDescent="0.25">
      <c r="A1010" s="21" t="s">
        <v>1944</v>
      </c>
      <c r="B1010" s="21" t="s">
        <v>1945</v>
      </c>
      <c r="C1010" s="36"/>
    </row>
    <row r="1011" spans="1:3" x14ac:dyDescent="0.25">
      <c r="A1011" s="21"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2" t="s">
        <v>1957</v>
      </c>
      <c r="B1017" s="22" t="s">
        <v>1958</v>
      </c>
      <c r="C1017" s="37"/>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1" t="s">
        <v>1966</v>
      </c>
      <c r="B1022" s="21" t="s">
        <v>1967</v>
      </c>
      <c r="C1022" s="36"/>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2" t="s">
        <v>2014</v>
      </c>
      <c r="B1047" s="22" t="s">
        <v>2015</v>
      </c>
      <c r="C1047" s="37" t="s">
        <v>2016</v>
      </c>
    </row>
    <row r="1048" spans="1:3" x14ac:dyDescent="0.25">
      <c r="A1048" s="21" t="s">
        <v>2017</v>
      </c>
      <c r="B1048" s="21" t="s">
        <v>2018</v>
      </c>
      <c r="C1048" s="36"/>
    </row>
    <row r="1049" spans="1:3" x14ac:dyDescent="0.25">
      <c r="A1049" s="25" t="s">
        <v>2019</v>
      </c>
      <c r="B1049" s="22" t="s">
        <v>2020</v>
      </c>
      <c r="C1049" s="37"/>
    </row>
    <row r="1050" spans="1:3" x14ac:dyDescent="0.25">
      <c r="A1050" s="21" t="s">
        <v>2021</v>
      </c>
      <c r="B1050" s="21" t="s">
        <v>2021</v>
      </c>
      <c r="C1050" s="36"/>
    </row>
    <row r="1051" spans="1:3" x14ac:dyDescent="0.25">
      <c r="A1051" s="21" t="s">
        <v>2022</v>
      </c>
      <c r="B1051" s="21" t="s">
        <v>2022</v>
      </c>
      <c r="C1051" s="36" t="s">
        <v>2023</v>
      </c>
    </row>
    <row r="1052" spans="1:3" x14ac:dyDescent="0.25">
      <c r="A1052" s="21" t="s">
        <v>2024</v>
      </c>
      <c r="B1052" s="21" t="s">
        <v>2024</v>
      </c>
      <c r="C1052" s="36" t="s">
        <v>2025</v>
      </c>
    </row>
    <row r="1053" spans="1:3" x14ac:dyDescent="0.25">
      <c r="A1053" s="21" t="s">
        <v>2026</v>
      </c>
      <c r="B1053" s="21" t="s">
        <v>2026</v>
      </c>
      <c r="C1053" s="36" t="s">
        <v>2027</v>
      </c>
    </row>
    <row r="1054" spans="1:3" x14ac:dyDescent="0.25">
      <c r="A1054" s="21" t="s">
        <v>2028</v>
      </c>
      <c r="B1054" s="21" t="s">
        <v>2028</v>
      </c>
      <c r="C1054" s="36"/>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2" t="s">
        <v>2047</v>
      </c>
      <c r="B1067" s="22" t="s">
        <v>2048</v>
      </c>
      <c r="C1067" s="37" t="s">
        <v>2049</v>
      </c>
    </row>
    <row r="1068" spans="1:3" x14ac:dyDescent="0.25">
      <c r="A1068" s="22" t="s">
        <v>2050</v>
      </c>
      <c r="B1068" s="22" t="s">
        <v>2051</v>
      </c>
      <c r="C1068" s="37"/>
    </row>
    <row r="1069" spans="1:3" x14ac:dyDescent="0.25">
      <c r="A1069" s="22" t="s">
        <v>2866</v>
      </c>
      <c r="B1069" s="22" t="s">
        <v>2866</v>
      </c>
      <c r="C1069" s="37"/>
    </row>
    <row r="1070" spans="1:3" x14ac:dyDescent="0.25">
      <c r="A1070" s="21" t="s">
        <v>2052</v>
      </c>
      <c r="B1070" s="21" t="s">
        <v>2052</v>
      </c>
      <c r="C1070" s="36"/>
    </row>
    <row r="1071" spans="1:3" x14ac:dyDescent="0.25">
      <c r="A1071" s="21" t="s">
        <v>2053</v>
      </c>
      <c r="B1071" s="21" t="s">
        <v>2054</v>
      </c>
      <c r="C1071" s="36"/>
    </row>
    <row r="1072" spans="1:3" x14ac:dyDescent="0.25">
      <c r="A1072" s="21" t="s">
        <v>2055</v>
      </c>
      <c r="B1072" s="21" t="s">
        <v>2056</v>
      </c>
      <c r="C1072" s="36" t="s">
        <v>2057</v>
      </c>
    </row>
    <row r="1073" spans="1:3" x14ac:dyDescent="0.25">
      <c r="A1073" s="21" t="s">
        <v>2058</v>
      </c>
      <c r="B1073" s="21" t="s">
        <v>2058</v>
      </c>
      <c r="C1073" s="36"/>
    </row>
    <row r="1074" spans="1:3" x14ac:dyDescent="0.25">
      <c r="A1074" s="21" t="s">
        <v>2059</v>
      </c>
      <c r="B1074" s="21" t="s">
        <v>2060</v>
      </c>
      <c r="C1074" s="36"/>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2865</v>
      </c>
      <c r="B1080" s="21" t="s">
        <v>2866</v>
      </c>
      <c r="C1080" s="36"/>
    </row>
    <row r="1081" spans="1:3" ht="30" x14ac:dyDescent="0.25">
      <c r="A1081" s="21" t="s">
        <v>2867</v>
      </c>
      <c r="B1081" s="21" t="s">
        <v>2866</v>
      </c>
      <c r="C1081" s="36"/>
    </row>
    <row r="1082" spans="1:3" x14ac:dyDescent="0.25">
      <c r="A1082" s="21" t="s">
        <v>2071</v>
      </c>
      <c r="B1082" s="21" t="s">
        <v>2071</v>
      </c>
      <c r="C1082" s="36"/>
    </row>
    <row r="1083" spans="1:3" x14ac:dyDescent="0.25">
      <c r="A1083" s="22" t="s">
        <v>2072</v>
      </c>
      <c r="B1083" s="22" t="s">
        <v>2073</v>
      </c>
      <c r="C1083" s="37"/>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1" t="s">
        <v>2082</v>
      </c>
      <c r="B1088" s="21" t="s">
        <v>2083</v>
      </c>
      <c r="C1088" s="36"/>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2" t="s">
        <v>2189</v>
      </c>
      <c r="B1145" s="22" t="s">
        <v>2189</v>
      </c>
      <c r="C1145" s="37"/>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1" t="s">
        <v>2199</v>
      </c>
      <c r="B1150" s="21" t="s">
        <v>2200</v>
      </c>
      <c r="C1150" s="36"/>
    </row>
    <row r="1151" spans="1:3" x14ac:dyDescent="0.25">
      <c r="A1151" s="21" t="s">
        <v>2868</v>
      </c>
      <c r="B1151" s="21" t="s">
        <v>2869</v>
      </c>
      <c r="C1151" s="36"/>
    </row>
    <row r="1152" spans="1:3" x14ac:dyDescent="0.25">
      <c r="A1152" s="21" t="s">
        <v>2201</v>
      </c>
      <c r="B1152" s="21" t="s">
        <v>2202</v>
      </c>
      <c r="C1152" s="36"/>
    </row>
    <row r="1153" spans="1:3" x14ac:dyDescent="0.25">
      <c r="A1153" s="28" t="s">
        <v>2203</v>
      </c>
      <c r="B1153" s="28" t="s">
        <v>2204</v>
      </c>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1" t="s">
        <v>2214</v>
      </c>
      <c r="B1158" s="21" t="s">
        <v>2215</v>
      </c>
      <c r="C1158" s="36"/>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2" t="s">
        <v>2240</v>
      </c>
      <c r="B1171" s="22" t="s">
        <v>2241</v>
      </c>
      <c r="C1171" s="37"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1" t="s">
        <v>2251</v>
      </c>
      <c r="C1176" s="36"/>
    </row>
    <row r="1177" spans="1:3" x14ac:dyDescent="0.25">
      <c r="A1177" s="21" t="s">
        <v>2252</v>
      </c>
      <c r="B1177" s="21" t="s">
        <v>2253</v>
      </c>
      <c r="C1177" s="36"/>
    </row>
    <row r="1178" spans="1:3" x14ac:dyDescent="0.25">
      <c r="A1178" s="22" t="s">
        <v>2254</v>
      </c>
      <c r="B1178" s="22" t="s">
        <v>2255</v>
      </c>
      <c r="C1178" s="37"/>
    </row>
    <row r="1179" spans="1:3" x14ac:dyDescent="0.25">
      <c r="A1179" s="21" t="s">
        <v>2256</v>
      </c>
      <c r="B1179" s="21" t="s">
        <v>2257</v>
      </c>
      <c r="C1179" s="36"/>
    </row>
    <row r="1180" spans="1:3" x14ac:dyDescent="0.25">
      <c r="A1180" s="21" t="s">
        <v>2258</v>
      </c>
      <c r="B1180" s="21" t="s">
        <v>2259</v>
      </c>
      <c r="C1180" s="36"/>
    </row>
    <row r="1181" spans="1:3" x14ac:dyDescent="0.25">
      <c r="A1181" s="21" t="s">
        <v>2260</v>
      </c>
      <c r="B1181" s="21" t="s">
        <v>2260</v>
      </c>
      <c r="C1181" s="36"/>
    </row>
    <row r="1182" spans="1:3" x14ac:dyDescent="0.25">
      <c r="A1182" s="21" t="s">
        <v>2261</v>
      </c>
      <c r="B1182" s="21" t="s">
        <v>2262</v>
      </c>
      <c r="C1182" s="36" t="s">
        <v>2263</v>
      </c>
    </row>
    <row r="1183" spans="1:3" x14ac:dyDescent="0.25">
      <c r="A1183" s="21" t="s">
        <v>2264</v>
      </c>
      <c r="B1183" s="21" t="s">
        <v>2265</v>
      </c>
      <c r="C1183" s="36"/>
    </row>
    <row r="1184" spans="1:3" x14ac:dyDescent="0.25">
      <c r="A1184" s="21" t="s">
        <v>2266</v>
      </c>
      <c r="B1184" s="21" t="s">
        <v>2267</v>
      </c>
      <c r="C1184" s="36"/>
    </row>
    <row r="1185" spans="1:3" x14ac:dyDescent="0.25">
      <c r="A1185" s="21" t="s">
        <v>2589</v>
      </c>
      <c r="B1185" s="21" t="s">
        <v>2590</v>
      </c>
      <c r="C1185" s="36"/>
    </row>
    <row r="1186" spans="1:3" x14ac:dyDescent="0.25">
      <c r="A1186" s="22"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2631</v>
      </c>
      <c r="B1190" s="21" t="s">
        <v>2633</v>
      </c>
      <c r="C1190" s="36"/>
    </row>
    <row r="1191" spans="1:3" x14ac:dyDescent="0.25">
      <c r="A1191" s="21"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2704</v>
      </c>
      <c r="B1208" s="21" t="s">
        <v>2704</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2784</v>
      </c>
      <c r="B1225" s="21" t="s">
        <v>2785</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7" t="s">
        <v>2379</v>
      </c>
      <c r="B1251" s="27" t="s">
        <v>2380</v>
      </c>
      <c r="C1251" s="37"/>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2" t="s">
        <v>2390</v>
      </c>
      <c r="B1255" s="22" t="s">
        <v>2390</v>
      </c>
      <c r="C1255" s="37"/>
    </row>
    <row r="1256" spans="1:3" x14ac:dyDescent="0.25">
      <c r="A1256" s="21" t="s">
        <v>2391</v>
      </c>
      <c r="B1256" s="21" t="s">
        <v>2392</v>
      </c>
      <c r="C1256" s="36"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1" t="s">
        <v>2400</v>
      </c>
      <c r="B1260" s="21" t="s">
        <v>2401</v>
      </c>
      <c r="C1260" s="36"/>
    </row>
    <row r="1261" spans="1:3" x14ac:dyDescent="0.25">
      <c r="A1261" s="21" t="s">
        <v>2402</v>
      </c>
      <c r="B1261" s="21" t="s">
        <v>2402</v>
      </c>
      <c r="C1261" s="36"/>
    </row>
    <row r="1262" spans="1:3" x14ac:dyDescent="0.25">
      <c r="A1262" s="21" t="s">
        <v>2403</v>
      </c>
      <c r="B1262" s="21" t="s">
        <v>2404</v>
      </c>
      <c r="C1262" s="36"/>
    </row>
    <row r="1263" spans="1:3" x14ac:dyDescent="0.25">
      <c r="A1263" s="28" t="s">
        <v>2405</v>
      </c>
      <c r="B1263" s="28" t="s">
        <v>2405</v>
      </c>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1" t="s">
        <v>2414</v>
      </c>
      <c r="B1268" s="21" t="s">
        <v>2415</v>
      </c>
      <c r="C1268" s="36"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2786</v>
      </c>
      <c r="B1272" s="21" t="s">
        <v>2787</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8" t="s">
        <v>2437</v>
      </c>
      <c r="B1281" s="28" t="s">
        <v>2437</v>
      </c>
    </row>
    <row r="1282" spans="1:3" x14ac:dyDescent="0.25">
      <c r="A1282" s="21" t="s">
        <v>2438</v>
      </c>
      <c r="B1282" s="21" t="s">
        <v>2439</v>
      </c>
      <c r="C1282" s="36"/>
    </row>
    <row r="1283" spans="1:3" x14ac:dyDescent="0.25">
      <c r="A1283" s="21" t="s">
        <v>2440</v>
      </c>
      <c r="B1283" s="21" t="s">
        <v>2441</v>
      </c>
      <c r="C1283" s="36"/>
    </row>
    <row r="1284" spans="1:3" x14ac:dyDescent="0.25">
      <c r="A1284" s="23" t="s">
        <v>2442</v>
      </c>
      <c r="B1284" s="21" t="s">
        <v>2443</v>
      </c>
      <c r="C1284" s="36"/>
    </row>
    <row r="1285" spans="1:3" x14ac:dyDescent="0.25">
      <c r="A1285" s="23" t="s">
        <v>2444</v>
      </c>
      <c r="B1285" s="21" t="s">
        <v>2445</v>
      </c>
      <c r="C1285" s="36"/>
    </row>
    <row r="1286" spans="1:3" x14ac:dyDescent="0.25">
      <c r="A1286" s="23" t="s">
        <v>3055</v>
      </c>
      <c r="B1286" s="21" t="s">
        <v>3055</v>
      </c>
      <c r="C1286" s="36"/>
    </row>
    <row r="1287" spans="1:3" x14ac:dyDescent="0.25">
      <c r="A1287" s="23" t="s">
        <v>2446</v>
      </c>
      <c r="B1287" s="21" t="s">
        <v>2446</v>
      </c>
      <c r="C1287" s="36" t="s">
        <v>2447</v>
      </c>
    </row>
    <row r="1288" spans="1:3" x14ac:dyDescent="0.25">
      <c r="A1288" s="23" t="s">
        <v>2448</v>
      </c>
      <c r="B1288" s="21" t="s">
        <v>2448</v>
      </c>
      <c r="C1288" s="36"/>
    </row>
    <row r="1289" spans="1:3" x14ac:dyDescent="0.25">
      <c r="A1289" s="23" t="s">
        <v>2449</v>
      </c>
      <c r="B1289" s="21" t="s">
        <v>2450</v>
      </c>
      <c r="C1289" s="36"/>
    </row>
    <row r="1290" spans="1:3" x14ac:dyDescent="0.25">
      <c r="A1290" s="22" t="s">
        <v>2451</v>
      </c>
      <c r="B1290" s="21" t="s">
        <v>2452</v>
      </c>
      <c r="C1290" s="36"/>
    </row>
    <row r="1291" spans="1:3" x14ac:dyDescent="0.25">
      <c r="A1291" s="28" t="s">
        <v>2453</v>
      </c>
      <c r="B1291" s="28" t="s">
        <v>2454</v>
      </c>
    </row>
    <row r="1292" spans="1:3" x14ac:dyDescent="0.25">
      <c r="A1292" s="21" t="s">
        <v>2455</v>
      </c>
      <c r="B1292" s="21" t="s">
        <v>2456</v>
      </c>
      <c r="C1292" s="36"/>
    </row>
    <row r="1293" spans="1:3" x14ac:dyDescent="0.25">
      <c r="A1293" s="21" t="s">
        <v>2457</v>
      </c>
      <c r="B1293" s="21" t="s">
        <v>2458</v>
      </c>
      <c r="C1293" s="36"/>
    </row>
    <row r="1294" spans="1:3" x14ac:dyDescent="0.25">
      <c r="A1294" s="21" t="s">
        <v>2459</v>
      </c>
      <c r="B1294" s="21" t="s">
        <v>2460</v>
      </c>
      <c r="C1294" s="36"/>
    </row>
    <row r="1295" spans="1:3" x14ac:dyDescent="0.25">
      <c r="A1295" s="21" t="s">
        <v>2461</v>
      </c>
      <c r="B1295" s="21" t="s">
        <v>2461</v>
      </c>
      <c r="C1295" s="36"/>
    </row>
    <row r="1296" spans="1:3" x14ac:dyDescent="0.25">
      <c r="A1296" s="21" t="s">
        <v>2462</v>
      </c>
      <c r="B1296" s="21" t="s">
        <v>2462</v>
      </c>
      <c r="C1296" s="36"/>
    </row>
    <row r="1297" spans="1:3" x14ac:dyDescent="0.25">
      <c r="A1297" s="21" t="s">
        <v>2463</v>
      </c>
      <c r="B1297" s="21" t="s">
        <v>2464</v>
      </c>
      <c r="C1297" s="36"/>
    </row>
    <row r="1298" spans="1:3" x14ac:dyDescent="0.25">
      <c r="A1298" s="21" t="s">
        <v>2465</v>
      </c>
      <c r="B1298" s="21" t="s">
        <v>2466</v>
      </c>
      <c r="C1298" s="36"/>
    </row>
    <row r="1299" spans="1:3" x14ac:dyDescent="0.25">
      <c r="A1299" s="23" t="s">
        <v>2467</v>
      </c>
      <c r="B1299" s="21" t="s">
        <v>2468</v>
      </c>
      <c r="C1299" s="36"/>
    </row>
    <row r="1300" spans="1:3" x14ac:dyDescent="0.25">
      <c r="A1300" s="23" t="s">
        <v>2469</v>
      </c>
      <c r="B1300" s="21" t="s">
        <v>2469</v>
      </c>
      <c r="C1300" s="36" t="s">
        <v>2470</v>
      </c>
    </row>
    <row r="1301" spans="1:3" x14ac:dyDescent="0.25">
      <c r="A1301" s="23" t="s">
        <v>2872</v>
      </c>
      <c r="B1301" s="21" t="s">
        <v>2872</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1" t="s">
        <v>2475</v>
      </c>
      <c r="B1304" s="21" t="s">
        <v>2476</v>
      </c>
      <c r="C1304" s="36"/>
    </row>
    <row r="1305" spans="1:3" x14ac:dyDescent="0.25">
      <c r="A1305" s="21" t="s">
        <v>2632</v>
      </c>
      <c r="B1305" s="21" t="s">
        <v>2634</v>
      </c>
      <c r="C1305" s="36"/>
    </row>
    <row r="1306" spans="1:3" x14ac:dyDescent="0.25">
      <c r="A1306" s="21"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8" t="s">
        <v>2495</v>
      </c>
      <c r="B1316" s="28" t="s">
        <v>2496</v>
      </c>
      <c r="C1316" s="36"/>
    </row>
    <row r="1317" spans="1:3" x14ac:dyDescent="0.25">
      <c r="A1317" s="28" t="s">
        <v>2497</v>
      </c>
      <c r="B1317" s="28" t="s">
        <v>2497</v>
      </c>
      <c r="C1317" s="39" t="s">
        <v>2498</v>
      </c>
    </row>
    <row r="1318" spans="1:3" x14ac:dyDescent="0.25">
      <c r="A1318" s="28" t="s">
        <v>2499</v>
      </c>
      <c r="B1318" s="28" t="s">
        <v>2499</v>
      </c>
      <c r="C1318" s="39" t="s">
        <v>2500</v>
      </c>
    </row>
    <row r="1319" spans="1:3" x14ac:dyDescent="0.25">
      <c r="A1319" s="28" t="s">
        <v>102</v>
      </c>
      <c r="B1319" s="28" t="s">
        <v>2501</v>
      </c>
    </row>
    <row r="1320" spans="1:3" x14ac:dyDescent="0.25">
      <c r="A1320" s="28" t="s">
        <v>107</v>
      </c>
      <c r="B1320" s="28" t="s">
        <v>2502</v>
      </c>
    </row>
    <row r="1321" spans="1:3" x14ac:dyDescent="0.25">
      <c r="A1321" s="28" t="s">
        <v>2503</v>
      </c>
      <c r="B1321" s="28" t="s">
        <v>2504</v>
      </c>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2788</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password="D3ED"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C9" sqref="C9"/>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11"/>
      <c r="E1" s="52" t="s">
        <v>2627</v>
      </c>
      <c r="G1" s="11"/>
    </row>
    <row r="2" spans="1:7" x14ac:dyDescent="0.25">
      <c r="A2" s="11" t="s">
        <v>2295</v>
      </c>
      <c r="B2" s="47" t="s">
        <v>549</v>
      </c>
      <c r="C2" s="11" t="s">
        <v>2599</v>
      </c>
      <c r="E2" s="53"/>
    </row>
    <row r="3" spans="1:7" x14ac:dyDescent="0.25">
      <c r="A3" t="s">
        <v>2664</v>
      </c>
      <c r="B3" s="17" t="s">
        <v>2657</v>
      </c>
      <c r="C3" t="s">
        <v>2657</v>
      </c>
      <c r="E3" s="53"/>
    </row>
    <row r="4" spans="1:7" x14ac:dyDescent="0.25">
      <c r="A4" t="s">
        <v>2405</v>
      </c>
      <c r="B4" s="17" t="s">
        <v>2665</v>
      </c>
      <c r="C4" t="s">
        <v>2665</v>
      </c>
      <c r="E4" s="53"/>
    </row>
    <row r="5" spans="1:7" x14ac:dyDescent="0.25">
      <c r="A5" t="s">
        <v>2616</v>
      </c>
      <c r="B5" s="17" t="s">
        <v>2676</v>
      </c>
      <c r="C5" t="s">
        <v>2676</v>
      </c>
      <c r="E5" s="53"/>
    </row>
    <row r="6" spans="1:7" x14ac:dyDescent="0.25">
      <c r="A6" t="s">
        <v>2405</v>
      </c>
      <c r="B6" s="17" t="s">
        <v>2685</v>
      </c>
      <c r="C6" t="s">
        <v>2686</v>
      </c>
      <c r="E6" s="53"/>
    </row>
    <row r="7" spans="1:7" x14ac:dyDescent="0.25">
      <c r="A7" t="s">
        <v>2405</v>
      </c>
      <c r="B7" s="17" t="s">
        <v>2703</v>
      </c>
      <c r="C7" t="s">
        <v>2704</v>
      </c>
      <c r="E7" s="53"/>
    </row>
    <row r="8" spans="1:7" x14ac:dyDescent="0.25">
      <c r="A8" t="s">
        <v>2405</v>
      </c>
      <c r="B8" s="17" t="s">
        <v>2713</v>
      </c>
      <c r="C8" t="s">
        <v>2713</v>
      </c>
      <c r="E8" s="53"/>
    </row>
    <row r="9" spans="1:7" x14ac:dyDescent="0.25">
      <c r="A9" t="s">
        <v>2405</v>
      </c>
      <c r="B9" s="17" t="s">
        <v>2723</v>
      </c>
      <c r="C9" t="s">
        <v>2724</v>
      </c>
      <c r="E9" s="53"/>
    </row>
    <row r="10" spans="1:7" x14ac:dyDescent="0.25">
      <c r="A10" t="s">
        <v>2664</v>
      </c>
      <c r="B10" t="s">
        <v>2791</v>
      </c>
      <c r="C10" t="s">
        <v>2792</v>
      </c>
      <c r="E10" s="53"/>
    </row>
    <row r="11" spans="1:7" x14ac:dyDescent="0.25">
      <c r="A11" t="s">
        <v>2664</v>
      </c>
      <c r="B11" s="17" t="s">
        <v>2791</v>
      </c>
      <c r="C11" t="s">
        <v>2793</v>
      </c>
      <c r="E11" s="53"/>
    </row>
    <row r="12" spans="1:7" x14ac:dyDescent="0.25">
      <c r="A12" t="s">
        <v>2405</v>
      </c>
      <c r="B12" s="17" t="s">
        <v>2723</v>
      </c>
      <c r="C12" t="s">
        <v>2842</v>
      </c>
      <c r="E12" s="53"/>
    </row>
    <row r="13" spans="1:7" x14ac:dyDescent="0.25">
      <c r="A13" t="s">
        <v>2405</v>
      </c>
      <c r="B13" s="17" t="s">
        <v>2799</v>
      </c>
      <c r="C13" t="s">
        <v>2799</v>
      </c>
      <c r="E13" s="53"/>
    </row>
    <row r="14" spans="1:7" x14ac:dyDescent="0.25">
      <c r="A14" t="s">
        <v>2405</v>
      </c>
      <c r="B14" s="17" t="s">
        <v>2801</v>
      </c>
      <c r="C14" t="s">
        <v>2802</v>
      </c>
      <c r="E14" s="53"/>
    </row>
    <row r="15" spans="1:7" x14ac:dyDescent="0.25">
      <c r="A15" t="s">
        <v>2405</v>
      </c>
      <c r="B15" t="s">
        <v>2870</v>
      </c>
      <c r="C15" t="s">
        <v>2872</v>
      </c>
      <c r="E15" s="53"/>
    </row>
    <row r="16" spans="1:7" x14ac:dyDescent="0.25">
      <c r="A16" t="s">
        <v>2664</v>
      </c>
      <c r="B16" t="s">
        <v>2791</v>
      </c>
      <c r="C16" t="s">
        <v>3241</v>
      </c>
      <c r="E16" s="54"/>
    </row>
    <row r="17" spans="1:5" x14ac:dyDescent="0.25">
      <c r="A17" t="s">
        <v>2405</v>
      </c>
      <c r="B17" s="17" t="s">
        <v>2626</v>
      </c>
      <c r="C17" t="s">
        <v>3124</v>
      </c>
      <c r="E17" s="54"/>
    </row>
    <row r="18" spans="1:5" x14ac:dyDescent="0.25">
      <c r="A18" t="s">
        <v>2405</v>
      </c>
      <c r="B18" s="17" t="s">
        <v>2626</v>
      </c>
      <c r="C18" t="s">
        <v>3131</v>
      </c>
      <c r="E18" s="54"/>
    </row>
    <row r="19" spans="1:5" x14ac:dyDescent="0.25">
      <c r="A19" t="s">
        <v>2405</v>
      </c>
      <c r="B19" s="17" t="s">
        <v>2626</v>
      </c>
      <c r="C19" t="s">
        <v>3184</v>
      </c>
      <c r="E19" s="54"/>
    </row>
    <row r="20" spans="1:5" x14ac:dyDescent="0.25">
      <c r="A20" t="s">
        <v>2405</v>
      </c>
      <c r="B20" s="17" t="s">
        <v>2626</v>
      </c>
      <c r="C20" t="s">
        <v>3168</v>
      </c>
      <c r="E20" s="54"/>
    </row>
    <row r="21" spans="1:5" x14ac:dyDescent="0.25">
      <c r="A21" t="s">
        <v>2405</v>
      </c>
      <c r="B21" s="17" t="s">
        <v>2626</v>
      </c>
      <c r="C21" t="s">
        <v>3146</v>
      </c>
      <c r="E21" s="54"/>
    </row>
    <row r="22" spans="1:5" x14ac:dyDescent="0.25">
      <c r="A22" t="s">
        <v>2405</v>
      </c>
      <c r="B22" s="17" t="s">
        <v>2626</v>
      </c>
      <c r="C22" t="s">
        <v>3196</v>
      </c>
      <c r="E22" s="54"/>
    </row>
    <row r="23" spans="1:5" x14ac:dyDescent="0.25">
      <c r="A23" t="s">
        <v>2405</v>
      </c>
      <c r="B23" s="17" t="s">
        <v>2723</v>
      </c>
      <c r="C23" t="s">
        <v>3365</v>
      </c>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2"/>
  <sheetViews>
    <sheetView workbookViewId="0">
      <selection activeCell="B11" sqref="B11"/>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2885</v>
      </c>
      <c r="B1" s="72" t="s">
        <v>2886</v>
      </c>
      <c r="C1" s="72" t="s">
        <v>2887</v>
      </c>
      <c r="D1" s="72" t="s">
        <v>2883</v>
      </c>
      <c r="E1" s="72" t="s">
        <v>2884</v>
      </c>
    </row>
    <row r="2" spans="1:5" x14ac:dyDescent="0.25">
      <c r="D2" t="s">
        <v>3390</v>
      </c>
    </row>
  </sheetData>
  <sheetProtection password="D3ED"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2018-03-05T11:26:22Z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