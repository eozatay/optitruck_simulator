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136D6CDF-BE01-C141-98FE-85598C26D293}" xr6:coauthVersionLast="32" xr6:coauthVersionMax="32" xr10:uidLastSave="{00000000-0000-0000-0000-000000000000}"/>
  <bookViews>
    <workbookView xWindow="0" yWindow="460" windowWidth="31980" windowHeight="14460" tabRatio="733" firstSheet="1" activeTab="7"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BG2" i="3"/>
  <c r="G2" i="3"/>
  <c r="R2" i="3"/>
  <c r="AY2" i="3"/>
  <c r="BA2" i="3"/>
  <c r="AI2" i="3"/>
  <c r="X2" i="3"/>
  <c r="V2" i="3"/>
  <c r="S2" i="3"/>
  <c r="J2" i="3"/>
  <c r="AK2" i="3"/>
  <c r="AF2" i="3"/>
  <c r="AB2" i="3"/>
  <c r="D2" i="3"/>
  <c r="Z2" i="3"/>
  <c r="AO2" i="3"/>
  <c r="AN2" i="3"/>
  <c r="BH2" i="3"/>
  <c r="AJ2" i="3"/>
  <c r="K2" i="3"/>
  <c r="AG2" i="3"/>
  <c r="AV2" i="3"/>
  <c r="Y2" i="3"/>
  <c r="AH2" i="3"/>
  <c r="F2" i="3"/>
  <c r="BK2" i="3"/>
  <c r="AR2" i="3"/>
  <c r="Q2" i="3"/>
  <c r="BI2" i="3"/>
  <c r="L2" i="3"/>
  <c r="AZ2" i="3"/>
  <c r="BE2" i="3"/>
  <c r="N2" i="3"/>
  <c r="BJ2" i="3"/>
  <c r="P2" i="3"/>
  <c r="AW2" i="3"/>
  <c r="AS2" i="3"/>
  <c r="AU2" i="3"/>
  <c r="BB2" i="3"/>
  <c r="BC2" i="3"/>
  <c r="AC2" i="3"/>
  <c r="O2" i="3"/>
  <c r="AP2" i="3"/>
  <c r="I2" i="3"/>
  <c r="AA2" i="3"/>
  <c r="AX2" i="3"/>
  <c r="AL2" i="3"/>
  <c r="T2" i="3"/>
  <c r="AE2" i="3"/>
  <c r="AM2" i="3"/>
  <c r="M2" i="3"/>
  <c r="AT2" i="3"/>
  <c r="BF2" i="3"/>
  <c r="BD2" i="3"/>
  <c r="W2" i="3"/>
  <c r="AD2" i="3"/>
  <c r="U2" i="3"/>
  <c r="AQ2" i="3"/>
  <c r="E2" i="3"/>
  <c r="H2" i="3"/>
  <c r="F9" i="5" l="1"/>
  <c r="F3" i="5"/>
  <c r="F2" i="5"/>
  <c r="F6" i="5"/>
  <c r="F8" i="5"/>
  <c r="F4" i="5"/>
  <c r="F5" i="5"/>
  <c r="F7" i="5"/>
</calcChain>
</file>

<file path=xl/sharedStrings.xml><?xml version="1.0" encoding="utf-8"?>
<sst xmlns="http://schemas.openxmlformats.org/spreadsheetml/2006/main" count="10860" uniqueCount="4200">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</sst>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4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1206500</xdr:colOff>
          <xdr:row>1</xdr:row>
          <xdr:rowOff>368300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901700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11"/>
  <sheetViews>
    <sheetView zoomScale="85" zoomScaleNormal="85" zoomScalePageLayoutView="80" workbookViewId="0">
      <pane ySplit="2" topLeftCell="A434" activePane="bottomLeft" state="frozen"/>
      <selection pane="bottomLeft" activeCell="A429" sqref="A429:R461"/>
    </sheetView>
  </sheetViews>
  <sheetFormatPr baseColWidth="10" defaultColWidth="11.5" defaultRowHeight="15" x14ac:dyDescent="0.2"/>
  <cols>
    <col min="1" max="1" width="83.66406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
      <c r="M462" s="17"/>
      <c r="N462" s="17"/>
      <c r="O462" s="17"/>
    </row>
    <row r="463" spans="1:18" x14ac:dyDescent="0.2">
      <c r="M463" s="17"/>
      <c r="N463" s="17"/>
      <c r="O463" s="17"/>
    </row>
    <row r="464" spans="1:18"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sheetData>
  <sheetProtection algorithmName="SHA-512" hashValue="TdSyPYXqvNJoUhIR9dnyGcQV1mIbdRzPhmufkjEx94sLAy2rwZCLebJVfUEpYH6X6rQULU2uXYJQJZXoYSggtg==" saltValue="o+4EFG4uFxsMbN8kj4obQg==" spinCount="100000" sheet="1" objects="1" scenarios="1" autoFilter="0"/>
  <autoFilter ref="A2:Q428"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101600</xdr:colOff>
                    <xdr:row>0</xdr:row>
                    <xdr:rowOff>101600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66"/>
  <sheetViews>
    <sheetView zoomScale="70" zoomScaleNormal="70" zoomScalePageLayoutView="70" workbookViewId="0">
      <pane xSplit="1" ySplit="2" topLeftCell="B282" activePane="bottomRight" state="frozen"/>
      <selection pane="topRight" activeCell="B1" sqref="B1"/>
      <selection pane="bottomLeft" activeCell="A3" sqref="A3"/>
      <selection pane="bottomRight" activeCell="A416" sqref="A416:XFD416"/>
    </sheetView>
  </sheetViews>
  <sheetFormatPr baseColWidth="10" defaultColWidth="11.5" defaultRowHeight="15" x14ac:dyDescent="0.2"/>
  <cols>
    <col min="1" max="1" width="53.5" customWidth="1"/>
    <col min="2" max="2" width="4.5" customWidth="1"/>
    <col min="3" max="3" width="5.5" customWidth="1"/>
    <col min="4" max="28" width="11.6640625" customWidth="1"/>
    <col min="29" max="29" width="21.1640625" customWidth="1"/>
    <col min="30" max="30" width="19.1640625" customWidth="1"/>
    <col min="31" max="32" width="11.6640625" customWidth="1"/>
    <col min="33" max="38" width="11.5" customWidth="1"/>
    <col min="39" max="39" width="59.33203125" customWidth="1"/>
    <col min="40" max="40" width="34" customWidth="1"/>
  </cols>
  <sheetData>
    <row r="1" spans="1:65" ht="19" x14ac:dyDescent="0.2">
      <c r="A1" s="83" t="s">
        <v>5</v>
      </c>
      <c r="B1" s="85" t="s">
        <v>1264</v>
      </c>
      <c r="C1" s="85" t="s">
        <v>1644</v>
      </c>
      <c r="D1" s="48"/>
      <c r="E1" s="48"/>
      <c r="F1" s="48"/>
      <c r="G1" s="48"/>
      <c r="H1" s="48"/>
      <c r="I1" s="48"/>
      <c r="J1" s="48"/>
      <c r="K1" s="48"/>
      <c r="L1" s="48"/>
      <c r="M1" s="48"/>
    </row>
    <row r="2" spans="1:65" s="49" customFormat="1" ht="47" customHeight="1" x14ac:dyDescent="0.2">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5" customHeight="1"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5" customHeight="1" x14ac:dyDescent="0.2">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5" customHeight="1"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5" customHeight="1" x14ac:dyDescent="0.2">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5" customHeight="1" x14ac:dyDescent="0.2">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5" customHeight="1" x14ac:dyDescent="0.2">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5" customHeight="1" x14ac:dyDescent="0.2">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5" customHeight="1" x14ac:dyDescent="0.2">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5" customHeight="1" x14ac:dyDescent="0.2">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5" customHeight="1" x14ac:dyDescent="0.2">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5" customHeight="1" x14ac:dyDescent="0.2">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5" customHeight="1" x14ac:dyDescent="0.2">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5" customHeight="1" x14ac:dyDescent="0.2">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5" customHeight="1" x14ac:dyDescent="0.2">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5" customHeight="1" x14ac:dyDescent="0.2">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5" customHeight="1" x14ac:dyDescent="0.2">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5" customHeight="1" x14ac:dyDescent="0.2">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5" customHeight="1" x14ac:dyDescent="0.2">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5" customHeight="1" x14ac:dyDescent="0.2">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5" customHeight="1" x14ac:dyDescent="0.2">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5" customHeight="1" x14ac:dyDescent="0.2">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5" customHeight="1" x14ac:dyDescent="0.2">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5" customHeight="1" x14ac:dyDescent="0.2">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5" customHeight="1" x14ac:dyDescent="0.2">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5" customHeight="1" x14ac:dyDescent="0.2">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5" customHeight="1" x14ac:dyDescent="0.2">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5" customHeight="1" x14ac:dyDescent="0.2">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5" customHeight="1" x14ac:dyDescent="0.2">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5" customHeight="1" x14ac:dyDescent="0.2">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5" customHeight="1" x14ac:dyDescent="0.2">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5" customHeight="1" x14ac:dyDescent="0.2">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5" customHeight="1" x14ac:dyDescent="0.2">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5" customHeight="1" x14ac:dyDescent="0.2">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5" customHeight="1" x14ac:dyDescent="0.2">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5" customHeight="1" x14ac:dyDescent="0.2">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5" customHeight="1" x14ac:dyDescent="0.2">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5" customHeight="1" x14ac:dyDescent="0.2">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5" customHeight="1" x14ac:dyDescent="0.2">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5" customHeight="1" x14ac:dyDescent="0.2">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5" customHeight="1" x14ac:dyDescent="0.2">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5" customHeight="1" x14ac:dyDescent="0.2">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5" customHeight="1" x14ac:dyDescent="0.2">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5" customHeight="1" x14ac:dyDescent="0.2">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5" customHeight="1" x14ac:dyDescent="0.2">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5" customHeight="1" x14ac:dyDescent="0.2">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5" customHeight="1" x14ac:dyDescent="0.2">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5" customHeight="1" x14ac:dyDescent="0.2">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5" customHeight="1" x14ac:dyDescent="0.2">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5" customHeight="1" x14ac:dyDescent="0.2">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5" customHeight="1" x14ac:dyDescent="0.2">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5" customHeight="1" x14ac:dyDescent="0.2">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5" customHeight="1" x14ac:dyDescent="0.2">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5" customHeight="1" x14ac:dyDescent="0.2">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5" customHeight="1" x14ac:dyDescent="0.2">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5" customHeight="1" x14ac:dyDescent="0.2">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5" customHeight="1" x14ac:dyDescent="0.2">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5" customHeight="1" x14ac:dyDescent="0.2">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5" customHeight="1" x14ac:dyDescent="0.2">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5" customHeight="1" x14ac:dyDescent="0.2">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5" customHeight="1" x14ac:dyDescent="0.2">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5" customHeight="1" x14ac:dyDescent="0.2">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5" customHeight="1" x14ac:dyDescent="0.2">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5" customHeight="1" x14ac:dyDescent="0.2">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5" customHeight="1" x14ac:dyDescent="0.2">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5" customHeight="1" x14ac:dyDescent="0.2">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5" customHeight="1" x14ac:dyDescent="0.2">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5" customHeight="1" x14ac:dyDescent="0.2">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5" customHeight="1" x14ac:dyDescent="0.2">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5" customHeight="1" x14ac:dyDescent="0.2">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5" customHeight="1" x14ac:dyDescent="0.2">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5" customHeight="1" x14ac:dyDescent="0.2">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5" customHeight="1" x14ac:dyDescent="0.2">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5" customHeight="1" x14ac:dyDescent="0.2">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5" customHeight="1" x14ac:dyDescent="0.2">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5" customHeight="1" x14ac:dyDescent="0.2">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5" customHeight="1" x14ac:dyDescent="0.2">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5" customHeight="1" x14ac:dyDescent="0.2">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5" customHeight="1" x14ac:dyDescent="0.2">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5" customHeight="1" x14ac:dyDescent="0.2">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5" customHeight="1" x14ac:dyDescent="0.2">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5" customHeight="1" x14ac:dyDescent="0.2">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5" customHeight="1" x14ac:dyDescent="0.2">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5" customHeight="1" x14ac:dyDescent="0.2">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5" customHeight="1" x14ac:dyDescent="0.2">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5" customHeight="1" x14ac:dyDescent="0.2">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5" customHeight="1" x14ac:dyDescent="0.2">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5" customHeight="1" x14ac:dyDescent="0.2">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5" customHeight="1" x14ac:dyDescent="0.2">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5" customHeight="1" x14ac:dyDescent="0.2">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5" customHeight="1" x14ac:dyDescent="0.2">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5" customHeight="1" x14ac:dyDescent="0.2">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5" customHeight="1" x14ac:dyDescent="0.2">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5" customHeight="1" x14ac:dyDescent="0.2">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5" customHeight="1" x14ac:dyDescent="0.2">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5" customHeight="1" x14ac:dyDescent="0.2">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5" customHeight="1" x14ac:dyDescent="0.2">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5" customHeight="1" x14ac:dyDescent="0.2">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5" customHeight="1" x14ac:dyDescent="0.2">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5" customHeight="1" x14ac:dyDescent="0.2">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5" customHeight="1" x14ac:dyDescent="0.2">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5" customHeight="1" x14ac:dyDescent="0.2">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5" customHeight="1" x14ac:dyDescent="0.2">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5" customHeight="1" x14ac:dyDescent="0.2">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5" customHeight="1" x14ac:dyDescent="0.2">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5" customHeight="1" x14ac:dyDescent="0.2">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5" customHeight="1" x14ac:dyDescent="0.2">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5" customHeight="1" x14ac:dyDescent="0.2">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5" customHeight="1" x14ac:dyDescent="0.2">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5" customHeight="1" x14ac:dyDescent="0.2">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5" customHeight="1" x14ac:dyDescent="0.2">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5" customHeight="1" x14ac:dyDescent="0.2">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5" customHeight="1" x14ac:dyDescent="0.2">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5" customHeight="1" x14ac:dyDescent="0.2">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5" customHeight="1" x14ac:dyDescent="0.2">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5" customHeight="1" x14ac:dyDescent="0.2">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5" customHeight="1" x14ac:dyDescent="0.2">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5" customHeight="1" x14ac:dyDescent="0.2">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5" customHeight="1" x14ac:dyDescent="0.2">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5" customHeight="1" x14ac:dyDescent="0.2">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5" customHeight="1" x14ac:dyDescent="0.2">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5" customHeight="1" x14ac:dyDescent="0.2">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5" customHeight="1" x14ac:dyDescent="0.2">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5" customHeight="1" x14ac:dyDescent="0.2">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5" customHeight="1" x14ac:dyDescent="0.2">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5" customHeight="1" x14ac:dyDescent="0.2">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5" customHeight="1" x14ac:dyDescent="0.2">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5" customHeight="1" x14ac:dyDescent="0.2">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5" customHeight="1" x14ac:dyDescent="0.2">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5" customHeight="1" x14ac:dyDescent="0.2">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5" customHeight="1" x14ac:dyDescent="0.2">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5" customHeight="1" x14ac:dyDescent="0.2">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5" customHeight="1" x14ac:dyDescent="0.2">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5" customHeight="1" x14ac:dyDescent="0.2">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5" customHeight="1" x14ac:dyDescent="0.2">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5" customHeight="1" x14ac:dyDescent="0.2">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5" customHeight="1" x14ac:dyDescent="0.2">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5" customHeight="1" x14ac:dyDescent="0.2">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5" customHeight="1" x14ac:dyDescent="0.2">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5" customHeight="1" x14ac:dyDescent="0.2">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5" customHeight="1" x14ac:dyDescent="0.2">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5" customHeight="1" x14ac:dyDescent="0.2">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5" customHeight="1" x14ac:dyDescent="0.2">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5" customHeight="1" x14ac:dyDescent="0.2">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5" customHeight="1" x14ac:dyDescent="0.2">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5" customHeight="1" x14ac:dyDescent="0.2">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5" customHeight="1" x14ac:dyDescent="0.2">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5" customHeight="1" x14ac:dyDescent="0.2">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5" customHeight="1" x14ac:dyDescent="0.2">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5" customHeight="1" x14ac:dyDescent="0.2">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5" customHeight="1" x14ac:dyDescent="0.2">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5" customHeight="1" x14ac:dyDescent="0.2">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5" customHeight="1" x14ac:dyDescent="0.2">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5" customHeight="1" x14ac:dyDescent="0.2">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5" customHeight="1" x14ac:dyDescent="0.2">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5" customHeight="1" x14ac:dyDescent="0.2">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5" customHeight="1" x14ac:dyDescent="0.2">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5" customHeight="1" x14ac:dyDescent="0.2">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5" customHeight="1" x14ac:dyDescent="0.2">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5" customHeight="1" x14ac:dyDescent="0.2">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5" customHeight="1" x14ac:dyDescent="0.2">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5" customHeight="1" x14ac:dyDescent="0.2">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5" customHeight="1" x14ac:dyDescent="0.2">
      <c r="A164" s="9" t="str">
        <f>IF(ISBLANK('Signal Definition'!J164),"",'Signal Definition'!J164)</f>
        <v>ElecSys_nGenr_PHY</v>
      </c>
      <c r="B164" s="9">
        <f t="array" ref="B164">COUNT(FIND("input",$D164:$BY164))</f>
        <v>1</v>
      </c>
      <c r="C164" s="9">
        <f t="array" ref="C164">COUNT(FIND("output",$D164:$BY164))</f>
        <v>1</v>
      </c>
      <c r="T164" t="s">
        <v>2661</v>
      </c>
      <c r="V164" t="s">
        <v>2670</v>
      </c>
    </row>
    <row r="165" spans="1:26" ht="14.5" customHeight="1" x14ac:dyDescent="0.2">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5" customHeight="1" x14ac:dyDescent="0.2">
      <c r="A166" s="9" t="str">
        <f>IF(ISBLANK('Signal Definition'!J166),"",'Signal Definition'!J166)</f>
        <v>AirCdn_pwrRqrdMecl_PHY</v>
      </c>
      <c r="B166" s="9">
        <f t="array" ref="B166">COUNT(FIND("input",$D166:$BY166))</f>
        <v>0</v>
      </c>
      <c r="C166" s="9">
        <f t="array" ref="C166">COUNT(FIND("output",$D166:$BY166))</f>
        <v>1</v>
      </c>
      <c r="Q166" t="s">
        <v>2661</v>
      </c>
    </row>
    <row r="167" spans="1:26" ht="14.5" customHeight="1" x14ac:dyDescent="0.2">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5" customHeight="1" x14ac:dyDescent="0.2">
      <c r="A168" s="9" t="str">
        <f>IF(ISBLANK('Signal Definition'!J168),"",'Signal Definition'!J168)</f>
        <v>AuxTqSum_jAuxJSum_PHY</v>
      </c>
      <c r="B168" s="9">
        <f t="array" ref="B168">COUNT(FIND("input",$D168:$BY168))</f>
        <v>0</v>
      </c>
      <c r="C168" s="9">
        <f t="array" ref="C168">COUNT(FIND("output",$D168:$BY168))</f>
        <v>1</v>
      </c>
      <c r="W168" t="s">
        <v>2661</v>
      </c>
    </row>
    <row r="169" spans="1:26" ht="14.5" customHeight="1" x14ac:dyDescent="0.2">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5" customHeight="1" x14ac:dyDescent="0.2">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5" customHeight="1" x14ac:dyDescent="0.2">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5" customHeight="1" x14ac:dyDescent="0.2">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5" customHeight="1" x14ac:dyDescent="0.2">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5" customHeight="1" x14ac:dyDescent="0.2">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5" customHeight="1" x14ac:dyDescent="0.2">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5" customHeight="1" x14ac:dyDescent="0.2">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5" customHeight="1" x14ac:dyDescent="0.2">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5" customHeight="1" x14ac:dyDescent="0.2">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5" customHeight="1" x14ac:dyDescent="0.2">
      <c r="A179" s="9" t="str">
        <f>IF(ISBLANK('Signal Definition'!J179),"",'Signal Definition'!J179)</f>
        <v>CoolgFan_trqCoolgFan_PHY</v>
      </c>
      <c r="B179" s="9">
        <f t="array" ref="B179">COUNT(FIND("input",$D179:$BY179))</f>
        <v>0</v>
      </c>
      <c r="C179" s="9">
        <f t="array" ref="C179">COUNT(FIND("output",$D179:$BY179))</f>
        <v>1</v>
      </c>
      <c r="R179" t="s">
        <v>2661</v>
      </c>
    </row>
    <row r="180" spans="1:23" ht="14.5" customHeight="1" x14ac:dyDescent="0.2">
      <c r="A180" s="9" t="str">
        <f>IF(ISBLANK('Signal Definition'!J180),"",'Signal Definition'!J180)</f>
        <v>ElecSys_pwrBattPwr_PHY</v>
      </c>
      <c r="B180" s="9">
        <f t="array" ref="B180">COUNT(FIND("input",$D180:$BY180))</f>
        <v>0</v>
      </c>
      <c r="C180" s="9">
        <f t="array" ref="C180">COUNT(FIND("output",$D180:$BY180))</f>
        <v>1</v>
      </c>
      <c r="T180" t="s">
        <v>2661</v>
      </c>
    </row>
    <row r="181" spans="1:23" ht="14.5" customHeight="1" x14ac:dyDescent="0.2">
      <c r="A181" s="9" t="str">
        <f>IF(ISBLANK('Signal Definition'!J181),"",'Signal Definition'!J181)</f>
        <v>ElecSys_uBattTerminalU_PHY</v>
      </c>
      <c r="B181" s="9">
        <f t="array" ref="B181">COUNT(FIND("input",$D181:$BY181))</f>
        <v>0</v>
      </c>
      <c r="C181" s="9">
        <f t="array" ref="C181">COUNT(FIND("output",$D181:$BY181))</f>
        <v>1</v>
      </c>
      <c r="T181" t="s">
        <v>2661</v>
      </c>
    </row>
    <row r="182" spans="1:23" ht="14.5" customHeight="1" x14ac:dyDescent="0.2">
      <c r="A182" s="9" t="str">
        <f>IF(ISBLANK('Signal Definition'!J182),"",'Signal Definition'!J182)</f>
        <v>ElecSys_chrgBattChrg_PHY</v>
      </c>
      <c r="B182" s="9">
        <f t="array" ref="B182">COUNT(FIND("input",$D182:$BY182))</f>
        <v>0</v>
      </c>
      <c r="C182" s="9">
        <f t="array" ref="C182">COUNT(FIND("output",$D182:$BY182))</f>
        <v>1</v>
      </c>
      <c r="T182" t="s">
        <v>2661</v>
      </c>
    </row>
    <row r="183" spans="1:23" ht="14.5" customHeight="1" x14ac:dyDescent="0.2">
      <c r="A183" s="9" t="str">
        <f>IF(ISBLANK('Signal Definition'!J183),"",'Signal Definition'!J183)</f>
        <v>ElecSys_tBattT_PHY</v>
      </c>
      <c r="B183" s="9">
        <f t="array" ref="B183">COUNT(FIND("input",$D183:$BY183))</f>
        <v>0</v>
      </c>
      <c r="C183" s="9">
        <f t="array" ref="C183">COUNT(FIND("output",$D183:$BY183))</f>
        <v>1</v>
      </c>
      <c r="T183" t="s">
        <v>2661</v>
      </c>
    </row>
    <row r="184" spans="1:23" ht="14.5" customHeight="1" x14ac:dyDescent="0.2">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5" customHeight="1" x14ac:dyDescent="0.2">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5" customHeight="1" x14ac:dyDescent="0.2">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5" customHeight="1" x14ac:dyDescent="0.2">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5" customHeight="1" x14ac:dyDescent="0.2">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5" customHeight="1" x14ac:dyDescent="0.2">
      <c r="A189" s="9" t="str">
        <f>IF(ISBLANK('Signal Definition'!J189),"",'Signal Definition'!J189)</f>
        <v>ElecSys_pwrMotGenrElecPwr_PHY</v>
      </c>
      <c r="B189" s="9">
        <f t="array" ref="B189">COUNT(FIND("input",$D189:$BY189))</f>
        <v>0</v>
      </c>
      <c r="C189" s="9">
        <f t="array" ref="C189">COUNT(FIND("output",$D189:$BY189))</f>
        <v>1</v>
      </c>
      <c r="T189" t="s">
        <v>2661</v>
      </c>
    </row>
    <row r="190" spans="1:23" ht="14.5" customHeight="1" x14ac:dyDescent="0.2">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5" customHeight="1" x14ac:dyDescent="0.2">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5" customHeight="1" x14ac:dyDescent="0.2">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5" customHeight="1" x14ac:dyDescent="0.2">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5" customHeight="1" x14ac:dyDescent="0.2">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5" customHeight="1" x14ac:dyDescent="0.2">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5" customHeight="1" x14ac:dyDescent="0.2">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5" customHeight="1" x14ac:dyDescent="0.2">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5" customHeight="1" x14ac:dyDescent="0.2">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5" customHeight="1" x14ac:dyDescent="0.2">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5" customHeight="1" x14ac:dyDescent="0.2">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5" customHeight="1" x14ac:dyDescent="0.2">
      <c r="A201" s="9" t="str">
        <f>IF(ISBLANK('Signal Definition'!J201),"",'Signal Definition'!J201)</f>
        <v>ECU_trqEstimdTotAux_PHY</v>
      </c>
      <c r="B201" s="9">
        <f t="array" ref="B201">COUNT(FIND("input",$D201:$BY201))</f>
        <v>0</v>
      </c>
      <c r="C201" s="9">
        <f t="array" ref="C201">COUNT(FIND("output",$D201:$BY201))</f>
        <v>1</v>
      </c>
      <c r="J201" t="s">
        <v>2661</v>
      </c>
    </row>
    <row r="202" spans="1:41" ht="14.5" customHeight="1" x14ac:dyDescent="0.2">
      <c r="A202" s="9" t="str">
        <f>IF(ISBLANK('Signal Definition'!J202),"",'Signal Definition'!J202)</f>
        <v>AuxCtrl_tCooltSp_PHY</v>
      </c>
      <c r="B202" s="9">
        <f t="array" ref="B202">COUNT(FIND("input",$D202:$BY202))</f>
        <v>1</v>
      </c>
      <c r="C202" s="9">
        <f t="array" ref="C202">COUNT(FIND("output",$D202:$BY202))</f>
        <v>1</v>
      </c>
      <c r="N202" t="s">
        <v>2661</v>
      </c>
      <c r="V202" t="s">
        <v>2670</v>
      </c>
    </row>
    <row r="203" spans="1:41" ht="14.5" customHeight="1" x14ac:dyDescent="0.2">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5" customHeight="1" x14ac:dyDescent="0.2">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5" customHeight="1" x14ac:dyDescent="0.2">
      <c r="A205" s="9" t="str">
        <f>IF(ISBLANK('Signal Definition'!J205),"",'Signal Definition'!J205)</f>
        <v>AuxCtrl_tIntrTSp_PHY</v>
      </c>
      <c r="B205" s="9">
        <f t="array" ref="B205">COUNT(FIND("input",$D205:$BY205))</f>
        <v>1</v>
      </c>
      <c r="C205" s="9">
        <f t="array" ref="C205">COUNT(FIND("output",$D205:$BY205))</f>
        <v>1</v>
      </c>
      <c r="N205" t="s">
        <v>2661</v>
      </c>
      <c r="V205" t="s">
        <v>2670</v>
      </c>
    </row>
    <row r="206" spans="1:41" ht="14.5" customHeight="1" x14ac:dyDescent="0.2">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5" customHeight="1" x14ac:dyDescent="0.2">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5" customHeight="1" x14ac:dyDescent="0.2">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5" customHeight="1" x14ac:dyDescent="0.2">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5" customHeight="1" x14ac:dyDescent="0.2">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5" customHeight="1" x14ac:dyDescent="0.2">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5" customHeight="1" x14ac:dyDescent="0.2">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5" customHeight="1" x14ac:dyDescent="0.2">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5" customHeight="1" x14ac:dyDescent="0.2">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5" customHeight="1" x14ac:dyDescent="0.2">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5" customHeight="1" x14ac:dyDescent="0.2">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5" customHeight="1" x14ac:dyDescent="0.2">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5" customHeight="1" x14ac:dyDescent="0.2">
      <c r="A218" s="9" t="str">
        <f>IF(ISBLANK('Signal Definition'!J218),"",'Signal Definition'!J218)</f>
        <v>EngMdl_pAftTrb_PHY</v>
      </c>
      <c r="B218" s="9">
        <f t="array" ref="B218">COUNT(FIND("input",$D218:$BY218))</f>
        <v>0</v>
      </c>
      <c r="C218" s="9">
        <f t="array" ref="C218">COUNT(FIND("output",$D218:$BY218))</f>
        <v>1</v>
      </c>
      <c r="K218" t="s">
        <v>2661</v>
      </c>
    </row>
    <row r="219" spans="1:40" ht="14.5" customHeight="1" x14ac:dyDescent="0.2">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5" customHeight="1" x14ac:dyDescent="0.2">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5" customHeight="1" x14ac:dyDescent="0.2">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5" customHeight="1" x14ac:dyDescent="0.2">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5" customHeight="1" x14ac:dyDescent="0.2">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5" customHeight="1" x14ac:dyDescent="0.2">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5" customHeight="1" x14ac:dyDescent="0.2">
      <c r="A225" s="9" t="str">
        <f>IF(ISBLANK('Signal Definition'!J225),"",'Signal Definition'!J225)</f>
        <v>AirCdn_tAirCdnIntrAirT_PHY</v>
      </c>
      <c r="B225" s="9">
        <f t="array" ref="B225">COUNT(FIND("input",$D225:$BY225))</f>
        <v>0</v>
      </c>
      <c r="C225" s="9">
        <f t="array" ref="C225">COUNT(FIND("output",$D225:$BY225))</f>
        <v>1</v>
      </c>
      <c r="Q225" t="s">
        <v>2661</v>
      </c>
    </row>
    <row r="226" spans="1:40" ht="14.5" customHeight="1" x14ac:dyDescent="0.2">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5" customHeight="1" x14ac:dyDescent="0.2">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5" customHeight="1" x14ac:dyDescent="0.2">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5" customHeight="1" x14ac:dyDescent="0.2">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5" customHeight="1" x14ac:dyDescent="0.2">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5" customHeight="1" x14ac:dyDescent="0.2">
      <c r="A231" s="9" t="str">
        <f>IF(ISBLANK('Signal Definition'!J231),"",'Signal Definition'!J231)</f>
        <v>EngMdl_trqIndcdTqOut_PHY</v>
      </c>
      <c r="B231" s="9">
        <f t="array" ref="B231">COUNT(FIND("input",$D231:$BY231))</f>
        <v>0</v>
      </c>
      <c r="C231" s="9">
        <f t="array" ref="C231">COUNT(FIND("output",$D231:$BY231))</f>
        <v>1</v>
      </c>
      <c r="K231" t="s">
        <v>2661</v>
      </c>
    </row>
    <row r="232" spans="1:40" ht="14.5" customHeight="1" x14ac:dyDescent="0.2">
      <c r="A232" s="9" t="str">
        <f>IF(ISBLANK('Signal Definition'!J232),"",'Signal Definition'!J232)</f>
        <v>ExhATSysMdl_ratNh3SnsrDs_PHY</v>
      </c>
      <c r="B232" s="9">
        <f t="array" ref="B232">COUNT(FIND("input",$D232:$BY232))</f>
        <v>0</v>
      </c>
      <c r="C232" s="9">
        <f t="array" ref="C232">COUNT(FIND("output",$D232:$BY232))</f>
        <v>1</v>
      </c>
      <c r="L232" t="s">
        <v>2661</v>
      </c>
    </row>
    <row r="233" spans="1:40" ht="14.5" customHeight="1" x14ac:dyDescent="0.2">
      <c r="A233" s="9" t="str">
        <f>IF(ISBLANK('Signal Definition'!J233),"",'Signal Definition'!J233)</f>
        <v>ExhATSysMdl_mNh3SCR_PHY</v>
      </c>
      <c r="B233" s="9">
        <f t="array" ref="B233">COUNT(FIND("input",$D233:$BY233))</f>
        <v>0</v>
      </c>
      <c r="C233" s="9">
        <f t="array" ref="C233">COUNT(FIND("output",$D233:$BY233))</f>
        <v>1</v>
      </c>
      <c r="L233" t="s">
        <v>2661</v>
      </c>
    </row>
    <row r="234" spans="1:40" ht="14.5" customHeight="1" x14ac:dyDescent="0.2">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5" customHeight="1" x14ac:dyDescent="0.2">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5" customHeight="1" x14ac:dyDescent="0.2">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5" customHeight="1" x14ac:dyDescent="0.2">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5" customHeight="1" x14ac:dyDescent="0.2">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5" customHeight="1" x14ac:dyDescent="0.2">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5" customHeight="1" x14ac:dyDescent="0.2">
      <c r="A240" s="9" t="str">
        <f>IF(ISBLANK('Signal Definition'!J240),"",'Signal Definition'!J240)</f>
        <v>EgyFlowCoorr_stEcoCoolgActv_INT</v>
      </c>
      <c r="B240" s="9">
        <f t="array" ref="B240">COUNT(FIND("input",$D240:$BY240))</f>
        <v>0</v>
      </c>
      <c r="C240" s="9">
        <f t="array" ref="C240">COUNT(FIND("output",$D240:$BY240))</f>
        <v>1</v>
      </c>
      <c r="Z240" t="s">
        <v>2661</v>
      </c>
    </row>
    <row r="241" spans="1:31" ht="14.5" customHeight="1" x14ac:dyDescent="0.2">
      <c r="A241" s="9" t="str">
        <f>IF(ISBLANK('Signal Definition'!J241),"",'Signal Definition'!J241)</f>
        <v>EgyFlowCoorr_stPreCoolgHiLoad_INT</v>
      </c>
      <c r="B241" s="9">
        <f t="array" ref="B241">COUNT(FIND("input",$D241:$BY241))</f>
        <v>0</v>
      </c>
      <c r="C241" s="9">
        <f t="array" ref="C241">COUNT(FIND("output",$D241:$BY241))</f>
        <v>1</v>
      </c>
      <c r="Z241" t="s">
        <v>2661</v>
      </c>
    </row>
    <row r="242" spans="1:31" ht="14.5" customHeight="1" x14ac:dyDescent="0.2">
      <c r="A242" s="9" t="str">
        <f>IF(ISBLANK('Signal Definition'!J242),"",'Signal Definition'!J242)</f>
        <v>EgyFlowCoorr_stPreCoolgActv_INT</v>
      </c>
      <c r="B242" s="9">
        <f t="array" ref="B242">COUNT(FIND("input",$D242:$BY242))</f>
        <v>0</v>
      </c>
      <c r="C242" s="9">
        <f t="array" ref="C242">COUNT(FIND("output",$D242:$BY242))</f>
        <v>1</v>
      </c>
      <c r="Z242" t="s">
        <v>2661</v>
      </c>
    </row>
    <row r="243" spans="1:31" ht="14.5" customHeight="1" x14ac:dyDescent="0.2">
      <c r="A243" s="9" t="str">
        <f>IF(ISBLANK('Signal Definition'!J243),"",'Signal Definition'!J243)</f>
        <v>EgyFlowCoorr_stPreCoolgDi_INT</v>
      </c>
      <c r="B243" s="9">
        <f t="array" ref="B243">COUNT(FIND("input",$D243:$BY243))</f>
        <v>0</v>
      </c>
      <c r="C243" s="9">
        <f t="array" ref="C243">COUNT(FIND("output",$D243:$BY243))</f>
        <v>1</v>
      </c>
      <c r="Z243" t="s">
        <v>2661</v>
      </c>
    </row>
    <row r="244" spans="1:31" ht="14.5" customHeight="1" x14ac:dyDescent="0.2">
      <c r="A244" s="9" t="str">
        <f>IF(ISBLANK('Signal Definition'!J244),"",'Signal Definition'!J244)</f>
        <v>EgyFlowCoorr_stTIncActv_INT</v>
      </c>
      <c r="B244" s="9">
        <f t="array" ref="B244">COUNT(FIND("input",$D244:$BY244))</f>
        <v>0</v>
      </c>
      <c r="C244" s="9">
        <f t="array" ref="C244">COUNT(FIND("output",$D244:$BY244))</f>
        <v>1</v>
      </c>
      <c r="Z244" t="s">
        <v>2661</v>
      </c>
    </row>
    <row r="245" spans="1:31" ht="14.5" customHeight="1" x14ac:dyDescent="0.2">
      <c r="A245" s="9" t="str">
        <f>IF(ISBLANK('Signal Definition'!J245),"",'Signal Definition'!J245)</f>
        <v>EgyFlowCoorr_tiPreCoolgHiLoadDurn_INT</v>
      </c>
      <c r="B245" s="9">
        <f t="array" ref="B245">COUNT(FIND("input",$D245:$BY245))</f>
        <v>0</v>
      </c>
      <c r="C245" s="9">
        <f t="array" ref="C245">COUNT(FIND("output",$D245:$BY245))</f>
        <v>1</v>
      </c>
      <c r="Z245" t="s">
        <v>2661</v>
      </c>
    </row>
    <row r="246" spans="1:31" ht="14.5" customHeight="1" x14ac:dyDescent="0.2">
      <c r="A246" s="9" t="str">
        <f>IF(ISBLANK('Signal Definition'!J246),"",'Signal Definition'!J246)</f>
        <v>EgyFlowCoorr_prcEngLoadFlMeanPred_INT</v>
      </c>
      <c r="B246" s="9">
        <f t="array" ref="B246">COUNT(FIND("input",$D246:$BY246))</f>
        <v>0</v>
      </c>
      <c r="C246" s="9">
        <f t="array" ref="C246">COUNT(FIND("output",$D246:$BY246))</f>
        <v>1</v>
      </c>
      <c r="Z246" t="s">
        <v>2661</v>
      </c>
    </row>
    <row r="247" spans="1:31" ht="14.5" customHeight="1" x14ac:dyDescent="0.2">
      <c r="A247" s="9" t="str">
        <f>IF(ISBLANK('Signal Definition'!J247),"",'Signal Definition'!J247)</f>
        <v>EgyFlowCoorr_prcEngLoadPred_INT</v>
      </c>
      <c r="B247" s="9">
        <f t="array" ref="B247">COUNT(FIND("input",$D247:$BY247))</f>
        <v>0</v>
      </c>
      <c r="C247" s="9">
        <f t="array" ref="C247">COUNT(FIND("output",$D247:$BY247))</f>
        <v>1</v>
      </c>
      <c r="Z247" t="s">
        <v>2661</v>
      </c>
    </row>
    <row r="248" spans="1:31" ht="14.5" customHeight="1" x14ac:dyDescent="0.2">
      <c r="A248" s="9" t="str">
        <f>IF(ISBLANK('Signal Definition'!J248),"",'Signal Definition'!J248)</f>
        <v>EgyFlowCoorr_prcEngDrgLoadPred_INT</v>
      </c>
      <c r="B248" s="9">
        <f t="array" ref="B248">COUNT(FIND("input",$D248:$BY248))</f>
        <v>0</v>
      </c>
      <c r="C248" s="9">
        <f t="array" ref="C248">COUNT(FIND("output",$D248:$BY248))</f>
        <v>1</v>
      </c>
      <c r="Z248" t="s">
        <v>2661</v>
      </c>
    </row>
    <row r="249" spans="1:31" ht="14.5" customHeight="1" x14ac:dyDescent="0.2">
      <c r="A249" s="9" t="str">
        <f>IF(ISBLANK('Signal Definition'!J249),"",'Signal Definition'!J249)</f>
        <v>EgyFlowCoorr_prcEngDrgLoadFlMeanPred_INT</v>
      </c>
      <c r="B249" s="9">
        <f t="array" ref="B249">COUNT(FIND("input",$D249:$BY249))</f>
        <v>0</v>
      </c>
      <c r="C249" s="9">
        <f t="array" ref="C249">COUNT(FIND("output",$D249:$BY249))</f>
        <v>1</v>
      </c>
      <c r="Z249" t="s">
        <v>2661</v>
      </c>
    </row>
    <row r="250" spans="1:31" ht="14.5" customHeight="1" x14ac:dyDescent="0.2">
      <c r="A250" s="9" t="str">
        <f>IF(ISBLANK('Signal Definition'!J250),"",'Signal Definition'!J250)</f>
        <v>EgyFlowCoorr_stTDecDi_INT</v>
      </c>
      <c r="B250" s="9">
        <f t="array" ref="B250">COUNT(FIND("input",$D250:$BY250))</f>
        <v>0</v>
      </c>
      <c r="C250" s="9">
        <f t="array" ref="C250">COUNT(FIND("output",$D250:$BY250))</f>
        <v>1</v>
      </c>
      <c r="Z250" t="s">
        <v>2661</v>
      </c>
    </row>
    <row r="251" spans="1:31" ht="14.5" customHeight="1" x14ac:dyDescent="0.2">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5" customHeight="1" x14ac:dyDescent="0.2">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5" customHeight="1" x14ac:dyDescent="0.2">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5" customHeight="1" x14ac:dyDescent="0.2">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5" customHeight="1" x14ac:dyDescent="0.2">
      <c r="A255" s="9" t="str">
        <f>IF(ISBLANK('Signal Definition'!J255),"",'Signal Definition'!J255)</f>
        <v>PredtnHrznGenr_tiVectHrznSho_PHY</v>
      </c>
      <c r="B255" s="9">
        <f t="array" ref="B255">COUNT(FIND("input",$D255:$BY255))</f>
        <v>0</v>
      </c>
      <c r="C255" s="9">
        <f t="array" ref="C255">COUNT(FIND("output",$D255:$BY255))</f>
        <v>1</v>
      </c>
      <c r="AE255" t="s">
        <v>2661</v>
      </c>
    </row>
    <row r="256" spans="1:31" ht="14.5" customHeight="1" x14ac:dyDescent="0.2">
      <c r="A256" s="9" t="str">
        <f>IF(ISBLANK('Signal Definition'!J256),"",'Signal Definition'!J256)</f>
        <v>PredtnHrznGenr_tiVectHrznLong_PHY</v>
      </c>
      <c r="B256" s="9">
        <f t="array" ref="B256">COUNT(FIND("input",$D256:$BY256))</f>
        <v>0</v>
      </c>
      <c r="C256" s="9">
        <f t="array" ref="C256">COUNT(FIND("output",$D256:$BY256))</f>
        <v>1</v>
      </c>
      <c r="AE256" t="s">
        <v>2661</v>
      </c>
    </row>
    <row r="257" spans="1:41" ht="14.5" customHeight="1" x14ac:dyDescent="0.2">
      <c r="A257" s="9" t="str">
        <f>IF(ISBLANK('Signal Definition'!J257),"",'Signal Definition'!J257)</f>
        <v>PredtnHrznGenr_trqVectHrznLong_PHY</v>
      </c>
      <c r="B257" s="9">
        <f t="array" ref="B257">COUNT(FIND("input",$D257:$BY257))</f>
        <v>0</v>
      </c>
      <c r="C257" s="9">
        <f t="array" ref="C257">COUNT(FIND("output",$D257:$BY257))</f>
        <v>1</v>
      </c>
      <c r="AE257" t="s">
        <v>2661</v>
      </c>
    </row>
    <row r="258" spans="1:41" ht="14.5" customHeight="1" x14ac:dyDescent="0.2">
      <c r="A258" s="9" t="str">
        <f>IF(ISBLANK('Signal Definition'!J258),"",'Signal Definition'!J258)</f>
        <v>PredtnHrznGenr_trqVectHrznSho_PHY</v>
      </c>
      <c r="B258" s="9">
        <f t="array" ref="B258">COUNT(FIND("input",$D258:$BY258))</f>
        <v>0</v>
      </c>
      <c r="C258" s="9">
        <f t="array" ref="C258">COUNT(FIND("output",$D258:$BY258))</f>
        <v>1</v>
      </c>
      <c r="AE258" t="s">
        <v>2661</v>
      </c>
    </row>
    <row r="259" spans="1:41" ht="14.5" customHeight="1" x14ac:dyDescent="0.2">
      <c r="A259" s="9" t="str">
        <f>IF(ISBLANK('Signal Definition'!J259),"",'Signal Definition'!J259)</f>
        <v>PredtnHrznGenr_nVectHrznSho_PHY</v>
      </c>
      <c r="B259" s="9">
        <f t="array" ref="B259">COUNT(FIND("input",$D259:$BY259))</f>
        <v>0</v>
      </c>
      <c r="C259" s="9">
        <f t="array" ref="C259">COUNT(FIND("output",$D259:$BY259))</f>
        <v>1</v>
      </c>
      <c r="AE259" t="s">
        <v>2661</v>
      </c>
    </row>
    <row r="260" spans="1:41" ht="14.5" customHeight="1" x14ac:dyDescent="0.2">
      <c r="A260" s="9" t="str">
        <f>IF(ISBLANK('Signal Definition'!J260),"",'Signal Definition'!J260)</f>
        <v>PredtnHrznGenr_nVectHrznLong_PHY</v>
      </c>
      <c r="B260" s="9">
        <f t="array" ref="B260">COUNT(FIND("input",$D260:$BY260))</f>
        <v>0</v>
      </c>
      <c r="C260" s="9">
        <f t="array" ref="C260">COUNT(FIND("output",$D260:$BY260))</f>
        <v>1</v>
      </c>
      <c r="AE260" t="s">
        <v>2661</v>
      </c>
    </row>
    <row r="261" spans="1:41" ht="14.5" customHeight="1" x14ac:dyDescent="0.2">
      <c r="A261" s="9" t="str">
        <f>IF(ISBLANK('Signal Definition'!J261),"",'Signal Definition'!J261)</f>
        <v>PredtnHrznGenr_idxVectHrznLenLong_PHY</v>
      </c>
      <c r="B261" s="9">
        <f t="array" ref="B261">COUNT(FIND("input",$D261:$BY261))</f>
        <v>0</v>
      </c>
      <c r="C261" s="9">
        <f t="array" ref="C261">COUNT(FIND("output",$D261:$BY261))</f>
        <v>1</v>
      </c>
      <c r="AE261" t="s">
        <v>2661</v>
      </c>
    </row>
    <row r="262" spans="1:41" ht="14.5" customHeight="1" x14ac:dyDescent="0.2">
      <c r="A262" s="9" t="str">
        <f>IF(ISBLANK('Signal Definition'!J262),"",'Signal Definition'!J262)</f>
        <v>PredtnHrznGenr_idxVectHrznLenSho_PHY</v>
      </c>
      <c r="B262" s="9">
        <f t="array" ref="B262">COUNT(FIND("input",$D262:$BY262))</f>
        <v>0</v>
      </c>
      <c r="C262" s="9">
        <f t="array" ref="C262">COUNT(FIND("output",$D262:$BY262))</f>
        <v>1</v>
      </c>
      <c r="AE262" t="s">
        <v>2661</v>
      </c>
    </row>
    <row r="263" spans="1:41" ht="14.5" customHeight="1" x14ac:dyDescent="0.2">
      <c r="A263" s="9" t="str">
        <f>IF(ISBLANK('Signal Definition'!J263),"",'Signal Definition'!J263)</f>
        <v>PredtnHrznGenr_tiHrznLenSho_PHY</v>
      </c>
      <c r="B263" s="9">
        <f t="array" ref="B263">COUNT(FIND("input",$D263:$BY263))</f>
        <v>0</v>
      </c>
      <c r="C263" s="9">
        <f t="array" ref="C263">COUNT(FIND("output",$D263:$BY263))</f>
        <v>1</v>
      </c>
      <c r="AE263" t="s">
        <v>2661</v>
      </c>
    </row>
    <row r="264" spans="1:41" ht="14.5" customHeight="1" x14ac:dyDescent="0.2">
      <c r="A264" s="9" t="str">
        <f>IF(ISBLANK('Signal Definition'!J264),"",'Signal Definition'!J264)</f>
        <v>PredtnHrznGenr_tiHrznLenLong_PHY</v>
      </c>
      <c r="B264" s="9">
        <f t="array" ref="B264">COUNT(FIND("input",$D264:$BY264))</f>
        <v>0</v>
      </c>
      <c r="C264" s="9">
        <f t="array" ref="C264">COUNT(FIND("output",$D264:$BY264))</f>
        <v>1</v>
      </c>
      <c r="AE264" t="s">
        <v>2661</v>
      </c>
    </row>
    <row r="265" spans="1:41" ht="14.5" customHeight="1" x14ac:dyDescent="0.2">
      <c r="A265" s="9" t="str">
        <f>IF(ISBLANK('Signal Definition'!J265),"",'Signal Definition'!J265)</f>
        <v>PredtnHrznGenr_stTrigOptmr_PHY</v>
      </c>
      <c r="B265" s="9">
        <f t="array" ref="B265">COUNT(FIND("input",$D265:$BY265))</f>
        <v>0</v>
      </c>
      <c r="C265" s="9">
        <f t="array" ref="C265">COUNT(FIND("output",$D265:$BY265))</f>
        <v>1</v>
      </c>
      <c r="AE265" t="s">
        <v>2661</v>
      </c>
    </row>
    <row r="266" spans="1:41" ht="14.5" customHeight="1" x14ac:dyDescent="0.2">
      <c r="A266" s="9" t="str">
        <f>IF(ISBLANK('Signal Definition'!J266),"",'Signal Definition'!J266)</f>
        <v>PredtnHrznGenr_swtExtSrcPredtnData_PHY</v>
      </c>
      <c r="B266" s="9">
        <f t="array" ref="B266">COUNT(FIND("input",$D266:$BY266))</f>
        <v>0</v>
      </c>
      <c r="C266" s="9">
        <f t="array" ref="C266">COUNT(FIND("output",$D266:$BY266))</f>
        <v>1</v>
      </c>
      <c r="AE266" t="s">
        <v>2661</v>
      </c>
    </row>
    <row r="267" spans="1:41" ht="14.5" customHeight="1" x14ac:dyDescent="0.2">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5" customHeight="1" x14ac:dyDescent="0.2">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5" customHeight="1" x14ac:dyDescent="0.2">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5" customHeight="1" x14ac:dyDescent="0.2">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5" customHeight="1" x14ac:dyDescent="0.2">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5" customHeight="1" x14ac:dyDescent="0.2">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5" customHeight="1" x14ac:dyDescent="0.2">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5" customHeight="1" x14ac:dyDescent="0.2">
      <c r="A274" s="9" t="str">
        <f>IF(ISBLANK('Signal Definition'!J274),"",'Signal Definition'!J274)</f>
        <v>VirtFuAirSpGenr_qInjPil2VectHrzn_INT</v>
      </c>
      <c r="B274" s="9">
        <f t="array" ref="B274">COUNT(FIND("input",$D274:$BY274))</f>
        <v>0</v>
      </c>
      <c r="C274" s="9">
        <f t="array" ref="C274">COUNT(FIND("output",$D274:$BY274))</f>
        <v>1</v>
      </c>
      <c r="AF274" t="s">
        <v>2661</v>
      </c>
    </row>
    <row r="275" spans="1:40" ht="14.5" customHeight="1" x14ac:dyDescent="0.2">
      <c r="A275" s="9" t="str">
        <f>IF(ISBLANK('Signal Definition'!J275),"",'Signal Definition'!J275)</f>
        <v>VirtFuAirSpGenr_qInjPost1VectHrzn_INT</v>
      </c>
      <c r="B275" s="9">
        <f t="array" ref="B275">COUNT(FIND("input",$D275:$BY275))</f>
        <v>0</v>
      </c>
      <c r="C275" s="9">
        <f t="array" ref="C275">COUNT(FIND("output",$D275:$BY275))</f>
        <v>1</v>
      </c>
      <c r="AF275" t="s">
        <v>2661</v>
      </c>
    </row>
    <row r="276" spans="1:40" ht="14.5" customHeight="1" x14ac:dyDescent="0.2">
      <c r="A276" s="9" t="str">
        <f>IF(ISBLANK('Signal Definition'!J276),"",'Signal Definition'!J276)</f>
        <v>VirtFuAirSpGenr_qInjPost2VectHrzn_INT</v>
      </c>
      <c r="B276" s="9">
        <f t="array" ref="B276">COUNT(FIND("input",$D276:$BY276))</f>
        <v>0</v>
      </c>
      <c r="C276" s="9">
        <f t="array" ref="C276">COUNT(FIND("output",$D276:$BY276))</f>
        <v>1</v>
      </c>
      <c r="AF276" t="s">
        <v>2661</v>
      </c>
    </row>
    <row r="277" spans="1:40" ht="14.5" customHeight="1" x14ac:dyDescent="0.2">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5" customHeight="1" x14ac:dyDescent="0.2">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5" customHeight="1" x14ac:dyDescent="0.2">
      <c r="A279" s="9" t="str">
        <f>IF(ISBLANK('Signal Definition'!J279),"",'Signal Definition'!J279)</f>
        <v>VirtFuAirSpGenr_phiInjPil2VectHrzn_INT</v>
      </c>
      <c r="B279" s="9">
        <f t="array" ref="B279">COUNT(FIND("input",$D279:$BY279))</f>
        <v>0</v>
      </c>
      <c r="C279" s="9">
        <f t="array" ref="C279">COUNT(FIND("output",$D279:$BY279))</f>
        <v>1</v>
      </c>
      <c r="AF279" t="s">
        <v>2661</v>
      </c>
    </row>
    <row r="280" spans="1:40" ht="14.5" customHeight="1" x14ac:dyDescent="0.2">
      <c r="A280" s="9" t="str">
        <f>IF(ISBLANK('Signal Definition'!J280),"",'Signal Definition'!J280)</f>
        <v>VirtFuAirSpGenr_phiInjPost1VectHrzn_INT</v>
      </c>
      <c r="B280" s="9">
        <f t="array" ref="B280">COUNT(FIND("input",$D280:$BY280))</f>
        <v>0</v>
      </c>
      <c r="C280" s="9">
        <f t="array" ref="C280">COUNT(FIND("output",$D280:$BY280))</f>
        <v>1</v>
      </c>
      <c r="AF280" t="s">
        <v>2661</v>
      </c>
    </row>
    <row r="281" spans="1:40" ht="14.5" customHeight="1" x14ac:dyDescent="0.2">
      <c r="A281" s="9" t="str">
        <f>IF(ISBLANK('Signal Definition'!J281),"",'Signal Definition'!J281)</f>
        <v>VirtFuAirSpGenr_phiInjPost2VectHrzn_INT</v>
      </c>
      <c r="B281" s="9">
        <f t="array" ref="B281">COUNT(FIND("input",$D281:$BY281))</f>
        <v>0</v>
      </c>
      <c r="C281" s="9">
        <f t="array" ref="C281">COUNT(FIND("output",$D281:$BY281))</f>
        <v>1</v>
      </c>
      <c r="AF281" t="s">
        <v>2661</v>
      </c>
    </row>
    <row r="282" spans="1:40" ht="14.5" customHeight="1" x14ac:dyDescent="0.2">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5" customHeight="1" x14ac:dyDescent="0.2">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5" customHeight="1" x14ac:dyDescent="0.2">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5" customHeight="1" x14ac:dyDescent="0.2">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5" customHeight="1" x14ac:dyDescent="0.2">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5" customHeight="1" x14ac:dyDescent="0.2">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5" customHeight="1" x14ac:dyDescent="0.2">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1" ht="14.5" customHeight="1" x14ac:dyDescent="0.2">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5" customHeight="1" x14ac:dyDescent="0.2">
      <c r="A290" s="9" t="str">
        <f>IF(ISBLANK('Signal Definition'!J290),"",'Signal Definition'!J290)</f>
        <v>RouteGenr_lDst_PHY</v>
      </c>
      <c r="B290" s="9">
        <f t="array" ref="B290">COUNT(FIND("input",$D290:$BY290))</f>
        <v>1</v>
      </c>
      <c r="C290" s="9">
        <f t="array" ref="C290">COUNT(FIND("output",$D290:$BY290))</f>
        <v>1</v>
      </c>
      <c r="AI290" t="s">
        <v>2661</v>
      </c>
      <c r="AJ290" t="s">
        <v>2670</v>
      </c>
    </row>
    <row r="291" spans="1:41" ht="14.5" customHeight="1" x14ac:dyDescent="0.2">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5" customHeight="1" x14ac:dyDescent="0.2">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5" customHeight="1" x14ac:dyDescent="0.2">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5" customHeight="1" x14ac:dyDescent="0.2">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5" customHeight="1" x14ac:dyDescent="0.2">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5" customHeight="1" x14ac:dyDescent="0.2">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5" customHeight="1" x14ac:dyDescent="0.2">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5" customHeight="1" x14ac:dyDescent="0.2">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5" customHeight="1" x14ac:dyDescent="0.2">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5" customHeight="1" x14ac:dyDescent="0.2">
      <c r="A300" s="9" t="str">
        <f>IF(ISBLANK('Signal Definition'!J300),"",'Signal Definition'!J300)</f>
        <v>SpdTqTrcGenr_nEngSpdHrzn_INT</v>
      </c>
      <c r="B300" s="9">
        <f t="array" ref="B300">COUNT(FIND("input",$D300:$BY300))</f>
        <v>6</v>
      </c>
      <c r="C300" s="9">
        <f t="array" ref="C300">COUNT(FIND("output",$D300:$BY300))</f>
        <v>1</v>
      </c>
      <c r="AB300" t="s">
        <v>2670</v>
      </c>
      <c r="AC300" t="s">
        <v>2670</v>
      </c>
      <c r="AD300" t="s">
        <v>2670</v>
      </c>
      <c r="AF300" t="s">
        <v>2670</v>
      </c>
      <c r="AK300" t="s">
        <v>2661</v>
      </c>
      <c r="AN300" t="s">
        <v>2670</v>
      </c>
      <c r="AO300" t="s">
        <v>2670</v>
      </c>
    </row>
    <row r="301" spans="1:41" ht="14.5" customHeight="1" x14ac:dyDescent="0.2">
      <c r="A301" s="9" t="str">
        <f>IF(ISBLANK('Signal Definition'!J301),"",'Signal Definition'!J301)</f>
        <v>SpdTqTrcGenr_trqEngTqHrzn_INT</v>
      </c>
      <c r="B301" s="9">
        <f t="array" ref="B301">COUNT(FIND("input",$D301:$BY301))</f>
        <v>3</v>
      </c>
      <c r="C301" s="9">
        <f t="array" ref="C301">COUNT(FIND("output",$D301:$BY301))</f>
        <v>1</v>
      </c>
      <c r="AB301" t="s">
        <v>2670</v>
      </c>
      <c r="AF301" t="s">
        <v>2670</v>
      </c>
      <c r="AK301" t="s">
        <v>2661</v>
      </c>
      <c r="AO301" t="s">
        <v>2670</v>
      </c>
    </row>
    <row r="302" spans="1:41" ht="14.5" customHeight="1" x14ac:dyDescent="0.2">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5" customHeight="1" x14ac:dyDescent="0.2">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5" customHeight="1" x14ac:dyDescent="0.2">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5" customHeight="1" x14ac:dyDescent="0.2">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5" customHeight="1" x14ac:dyDescent="0.2">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5" customHeight="1" x14ac:dyDescent="0.2">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5" customHeight="1" x14ac:dyDescent="0.2">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5" customHeight="1" x14ac:dyDescent="0.2">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5" customHeight="1" x14ac:dyDescent="0.2">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5" customHeight="1" x14ac:dyDescent="0.2">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5" customHeight="1" x14ac:dyDescent="0.2">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5" customHeight="1" x14ac:dyDescent="0.2">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5" customHeight="1" x14ac:dyDescent="0.2">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5" customHeight="1" x14ac:dyDescent="0.2">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5" customHeight="1" x14ac:dyDescent="0.2">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5" customHeight="1" x14ac:dyDescent="0.2">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5" customHeight="1" x14ac:dyDescent="0.2">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5" customHeight="1" x14ac:dyDescent="0.2">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5" customHeight="1" x14ac:dyDescent="0.2">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5" customHeight="1" x14ac:dyDescent="0.2">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5" customHeight="1" x14ac:dyDescent="0.2">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5" customHeight="1" x14ac:dyDescent="0.2">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5" customHeight="1" x14ac:dyDescent="0.2">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5" customHeight="1" x14ac:dyDescent="0.2">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5" customHeight="1" x14ac:dyDescent="0.2">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5" customHeight="1" x14ac:dyDescent="0.2">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5" customHeight="1" x14ac:dyDescent="0.2">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5" customHeight="1" x14ac:dyDescent="0.2">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5" customHeight="1" x14ac:dyDescent="0.2">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5" customHeight="1" x14ac:dyDescent="0.2">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5" customHeight="1" x14ac:dyDescent="0.2">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5" customHeight="1" x14ac:dyDescent="0.2">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5" customHeight="1" x14ac:dyDescent="0.2">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5" customHeight="1" x14ac:dyDescent="0.2">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5" customHeight="1" x14ac:dyDescent="0.2">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5" customHeight="1" x14ac:dyDescent="0.2">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5" customHeight="1" x14ac:dyDescent="0.2">
      <c r="A338" s="9" t="str">
        <f>IF(ISBLANK('Signal Definition'!J338),"",'Signal Definition'!J338)</f>
        <v>InpOutp_nGenr_PHY</v>
      </c>
      <c r="B338" s="9">
        <f t="array" ref="B338">COUNT(FIND("input",$D338:$BY338))</f>
        <v>1</v>
      </c>
      <c r="C338" s="9">
        <f t="array" ref="C338">COUNT(FIND("output",$D338:$BY338))</f>
        <v>1</v>
      </c>
      <c r="AG338" t="s">
        <v>2661</v>
      </c>
      <c r="AH338" t="s">
        <v>2670</v>
      </c>
    </row>
    <row r="339" spans="1:34" ht="14.5" customHeight="1" x14ac:dyDescent="0.2">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5" customHeight="1" x14ac:dyDescent="0.2">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5" customHeight="1" x14ac:dyDescent="0.2">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5" customHeight="1" x14ac:dyDescent="0.2">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5" customHeight="1" x14ac:dyDescent="0.2">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5" customHeight="1" x14ac:dyDescent="0.2">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5" customHeight="1" x14ac:dyDescent="0.2">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5" customHeight="1" x14ac:dyDescent="0.2">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5" customHeight="1" x14ac:dyDescent="0.2">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5" customHeight="1" x14ac:dyDescent="0.2">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5" customHeight="1" x14ac:dyDescent="0.2">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5" customHeight="1" x14ac:dyDescent="0.2">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5" customHeight="1" x14ac:dyDescent="0.2">
      <c r="A351" s="9" t="str">
        <f>IF(ISBLANK('Signal Definition'!J351),"",'Signal Definition'!J351)</f>
        <v>InpOutp_aVeh_PHY</v>
      </c>
      <c r="B351" s="9">
        <f t="array" ref="B351">COUNT(FIND("input",$D351:$BY351))</f>
        <v>1</v>
      </c>
      <c r="C351" s="9">
        <f t="array" ref="C351">COUNT(FIND("output",$D351:$BY351))</f>
        <v>1</v>
      </c>
      <c r="AG351" t="s">
        <v>2661</v>
      </c>
      <c r="AH351" t="s">
        <v>2670</v>
      </c>
    </row>
    <row r="352" spans="1:34" ht="14.5" customHeight="1" x14ac:dyDescent="0.2">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5" customHeight="1" x14ac:dyDescent="0.2">
      <c r="A353" s="9" t="str">
        <f>IF(ISBLANK('Signal Definition'!J353),"",'Signal Definition'!J353)</f>
        <v>DrvrMdl_swtCrk_PHY</v>
      </c>
      <c r="B353" s="9">
        <f t="array" ref="B353">COUNT(FIND("input",$D353:$BY353))</f>
        <v>1</v>
      </c>
      <c r="C353" s="9">
        <f t="array" ref="C353">COUNT(FIND("output",$D353:$BY353))</f>
        <v>1</v>
      </c>
      <c r="E353" t="s">
        <v>2661</v>
      </c>
      <c r="AG353" t="s">
        <v>2670</v>
      </c>
    </row>
    <row r="354" spans="1:34" ht="14.5" customHeight="1" x14ac:dyDescent="0.2">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5" customHeight="1" x14ac:dyDescent="0.2">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5" customHeight="1" x14ac:dyDescent="0.2">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5" customHeight="1" x14ac:dyDescent="0.2">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5" customHeight="1" x14ac:dyDescent="0.2">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5" customHeight="1" x14ac:dyDescent="0.2">
      <c r="A359" s="9" t="str">
        <f>IF(ISBLANK('Signal Definition'!J359),"",'Signal Definition'!J359)</f>
        <v>EngMdl_pFuRail_PHY</v>
      </c>
      <c r="B359" s="9">
        <f t="array" ref="B359">COUNT(FIND("input",$D359:$BY359))</f>
        <v>1</v>
      </c>
      <c r="C359" s="9">
        <f t="array" ref="C359">COUNT(FIND("output",$D359:$BY359))</f>
        <v>1</v>
      </c>
      <c r="K359" t="s">
        <v>2661</v>
      </c>
      <c r="AG359" t="s">
        <v>2670</v>
      </c>
    </row>
    <row r="360" spans="1:34" ht="14.5" customHeight="1" x14ac:dyDescent="0.2">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5" customHeight="1" x14ac:dyDescent="0.2">
      <c r="A361" s="9" t="str">
        <f>IF(ISBLANK('Signal Definition'!J361),"",'Signal Definition'!J361)</f>
        <v>RealECU_numOperModAct_PHY</v>
      </c>
      <c r="B361" s="9">
        <f t="array" ref="B361">COUNT(FIND("input",$D361:$BY361))</f>
        <v>0</v>
      </c>
      <c r="C361" s="9">
        <f t="array" ref="C361">COUNT(FIND("output",$D361:$BY361))</f>
        <v>1</v>
      </c>
      <c r="AH361" t="s">
        <v>2661</v>
      </c>
    </row>
    <row r="362" spans="1:34" ht="14.5" customHeight="1" x14ac:dyDescent="0.2">
      <c r="A362" s="9" t="str">
        <f>IF(ISBLANK('Signal Definition'!J362),"",'Signal Definition'!J362)</f>
        <v>RealECU_qInjTot_PHY</v>
      </c>
      <c r="B362" s="9">
        <f t="array" ref="B362">COUNT(FIND("input",$D362:$BY362))</f>
        <v>0</v>
      </c>
      <c r="C362" s="9">
        <f t="array" ref="C362">COUNT(FIND("output",$D362:$BY362))</f>
        <v>1</v>
      </c>
      <c r="AH362" t="s">
        <v>2661</v>
      </c>
    </row>
    <row r="363" spans="1:34" ht="14.5" customHeight="1" x14ac:dyDescent="0.2">
      <c r="A363" s="9" t="str">
        <f>IF(ISBLANK('Signal Definition'!J363),"",'Signal Definition'!J363)</f>
        <v>RealECU_qInjMai1_PHY</v>
      </c>
      <c r="B363" s="9">
        <f t="array" ref="B363">COUNT(FIND("input",$D363:$BY363))</f>
        <v>0</v>
      </c>
      <c r="C363" s="9">
        <f t="array" ref="C363">COUNT(FIND("output",$D363:$BY363))</f>
        <v>1</v>
      </c>
      <c r="AH363" t="s">
        <v>2661</v>
      </c>
    </row>
    <row r="364" spans="1:34" ht="14.5" customHeight="1" x14ac:dyDescent="0.2">
      <c r="A364" s="9" t="str">
        <f>IF(ISBLANK('Signal Definition'!J364),"",'Signal Definition'!J364)</f>
        <v>RealECU_qInjPil1_PHY</v>
      </c>
      <c r="B364" s="9">
        <f t="array" ref="B364">COUNT(FIND("input",$D364:$BY364))</f>
        <v>0</v>
      </c>
      <c r="C364" s="9">
        <f t="array" ref="C364">COUNT(FIND("output",$D364:$BY364))</f>
        <v>1</v>
      </c>
      <c r="AH364" t="s">
        <v>2661</v>
      </c>
    </row>
    <row r="365" spans="1:34" ht="14.5" customHeight="1" x14ac:dyDescent="0.2">
      <c r="A365" s="9" t="str">
        <f>IF(ISBLANK('Signal Definition'!J365),"",'Signal Definition'!J365)</f>
        <v>RealECU_qInjPil2_PHY</v>
      </c>
      <c r="B365" s="9">
        <f t="array" ref="B365">COUNT(FIND("input",$D365:$BY365))</f>
        <v>0</v>
      </c>
      <c r="C365" s="9">
        <f t="array" ref="C365">COUNT(FIND("output",$D365:$BY365))</f>
        <v>1</v>
      </c>
      <c r="AH365" t="s">
        <v>2661</v>
      </c>
    </row>
    <row r="366" spans="1:34" ht="14.5" customHeight="1" x14ac:dyDescent="0.2">
      <c r="A366" s="9" t="str">
        <f>IF(ISBLANK('Signal Definition'!J366),"",'Signal Definition'!J366)</f>
        <v>RealECU_qInjPost1_PHY</v>
      </c>
      <c r="B366" s="9">
        <f t="array" ref="B366">COUNT(FIND("input",$D366:$BY366))</f>
        <v>0</v>
      </c>
      <c r="C366" s="9">
        <f t="array" ref="C366">COUNT(FIND("output",$D366:$BY366))</f>
        <v>1</v>
      </c>
      <c r="AH366" t="s">
        <v>2661</v>
      </c>
    </row>
    <row r="367" spans="1:34" ht="14.5" customHeight="1" x14ac:dyDescent="0.2">
      <c r="A367" s="9" t="str">
        <f>IF(ISBLANK('Signal Definition'!J367),"",'Signal Definition'!J367)</f>
        <v>RealECU_qInjPost2_PHY</v>
      </c>
      <c r="B367" s="9">
        <f t="array" ref="B367">COUNT(FIND("input",$D367:$BY367))</f>
        <v>0</v>
      </c>
      <c r="C367" s="9">
        <f t="array" ref="C367">COUNT(FIND("output",$D367:$BY367))</f>
        <v>1</v>
      </c>
      <c r="AH367" t="s">
        <v>2661</v>
      </c>
    </row>
    <row r="368" spans="1:34" ht="14.5" customHeight="1" x14ac:dyDescent="0.2">
      <c r="A368" s="9" t="str">
        <f>IF(ISBLANK('Signal Definition'!J368),"",'Signal Definition'!J368)</f>
        <v>RealECU_phiInjMai1_PHY</v>
      </c>
      <c r="B368" s="9">
        <f t="array" ref="B368">COUNT(FIND("input",$D368:$BY368))</f>
        <v>0</v>
      </c>
      <c r="C368" s="9">
        <f t="array" ref="C368">COUNT(FIND("output",$D368:$BY368))</f>
        <v>1</v>
      </c>
      <c r="AH368" t="s">
        <v>2661</v>
      </c>
    </row>
    <row r="369" spans="1:34" ht="14.5" customHeight="1" x14ac:dyDescent="0.2">
      <c r="A369" s="9" t="str">
        <f>IF(ISBLANK('Signal Definition'!J369),"",'Signal Definition'!J369)</f>
        <v>RealECU_phiInjPil1_PHY</v>
      </c>
      <c r="B369" s="9">
        <f t="array" ref="B369">COUNT(FIND("input",$D369:$BY369))</f>
        <v>0</v>
      </c>
      <c r="C369" s="9">
        <f t="array" ref="C369">COUNT(FIND("output",$D369:$BY369))</f>
        <v>1</v>
      </c>
      <c r="AH369" t="s">
        <v>2661</v>
      </c>
    </row>
    <row r="370" spans="1:34" ht="14.5" customHeight="1" x14ac:dyDescent="0.2">
      <c r="A370" s="9" t="str">
        <f>IF(ISBLANK('Signal Definition'!J370),"",'Signal Definition'!J370)</f>
        <v>RealECU_phiInjPil2_PHY</v>
      </c>
      <c r="B370" s="9">
        <f t="array" ref="B370">COUNT(FIND("input",$D370:$BY370))</f>
        <v>0</v>
      </c>
      <c r="C370" s="9">
        <f t="array" ref="C370">COUNT(FIND("output",$D370:$BY370))</f>
        <v>1</v>
      </c>
      <c r="AH370" t="s">
        <v>2661</v>
      </c>
    </row>
    <row r="371" spans="1:34" ht="14.5" customHeight="1" x14ac:dyDescent="0.2">
      <c r="A371" s="9" t="str">
        <f>IF(ISBLANK('Signal Definition'!J371),"",'Signal Definition'!J371)</f>
        <v>RealECU_phiInjPost1_PHY</v>
      </c>
      <c r="B371" s="9">
        <f t="array" ref="B371">COUNT(FIND("input",$D371:$BY371))</f>
        <v>0</v>
      </c>
      <c r="C371" s="9">
        <f t="array" ref="C371">COUNT(FIND("output",$D371:$BY371))</f>
        <v>1</v>
      </c>
      <c r="AH371" t="s">
        <v>2661</v>
      </c>
    </row>
    <row r="372" spans="1:34" ht="14.5" customHeight="1" x14ac:dyDescent="0.2">
      <c r="A372" s="9" t="str">
        <f>IF(ISBLANK('Signal Definition'!J372),"",'Signal Definition'!J372)</f>
        <v>RealECU_phiInjPost2_PHY</v>
      </c>
      <c r="B372" s="9">
        <f t="array" ref="B372">COUNT(FIND("input",$D372:$BY372))</f>
        <v>0</v>
      </c>
      <c r="C372" s="9">
        <f t="array" ref="C372">COUNT(FIND("output",$D372:$BY372))</f>
        <v>1</v>
      </c>
      <c r="AH372" t="s">
        <v>2661</v>
      </c>
    </row>
    <row r="373" spans="1:34" ht="14.5" customHeight="1" x14ac:dyDescent="0.2">
      <c r="A373" s="9" t="str">
        <f>IF(ISBLANK('Signal Definition'!J373),"",'Signal Definition'!J373)</f>
        <v>RealECU_pFuRailDes_PHY</v>
      </c>
      <c r="B373" s="9">
        <f t="array" ref="B373">COUNT(FIND("input",$D373:$BY373))</f>
        <v>0</v>
      </c>
      <c r="C373" s="9">
        <f t="array" ref="C373">COUNT(FIND("output",$D373:$BY373))</f>
        <v>1</v>
      </c>
      <c r="AH373" t="s">
        <v>2661</v>
      </c>
    </row>
    <row r="374" spans="1:34" ht="14.5" customHeight="1" x14ac:dyDescent="0.2">
      <c r="A374" s="9" t="str">
        <f>IF(ISBLANK('Signal Definition'!J374),"",'Signal Definition'!J374)</f>
        <v>RealECU_nEngSetLo_PHY</v>
      </c>
      <c r="B374" s="9">
        <f t="array" ref="B374">COUNT(FIND("input",$D374:$BY374))</f>
        <v>0</v>
      </c>
      <c r="C374" s="9">
        <f t="array" ref="C374">COUNT(FIND("output",$D374:$BY374))</f>
        <v>1</v>
      </c>
      <c r="AH374" t="s">
        <v>2661</v>
      </c>
    </row>
    <row r="375" spans="1:34" ht="14.5" customHeight="1" x14ac:dyDescent="0.2">
      <c r="A375" s="9" t="str">
        <f>IF(ISBLANK('Signal Definition'!J375),"",'Signal Definition'!J375)</f>
        <v>RealECU_trqEngMax_PHY</v>
      </c>
      <c r="B375" s="9">
        <f t="array" ref="B375">COUNT(FIND("input",$D375:$BY375))</f>
        <v>0</v>
      </c>
      <c r="C375" s="9">
        <f t="array" ref="C375">COUNT(FIND("output",$D375:$BY375))</f>
        <v>1</v>
      </c>
      <c r="AH375" t="s">
        <v>2661</v>
      </c>
    </row>
    <row r="376" spans="1:34" ht="14.5" customHeight="1" x14ac:dyDescent="0.2">
      <c r="A376" s="9" t="str">
        <f>IF(ISBLANK('Signal Definition'!J376),"",'Signal Definition'!J376)</f>
        <v>RealECU_prcEngActTq_PHY</v>
      </c>
      <c r="B376" s="9">
        <f t="array" ref="B376">COUNT(FIND("input",$D376:$BY376))</f>
        <v>0</v>
      </c>
      <c r="C376" s="9">
        <f t="array" ref="C376">COUNT(FIND("output",$D376:$BY376))</f>
        <v>1</v>
      </c>
      <c r="AH376" t="s">
        <v>2661</v>
      </c>
    </row>
    <row r="377" spans="1:34" ht="14.5" customHeight="1" x14ac:dyDescent="0.2">
      <c r="A377" s="9" t="str">
        <f>IF(ISBLANK('Signal Definition'!J377),"",'Signal Definition'!J377)</f>
        <v>RealECU_prcEngActTqFrac_PHY</v>
      </c>
      <c r="B377" s="9">
        <f t="array" ref="B377">COUNT(FIND("input",$D377:$BY377))</f>
        <v>0</v>
      </c>
      <c r="C377" s="9">
        <f t="array" ref="C377">COUNT(FIND("output",$D377:$BY377))</f>
        <v>1</v>
      </c>
      <c r="AH377" t="s">
        <v>2661</v>
      </c>
    </row>
    <row r="378" spans="1:34" ht="14.5" customHeight="1" x14ac:dyDescent="0.2">
      <c r="A378" s="9" t="str">
        <f>IF(ISBLANK('Signal Definition'!J378),"",'Signal Definition'!J378)</f>
        <v>RealECU_prcEngFricTq_PHY</v>
      </c>
      <c r="B378" s="9">
        <f t="array" ref="B378">COUNT(FIND("input",$D378:$BY378))</f>
        <v>0</v>
      </c>
      <c r="C378" s="9">
        <f t="array" ref="C378">COUNT(FIND("output",$D378:$BY378))</f>
        <v>1</v>
      </c>
      <c r="AH378" t="s">
        <v>2661</v>
      </c>
    </row>
    <row r="379" spans="1:34" ht="14.5" customHeight="1" x14ac:dyDescent="0.2">
      <c r="A379" s="9" t="str">
        <f>IF(ISBLANK('Signal Definition'!J379),"",'Signal Definition'!J379)</f>
        <v>RealECU_mflUreaDes_PHY</v>
      </c>
      <c r="B379" s="9">
        <f t="array" ref="B379">COUNT(FIND("input",$D379:$BY379))</f>
        <v>0</v>
      </c>
      <c r="C379" s="9">
        <f t="array" ref="C379">COUNT(FIND("output",$D379:$BY379))</f>
        <v>1</v>
      </c>
      <c r="AH379" t="s">
        <v>2661</v>
      </c>
    </row>
    <row r="380" spans="1:34" ht="14.5" customHeight="1" x14ac:dyDescent="0.2">
      <c r="A380" s="9" t="str">
        <f>IF(ISBLANK('Signal Definition'!J380),"",'Signal Definition'!J380)</f>
        <v>RealECU_nFanDes_PHY</v>
      </c>
      <c r="B380" s="9">
        <f t="array" ref="B380">COUNT(FIND("input",$D380:$BY380))</f>
        <v>0</v>
      </c>
      <c r="C380" s="9">
        <f t="array" ref="C380">COUNT(FIND("output",$D380:$BY380))</f>
        <v>1</v>
      </c>
      <c r="AH380" t="s">
        <v>2661</v>
      </c>
    </row>
    <row r="381" spans="1:34" ht="14.5" customHeight="1" x14ac:dyDescent="0.2">
      <c r="A381" s="9" t="str">
        <f>IF(ISBLANK('Signal Definition'!J381),"",'Signal Definition'!J381)</f>
        <v>RealECU_prcEngDrvrDmdTq_PHY</v>
      </c>
      <c r="B381" s="9">
        <f t="array" ref="B381">COUNT(FIND("input",$D381:$BY381))</f>
        <v>0</v>
      </c>
      <c r="C381" s="9">
        <f t="array" ref="C381">COUNT(FIND("output",$D381:$BY381))</f>
        <v>1</v>
      </c>
      <c r="AH381" t="s">
        <v>2661</v>
      </c>
    </row>
    <row r="382" spans="1:34" ht="14.5" customHeight="1" x14ac:dyDescent="0.2">
      <c r="A382" s="9" t="str">
        <f>IF(ISBLANK('Signal Definition'!J382),"",'Signal Definition'!J382)</f>
        <v>RealECU_trqEngSetInr_PHY</v>
      </c>
      <c r="B382" s="9">
        <f t="array" ref="B382">COUNT(FIND("input",$D382:$BY382))</f>
        <v>0</v>
      </c>
      <c r="C382" s="9">
        <f t="array" ref="C382">COUNT(FIND("output",$D382:$BY382))</f>
        <v>1</v>
      </c>
      <c r="AH382" t="s">
        <v>2661</v>
      </c>
    </row>
    <row r="383" spans="1:34" ht="14.5" customHeight="1" x14ac:dyDescent="0.2">
      <c r="A383" s="9" t="str">
        <f>IF(ISBLANK('Signal Definition'!J383),"",'Signal Definition'!J383)</f>
        <v>RealECU_prcTrbVlvDes_PHY</v>
      </c>
      <c r="B383" s="9">
        <f t="array" ref="B383">COUNT(FIND("input",$D383:$BY383))</f>
        <v>0</v>
      </c>
      <c r="C383" s="9">
        <f t="array" ref="C383">COUNT(FIND("output",$D383:$BY383))</f>
        <v>1</v>
      </c>
      <c r="AH383" t="s">
        <v>2661</v>
      </c>
    </row>
    <row r="384" spans="1:34" ht="14.5" customHeight="1" x14ac:dyDescent="0.2">
      <c r="A384" s="9" t="str">
        <f>IF(ISBLANK('Signal Definition'!J384),"",'Signal Definition'!J384)</f>
        <v>RealECU_prcEgrVlvDes_PHY</v>
      </c>
      <c r="B384" s="9">
        <f t="array" ref="B384">COUNT(FIND("input",$D384:$BY384))</f>
        <v>0</v>
      </c>
      <c r="C384" s="9">
        <f t="array" ref="C384">COUNT(FIND("output",$D384:$BY384))</f>
        <v>1</v>
      </c>
      <c r="AH384" t="s">
        <v>2661</v>
      </c>
    </row>
    <row r="385" spans="1:34" ht="14.5" customHeight="1" x14ac:dyDescent="0.2">
      <c r="A385" s="9" t="str">
        <f>IF(ISBLANK('Signal Definition'!J385),"",'Signal Definition'!J385)</f>
        <v>RealECU_prcThrVlvDes_PHY</v>
      </c>
      <c r="B385" s="9">
        <f t="array" ref="B385">COUNT(FIND("input",$D385:$BY385))</f>
        <v>0</v>
      </c>
      <c r="C385" s="9">
        <f t="array" ref="C385">COUNT(FIND("output",$D385:$BY385))</f>
        <v>1</v>
      </c>
      <c r="AH385" t="s">
        <v>2661</v>
      </c>
    </row>
    <row r="386" spans="1:34" ht="14.5" customHeight="1" x14ac:dyDescent="0.2">
      <c r="A386" s="9" t="str">
        <f>IF(ISBLANK('Signal Definition'!J386),"",'Signal Definition'!J386)</f>
        <v>RealECU_stCrsCtrl_PHY</v>
      </c>
      <c r="B386" s="9">
        <f t="array" ref="B386">COUNT(FIND("input",$D386:$BY386))</f>
        <v>0</v>
      </c>
      <c r="C386" s="9">
        <f t="array" ref="C386">COUNT(FIND("output",$D386:$BY386))</f>
        <v>1</v>
      </c>
      <c r="AH386" t="s">
        <v>2661</v>
      </c>
    </row>
    <row r="387" spans="1:34" ht="14.5" customHeight="1" x14ac:dyDescent="0.2">
      <c r="A387" s="9" t="str">
        <f>IF(ISBLANK('Signal Definition'!J387),"",'Signal Definition'!J387)</f>
        <v>RealECU_vVehDesCrsCtrl_PHY</v>
      </c>
      <c r="B387" s="9">
        <f t="array" ref="B387">COUNT(FIND("input",$D387:$BY387))</f>
        <v>0</v>
      </c>
      <c r="C387" s="9">
        <f t="array" ref="C387">COUNT(FIND("output",$D387:$BY387))</f>
        <v>1</v>
      </c>
      <c r="AH387" t="s">
        <v>2661</v>
      </c>
    </row>
    <row r="388" spans="1:34" ht="14.5" customHeight="1" x14ac:dyDescent="0.2">
      <c r="A388" s="9" t="str">
        <f>IF(ISBLANK('Signal Definition'!J388),"",'Signal Definition'!J388)</f>
        <v>RealECU_vVehCrsCtrl_PHY</v>
      </c>
      <c r="B388" s="9">
        <f t="array" ref="B388">COUNT(FIND("input",$D388:$BY388))</f>
        <v>0</v>
      </c>
      <c r="C388" s="9">
        <f t="array" ref="C388">COUNT(FIND("output",$D388:$BY388))</f>
        <v>1</v>
      </c>
      <c r="AH388" t="s">
        <v>2661</v>
      </c>
    </row>
    <row r="389" spans="1:34" ht="14.5" customHeight="1" x14ac:dyDescent="0.2">
      <c r="A389" s="9" t="str">
        <f>IF(ISBLANK('Signal Definition'!J389),"",'Signal Definition'!J389)</f>
        <v>RealECU_pIntkMnfldDes_PHY</v>
      </c>
      <c r="B389" s="9">
        <f t="array" ref="B389">COUNT(FIND("input",$D389:$BY389))</f>
        <v>0</v>
      </c>
      <c r="C389" s="9">
        <f t="array" ref="C389">COUNT(FIND("output",$D389:$BY389))</f>
        <v>1</v>
      </c>
      <c r="AH389" t="s">
        <v>2661</v>
      </c>
    </row>
    <row r="390" spans="1:34" ht="14.5" customHeight="1" x14ac:dyDescent="0.2">
      <c r="A390" s="9" t="str">
        <f>IF(ISBLANK('Signal Definition'!J390),"",'Signal Definition'!J390)</f>
        <v>RealECU_mflChrgdAirDes_PHY</v>
      </c>
      <c r="B390" s="9">
        <f t="array" ref="B390">COUNT(FIND("input",$D390:$BY390))</f>
        <v>0</v>
      </c>
      <c r="C390" s="9">
        <f t="array" ref="C390">COUNT(FIND("output",$D390:$BY390))</f>
        <v>1</v>
      </c>
      <c r="AH390" t="s">
        <v>2661</v>
      </c>
    </row>
    <row r="391" spans="1:34" ht="14.5" customHeight="1" x14ac:dyDescent="0.2">
      <c r="A391" s="9" t="str">
        <f>IF(ISBLANK('Signal Definition'!J391),"",'Signal Definition'!J391)</f>
        <v>RealECU_trqEstimdTotAux_PHY</v>
      </c>
      <c r="B391" s="9">
        <f t="array" ref="B391">COUNT(FIND("input",$D391:$BY391))</f>
        <v>0</v>
      </c>
      <c r="C391" s="9">
        <f t="array" ref="C391">COUNT(FIND("output",$D391:$BY391))</f>
        <v>1</v>
      </c>
      <c r="AH391" t="s">
        <v>2661</v>
      </c>
    </row>
    <row r="392" spans="1:34" ht="14.5" customHeight="1" x14ac:dyDescent="0.2">
      <c r="A392" s="9" t="str">
        <f>IF(ISBLANK('Signal Definition'!J392),"",'Signal Definition'!J392)</f>
        <v>RealECU_swtAirCmpr_PHY</v>
      </c>
      <c r="B392" s="9">
        <f t="array" ref="B392">COUNT(FIND("input",$D392:$BY392))</f>
        <v>0</v>
      </c>
      <c r="C392" s="9">
        <f t="array" ref="C392">COUNT(FIND("output",$D392:$BY392))</f>
        <v>1</v>
      </c>
      <c r="AH392" t="s">
        <v>2661</v>
      </c>
    </row>
    <row r="393" spans="1:34" ht="14.5" customHeight="1" x14ac:dyDescent="0.2">
      <c r="A393" s="9" t="str">
        <f>IF(ISBLANK('Signal Definition'!J393),"",'Signal Definition'!J393)</f>
        <v>RealECU_pAirTank_PHY</v>
      </c>
      <c r="B393" s="9">
        <f t="array" ref="B393">COUNT(FIND("input",$D393:$BY393))</f>
        <v>0</v>
      </c>
      <c r="C393" s="9">
        <f t="array" ref="C393">COUNT(FIND("output",$D393:$BY393))</f>
        <v>1</v>
      </c>
      <c r="AH393" t="s">
        <v>2661</v>
      </c>
    </row>
    <row r="394" spans="1:34" ht="14.5" customHeight="1" x14ac:dyDescent="0.2">
      <c r="A394" s="9" t="str">
        <f>IF(ISBLANK('Signal Definition'!J394),"",'Signal Definition'!J394)</f>
        <v>RealECU_swtAirCmprOpertgMod_PHY</v>
      </c>
      <c r="B394" s="9">
        <f t="array" ref="B394">COUNT(FIND("input",$D394:$BY394))</f>
        <v>0</v>
      </c>
      <c r="C394" s="9">
        <f t="array" ref="C394">COUNT(FIND("output",$D394:$BY394))</f>
        <v>1</v>
      </c>
      <c r="AH394" t="s">
        <v>2661</v>
      </c>
    </row>
    <row r="395" spans="1:34" ht="14.5" customHeight="1" x14ac:dyDescent="0.2">
      <c r="A395" s="9" t="str">
        <f>IF(ISBLANK('Signal Definition'!J395),"",'Signal Definition'!J395)</f>
        <v>RealECU_stBattStOfChrg_PHY</v>
      </c>
      <c r="B395" s="9">
        <f t="array" ref="B395">COUNT(FIND("input",$D395:$BY395))</f>
        <v>0</v>
      </c>
      <c r="C395" s="9">
        <f t="array" ref="C395">COUNT(FIND("output",$D395:$BY395))</f>
        <v>1</v>
      </c>
      <c r="AH395" t="s">
        <v>2661</v>
      </c>
    </row>
    <row r="396" spans="1:34" ht="14.5" customHeight="1" x14ac:dyDescent="0.2">
      <c r="A396" s="9" t="str">
        <f>IF(ISBLANK('Signal Definition'!J396),"",'Signal Definition'!J396)</f>
        <v>RealECU_trqGenr_PHY</v>
      </c>
      <c r="B396" s="9">
        <f t="array" ref="B396">COUNT(FIND("input",$D396:$BY396))</f>
        <v>0</v>
      </c>
      <c r="C396" s="9">
        <f t="array" ref="C396">COUNT(FIND("output",$D396:$BY396))</f>
        <v>1</v>
      </c>
      <c r="AH396" t="s">
        <v>2661</v>
      </c>
    </row>
    <row r="397" spans="1:34" ht="14.5" customHeight="1" x14ac:dyDescent="0.2">
      <c r="A397" s="9" t="str">
        <f>IF(ISBLANK('Signal Definition'!J397),"",'Signal Definition'!J397)</f>
        <v>RealECU_nGenr_PHY</v>
      </c>
      <c r="B397" s="9">
        <f t="array" ref="B397">COUNT(FIND("input",$D397:$BY397))</f>
        <v>0</v>
      </c>
      <c r="C397" s="9">
        <f t="array" ref="C397">COUNT(FIND("output",$D397:$BY397))</f>
        <v>1</v>
      </c>
      <c r="AH397" t="s">
        <v>2661</v>
      </c>
    </row>
    <row r="398" spans="1:34" ht="14.5" customHeight="1" x14ac:dyDescent="0.2">
      <c r="A398" s="9" t="str">
        <f>IF(ISBLANK('Signal Definition'!J398),"",'Signal Definition'!J398)</f>
        <v>RealECU_tCooltSp_PHY</v>
      </c>
      <c r="B398" s="9">
        <f t="array" ref="B398">COUNT(FIND("input",$D398:$BY398))</f>
        <v>0</v>
      </c>
      <c r="C398" s="9">
        <f t="array" ref="C398">COUNT(FIND("output",$D398:$BY398))</f>
        <v>1</v>
      </c>
      <c r="AH398" t="s">
        <v>2661</v>
      </c>
    </row>
    <row r="399" spans="1:34" ht="14.5" customHeight="1" x14ac:dyDescent="0.2">
      <c r="A399" s="9" t="str">
        <f>IF(ISBLANK('Signal Definition'!J399),"",'Signal Definition'!J399)</f>
        <v>RealECU_tIntrTSp_PHY</v>
      </c>
      <c r="B399" s="9">
        <f t="array" ref="B399">COUNT(FIND("input",$D399:$BY399))</f>
        <v>0</v>
      </c>
      <c r="C399" s="9">
        <f t="array" ref="C399">COUNT(FIND("output",$D399:$BY399))</f>
        <v>1</v>
      </c>
      <c r="AH399" t="s">
        <v>2661</v>
      </c>
    </row>
    <row r="400" spans="1:34" ht="14.5" customHeight="1" x14ac:dyDescent="0.2">
      <c r="A400" s="9" t="str">
        <f>IF(ISBLANK('Signal Definition'!J400),"",'Signal Definition'!J400)</f>
        <v>RealECU_nCrksft_PHY</v>
      </c>
      <c r="B400" s="9">
        <f t="array" ref="B400">COUNT(FIND("input",$D400:$BY400))</f>
        <v>0</v>
      </c>
      <c r="C400" s="9">
        <f t="array" ref="C400">COUNT(FIND("output",$D400:$BY400))</f>
        <v>1</v>
      </c>
      <c r="AH400" t="s">
        <v>2661</v>
      </c>
    </row>
    <row r="401" spans="1:38" ht="14.5" customHeight="1" x14ac:dyDescent="0.2">
      <c r="A401" s="9" t="str">
        <f>IF(ISBLANK('Signal Definition'!J401),"",'Signal Definition'!J401)</f>
        <v>RealECU_trqEngTqOut_PHY</v>
      </c>
      <c r="B401" s="9">
        <f t="array" ref="B401">COUNT(FIND("input",$D401:$BY401))</f>
        <v>0</v>
      </c>
      <c r="C401" s="9">
        <f t="array" ref="C401">COUNT(FIND("output",$D401:$BY401))</f>
        <v>1</v>
      </c>
      <c r="AH401" t="s">
        <v>2661</v>
      </c>
    </row>
    <row r="402" spans="1:38" ht="14.5" customHeight="1" x14ac:dyDescent="0.2">
      <c r="A402" s="9" t="str">
        <f>IF(ISBLANK('Signal Definition'!J402),"",'Signal Definition'!J402)</f>
        <v>RealECU_pwrRqrdElecPwrConsumer_PHY</v>
      </c>
      <c r="B402" s="9">
        <f t="array" ref="B402">COUNT(FIND("input",$D402:$BY402))</f>
        <v>0</v>
      </c>
      <c r="C402" s="9">
        <f t="array" ref="C402">COUNT(FIND("output",$D402:$BY402))</f>
        <v>1</v>
      </c>
      <c r="AH402" t="s">
        <v>2661</v>
      </c>
    </row>
    <row r="403" spans="1:38" ht="14.5" customHeight="1" x14ac:dyDescent="0.2">
      <c r="A403" s="9" t="str">
        <f>IF(ISBLANK('Signal Definition'!J403),"",'Signal Definition'!J403)</f>
        <v>RealECU_pwrMotGenrSetPwr_PHY</v>
      </c>
      <c r="B403" s="9">
        <f t="array" ref="B403">COUNT(FIND("input",$D403:$BY403))</f>
        <v>0</v>
      </c>
      <c r="C403" s="9">
        <f t="array" ref="C403">COUNT(FIND("output",$D403:$BY403))</f>
        <v>1</v>
      </c>
      <c r="AH403" t="s">
        <v>2661</v>
      </c>
    </row>
    <row r="404" spans="1:38" ht="14.5" customHeight="1" x14ac:dyDescent="0.2">
      <c r="A404" s="9" t="str">
        <f>IF(ISBLANK('Signal Definition'!J404),"",'Signal Definition'!J404)</f>
        <v>RealECU_pwrMotGenrPwrMax_PHY</v>
      </c>
      <c r="B404" s="9">
        <f t="array" ref="B404">COUNT(FIND("input",$D404:$BY404))</f>
        <v>0</v>
      </c>
      <c r="C404" s="9">
        <f t="array" ref="C404">COUNT(FIND("output",$D404:$BY404))</f>
        <v>1</v>
      </c>
      <c r="AH404" t="s">
        <v>2661</v>
      </c>
    </row>
    <row r="405" spans="1:38" ht="14.5" customHeight="1" x14ac:dyDescent="0.2">
      <c r="A405" s="9" t="str">
        <f>IF(ISBLANK('Signal Definition'!J405),"",'Signal Definition'!J405)</f>
        <v>RealECU_pwrMotGenrPwrMin_PHY</v>
      </c>
      <c r="B405" s="9">
        <f t="array" ref="B405">COUNT(FIND("input",$D405:$BY405))</f>
        <v>0</v>
      </c>
      <c r="C405" s="9">
        <f t="array" ref="C405">COUNT(FIND("output",$D405:$BY405))</f>
        <v>1</v>
      </c>
      <c r="AH405" t="s">
        <v>2661</v>
      </c>
    </row>
    <row r="406" spans="1:38" ht="14.5" customHeight="1" x14ac:dyDescent="0.2">
      <c r="A406" s="9" t="str">
        <f>IF(ISBLANK('Signal Definition'!J406),"",'Signal Definition'!J406)</f>
        <v>RealECU_pwrBattPwrMaxAvl_PHY</v>
      </c>
      <c r="B406" s="9">
        <f t="array" ref="B406">COUNT(FIND("input",$D406:$BY406))</f>
        <v>0</v>
      </c>
      <c r="C406" s="9">
        <f t="array" ref="C406">COUNT(FIND("output",$D406:$BY406))</f>
        <v>1</v>
      </c>
      <c r="AH406" t="s">
        <v>2661</v>
      </c>
    </row>
    <row r="407" spans="1:38" ht="14.5" customHeight="1" x14ac:dyDescent="0.2">
      <c r="A407" s="9" t="str">
        <f>IF(ISBLANK('Signal Definition'!J407),"",'Signal Definition'!J407)</f>
        <v>RealECU_pwrBattPwrMinAvl_PHY</v>
      </c>
      <c r="B407" s="9">
        <f t="array" ref="B407">COUNT(FIND("input",$D407:$BY407))</f>
        <v>0</v>
      </c>
      <c r="C407" s="9">
        <f t="array" ref="C407">COUNT(FIND("output",$D407:$BY407))</f>
        <v>1</v>
      </c>
      <c r="AH407" t="s">
        <v>2661</v>
      </c>
    </row>
    <row r="408" spans="1:38" ht="14.5" customHeight="1" x14ac:dyDescent="0.2">
      <c r="A408" s="9" t="str">
        <f>IF(ISBLANK('Signal Definition'!J408),"",'Signal Definition'!J408)</f>
        <v>RealECU_vVehSpd_PHY</v>
      </c>
      <c r="B408" s="9">
        <f t="array" ref="B408">COUNT(FIND("input",$D408:$BY408))</f>
        <v>0</v>
      </c>
      <c r="C408" s="9">
        <f t="array" ref="C408">COUNT(FIND("output",$D408:$BY408))</f>
        <v>1</v>
      </c>
      <c r="AH408" t="s">
        <v>2661</v>
      </c>
    </row>
    <row r="409" spans="1:38" ht="14.5" customHeight="1" x14ac:dyDescent="0.2">
      <c r="A409" s="9" t="str">
        <f>IF(ISBLANK('Signal Definition'!J409),"",'Signal Definition'!J409)</f>
        <v>RealECU_lDstTrvld_PHY</v>
      </c>
      <c r="B409" s="9">
        <f t="array" ref="B409">COUNT(FIND("input",$D409:$BY409))</f>
        <v>0</v>
      </c>
      <c r="C409" s="9">
        <f t="array" ref="C409">COUNT(FIND("output",$D409:$BY409))</f>
        <v>1</v>
      </c>
      <c r="AH409" t="s">
        <v>2661</v>
      </c>
    </row>
    <row r="410" spans="1:38" ht="14.5" customHeight="1" x14ac:dyDescent="0.2">
      <c r="A410" s="9" t="str">
        <f>IF(ISBLANK('Signal Definition'!J410),"",'Signal Definition'!J410)</f>
        <v>RealECU_aVeh_PHY</v>
      </c>
      <c r="B410" s="9">
        <f t="array" ref="B410">COUNT(FIND("input",$D410:$BY410))</f>
        <v>0</v>
      </c>
      <c r="C410" s="9">
        <f t="array" ref="C410">COUNT(FIND("output",$D410:$BY410))</f>
        <v>1</v>
      </c>
      <c r="AH410" t="s">
        <v>2661</v>
      </c>
    </row>
    <row r="411" spans="1:38" ht="14.5" customHeight="1" x14ac:dyDescent="0.2">
      <c r="A411" s="9" t="str">
        <f>IF(ISBLANK('Signal Definition'!J411),"",'Signal Definition'!J411)</f>
        <v>RealECU_omegaWhlSpd_PHY</v>
      </c>
      <c r="B411" s="9">
        <f t="array" ref="B411">COUNT(FIND("input",$D411:$BY411))</f>
        <v>0</v>
      </c>
      <c r="C411" s="9">
        <f t="array" ref="C411">COUNT(FIND("output",$D411:$BY411))</f>
        <v>1</v>
      </c>
      <c r="AH411" t="s">
        <v>2661</v>
      </c>
    </row>
    <row r="412" spans="1:38" x14ac:dyDescent="0.2">
      <c r="A412" s="9" t="str">
        <f>IF(ISBLANK('Signal Definition'!J412),"",'Signal Definition'!J412)</f>
        <v>RealRPU_swtAirCmpr_PHY</v>
      </c>
      <c r="B412" s="9">
        <f t="array" ref="B412">COUNT(FIND("input",$D412:$BY412))</f>
        <v>0</v>
      </c>
      <c r="C412" s="9">
        <f t="array" ref="C412">COUNT(FIND("output",$D412:$BY412))</f>
        <v>1</v>
      </c>
      <c r="AL412" t="s">
        <v>2661</v>
      </c>
    </row>
    <row r="413" spans="1:38" ht="14.5" customHeight="1" x14ac:dyDescent="0.2">
      <c r="A413" s="9" t="str">
        <f>IF(ISBLANK('Signal Definition'!J413),"",'Signal Definition'!J413)</f>
        <v>RealRPU_swtAirCmprOpertgMod_PHY</v>
      </c>
      <c r="B413" s="9">
        <f t="array" ref="B413">COUNT(FIND("input",$D413:$BY413))</f>
        <v>0</v>
      </c>
      <c r="C413" s="9">
        <f t="array" ref="C413">COUNT(FIND("output",$D413:$BY413))</f>
        <v>1</v>
      </c>
      <c r="AL413" t="s">
        <v>2661</v>
      </c>
    </row>
    <row r="414" spans="1:38" ht="14.5" customHeight="1" x14ac:dyDescent="0.2">
      <c r="A414" s="9" t="str">
        <f>IF(ISBLANK('Signal Definition'!J414),"",'Signal Definition'!J414)</f>
        <v>RealRPU_swtEngOpertgModOvrd_PHY</v>
      </c>
      <c r="B414" s="9">
        <f t="array" ref="B414">COUNT(FIND("input",$D414:$BY414))</f>
        <v>0</v>
      </c>
      <c r="C414" s="9">
        <f t="array" ref="C414">COUNT(FIND("output",$D414:$BY414))</f>
        <v>1</v>
      </c>
      <c r="AL414" t="s">
        <v>2661</v>
      </c>
    </row>
    <row r="415" spans="1:38" ht="14.5" customHeight="1" x14ac:dyDescent="0.2">
      <c r="A415" s="9" t="str">
        <f>IF(ISBLANK('Signal Definition'!J415),"",'Signal Definition'!J415)</f>
        <v>RealRPU_numEngOpertgModOvrd_PHY</v>
      </c>
      <c r="B415" s="9">
        <f t="array" ref="B415">COUNT(FIND("input",$D415:$BY415))</f>
        <v>0</v>
      </c>
      <c r="C415" s="9">
        <f t="array" ref="C415">COUNT(FIND("output",$D415:$BY415))</f>
        <v>1</v>
      </c>
      <c r="AL415" t="s">
        <v>2661</v>
      </c>
    </row>
    <row r="416" spans="1:38" ht="14.5" customHeight="1" x14ac:dyDescent="0.2">
      <c r="A416" s="9" t="str">
        <f>IF(ISBLANK('Signal Definition'!J416),"",'Signal Definition'!J416)</f>
        <v>RealRPU_tCooltSp_PHY</v>
      </c>
      <c r="B416" s="9">
        <f t="array" ref="B416">COUNT(FIND("input",$D416:$BY416))</f>
        <v>0</v>
      </c>
      <c r="C416" s="9">
        <f t="array" ref="C416">COUNT(FIND("output",$D416:$BY416))</f>
        <v>1</v>
      </c>
      <c r="AL416" t="s">
        <v>2661</v>
      </c>
    </row>
    <row r="417" spans="1:41" ht="14.5" customHeight="1" x14ac:dyDescent="0.2">
      <c r="A417" s="9" t="str">
        <f>IF(ISBLANK('Signal Definition'!J417),"",'Signal Definition'!J417)</f>
        <v>RealRPU_tIntrTSp_PHY</v>
      </c>
      <c r="B417" s="9">
        <f t="array" ref="B417">COUNT(FIND("input",$D417:$BY417))</f>
        <v>0</v>
      </c>
      <c r="C417" s="9">
        <f t="array" ref="C417">COUNT(FIND("output",$D417:$BY417))</f>
        <v>1</v>
      </c>
      <c r="AL417" t="s">
        <v>2661</v>
      </c>
    </row>
    <row r="418" spans="1:41" ht="14.5" customHeight="1" x14ac:dyDescent="0.2">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5" customHeight="1" x14ac:dyDescent="0.2">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5" customHeight="1" x14ac:dyDescent="0.2">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5" customHeight="1" x14ac:dyDescent="0.2">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5" customHeight="1" x14ac:dyDescent="0.2">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1" x14ac:dyDescent="0.2">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
      <c r="A432" s="9" t="str">
        <f>IF(ISBLANK('Signal Definition'!J432),"",'Signal Definition'!J432)</f>
        <v>HrznAryCalcn_nEngSpdHrznCurrVal_INT</v>
      </c>
      <c r="B432" s="9">
        <f t="array" ref="B432">COUNT(FIND("input",$D432:$BY432))</f>
        <v>0</v>
      </c>
      <c r="C432" s="9">
        <f t="array" ref="C432">COUNT(FIND("output",$D432:$BY432))</f>
        <v>0</v>
      </c>
    </row>
    <row r="433" spans="1:41" x14ac:dyDescent="0.2">
      <c r="A433" s="9" t="str">
        <f>IF(ISBLANK('Signal Definition'!J433),"",'Signal Definition'!J433)</f>
        <v>HrznAryCalcn_trqEngTqHrznCurrVal_INT</v>
      </c>
      <c r="B433" s="9">
        <f t="array" ref="B433">COUNT(FIND("input",$D433:$BY433))</f>
        <v>0</v>
      </c>
      <c r="C433" s="9">
        <f t="array" ref="C433">COUNT(FIND("output",$D433:$BY433))</f>
        <v>0</v>
      </c>
    </row>
    <row r="434" spans="1:41" x14ac:dyDescent="0.2">
      <c r="A434" s="9" t="str">
        <f>IF(ISBLANK('Signal Definition'!J434),"",'Signal Definition'!J434)</f>
        <v>HrznAryCalcn_tiTiHrznCurrVal_INT</v>
      </c>
      <c r="B434" s="9">
        <f t="array" ref="B434">COUNT(FIND("input",$D434:$BY434))</f>
        <v>0</v>
      </c>
      <c r="C434" s="9">
        <f t="array" ref="C434">COUNT(FIND("output",$D434:$BY434))</f>
        <v>0</v>
      </c>
    </row>
    <row r="435" spans="1:41" x14ac:dyDescent="0.2">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
      <c r="A441" s="9" t="str">
        <f>IF(ISBLANK('Signal Definition'!J441),"",'Signal Definition'!J441)</f>
        <v>HrznAryCalcn_lDstPredCurrValDe_INT</v>
      </c>
      <c r="B441" s="9">
        <f t="array" ref="B441">COUNT(FIND("input",$D441:$BY441))</f>
        <v>0</v>
      </c>
      <c r="C441" s="9">
        <f t="array" ref="C441">COUNT(FIND("output",$D441:$BY441))</f>
        <v>0</v>
      </c>
    </row>
    <row r="442" spans="1:41" x14ac:dyDescent="0.2">
      <c r="A442" s="9" t="str">
        <f>IF(ISBLANK('Signal Definition'!J442),"",'Signal Definition'!J442)</f>
        <v>HrznAryCalcn_lDstPredCurrVal_INT</v>
      </c>
      <c r="B442" s="9">
        <f t="array" ref="B442">COUNT(FIND("input",$D442:$BY442))</f>
        <v>0</v>
      </c>
      <c r="C442" s="9">
        <f t="array" ref="C442">COUNT(FIND("output",$D442:$BY442))</f>
        <v>0</v>
      </c>
    </row>
    <row r="443" spans="1:41" x14ac:dyDescent="0.2">
      <c r="A443" s="9" t="str">
        <f>IF(ISBLANK('Signal Definition'!J443),"",'Signal Definition'!J443)</f>
        <v>HrznAryCalcn_vVehVPredCurrVal_INT</v>
      </c>
      <c r="B443" s="9">
        <f t="array" ref="B443">COUNT(FIND("input",$D443:$BY443))</f>
        <v>0</v>
      </c>
      <c r="C443" s="9">
        <f t="array" ref="C443">COUNT(FIND("output",$D443:$BY443))</f>
        <v>0</v>
      </c>
    </row>
    <row r="444" spans="1:41" x14ac:dyDescent="0.2">
      <c r="A444" s="9" t="str">
        <f>IF(ISBLANK('Signal Definition'!J444),"",'Signal Definition'!J444)</f>
        <v>HrznAryCalcn_vVehVPredDeltaStep_INT</v>
      </c>
      <c r="B444" s="9">
        <f t="array" ref="B444">COUNT(FIND("input",$D444:$BY444))</f>
        <v>0</v>
      </c>
      <c r="C444" s="9">
        <f t="array" ref="C444">COUNT(FIND("output",$D444:$BY444))</f>
        <v>0</v>
      </c>
    </row>
    <row r="445" spans="1:41" x14ac:dyDescent="0.2">
      <c r="A445" s="9" t="str">
        <f>IF(ISBLANK('Signal Definition'!J445),"",'Signal Definition'!J445)</f>
        <v>HrznAryCalcn_nEngSpdPredTrcCurrVal_INT</v>
      </c>
      <c r="B445" s="9">
        <f t="array" ref="B445">COUNT(FIND("input",$D445:$BY445))</f>
        <v>0</v>
      </c>
      <c r="C445" s="9">
        <f t="array" ref="C445">COUNT(FIND("output",$D445:$BY445))</f>
        <v>0</v>
      </c>
    </row>
    <row r="446" spans="1:41" x14ac:dyDescent="0.2">
      <c r="A446" s="9" t="str">
        <f>IF(ISBLANK('Signal Definition'!J446),"",'Signal Definition'!J446)</f>
        <v>HrznAryCalcn_trqEngTqPredTrcCurrVal_INT</v>
      </c>
      <c r="B446" s="9">
        <f t="array" ref="B446">COUNT(FIND("input",$D446:$BY446))</f>
        <v>0</v>
      </c>
      <c r="C446" s="9">
        <f t="array" ref="C446">COUNT(FIND("output",$D446:$BY446))</f>
        <v>0</v>
      </c>
    </row>
    <row r="447" spans="1:41" x14ac:dyDescent="0.2">
      <c r="A447" s="9" t="str">
        <f>IF(ISBLANK('Signal Definition'!J447),"",'Signal Definition'!J447)</f>
        <v>HrznAryCalcn_lPredtnHrznPosnStrt_INT</v>
      </c>
      <c r="B447" s="9">
        <f t="array" ref="B447">COUNT(FIND("input",$D447:$BY447))</f>
        <v>0</v>
      </c>
      <c r="C447" s="9">
        <f t="array" ref="C447">COUNT(FIND("output",$D447:$BY447))</f>
        <v>0</v>
      </c>
    </row>
    <row r="448" spans="1:41" x14ac:dyDescent="0.2">
      <c r="A448" s="9" t="str">
        <f>IF(ISBLANK('Signal Definition'!J448),"",'Signal Definition'!J448)</f>
        <v>HrznAryCalcn_lPredtnHrznPosnEnd_INT</v>
      </c>
      <c r="B448" s="9">
        <f t="array" ref="B448">COUNT(FIND("input",$D448:$BY448))</f>
        <v>0</v>
      </c>
      <c r="C448" s="9">
        <f t="array" ref="C448">COUNT(FIND("output",$D448:$BY448))</f>
        <v>0</v>
      </c>
    </row>
    <row r="449" spans="1:3" x14ac:dyDescent="0.2">
      <c r="A449" s="9" t="str">
        <f>IF(ISBLANK('Signal Definition'!J449),"",'Signal Definition'!J449)</f>
        <v>HrznAryCalcn_tiPredtnHrznTiStrt_INT</v>
      </c>
      <c r="B449" s="9">
        <f t="array" ref="B449">COUNT(FIND("input",$D449:$BY449))</f>
        <v>0</v>
      </c>
      <c r="C449" s="9">
        <f t="array" ref="C449">COUNT(FIND("output",$D449:$BY449))</f>
        <v>0</v>
      </c>
    </row>
    <row r="450" spans="1:3" x14ac:dyDescent="0.2">
      <c r="A450" s="9" t="str">
        <f>IF(ISBLANK('Signal Definition'!J450),"",'Signal Definition'!J450)</f>
        <v>HrznAryCalcn_tiPredtnHrznTiEnd_INT</v>
      </c>
      <c r="B450" s="9">
        <f t="array" ref="B450">COUNT(FIND("input",$D450:$BY450))</f>
        <v>0</v>
      </c>
      <c r="C450" s="9">
        <f t="array" ref="C450">COUNT(FIND("output",$D450:$BY450))</f>
        <v>0</v>
      </c>
    </row>
    <row r="451" spans="1:3" x14ac:dyDescent="0.2">
      <c r="A451" s="9" t="str">
        <f>IF(ISBLANK('Signal Definition'!J451),"",'Signal Definition'!J451)</f>
        <v>HrznAryCalcn_lDstHrznFirst_INT</v>
      </c>
      <c r="B451" s="9">
        <f t="array" ref="B451">COUNT(FIND("input",$D451:$BY451))</f>
        <v>0</v>
      </c>
      <c r="C451" s="9">
        <f t="array" ref="C451">COUNT(FIND("output",$D451:$BY451))</f>
        <v>0</v>
      </c>
    </row>
    <row r="452" spans="1:3" x14ac:dyDescent="0.2">
      <c r="A452" s="9" t="str">
        <f>IF(ISBLANK('Signal Definition'!J452),"",'Signal Definition'!J452)</f>
        <v>HrznAryCalcn_lDstHrznLst_INT</v>
      </c>
      <c r="B452" s="9">
        <f t="array" ref="B452">COUNT(FIND("input",$D452:$BY452))</f>
        <v>0</v>
      </c>
      <c r="C452" s="9">
        <f t="array" ref="C452">COUNT(FIND("output",$D452:$BY452))</f>
        <v>0</v>
      </c>
    </row>
    <row r="453" spans="1:3" x14ac:dyDescent="0.2">
      <c r="A453" s="9" t="str">
        <f>IF(ISBLANK('Signal Definition'!J453),"",'Signal Definition'!J453)</f>
        <v>HrznAryCalcn_vVehVHrznFirst_INT</v>
      </c>
      <c r="B453" s="9">
        <f t="array" ref="B453">COUNT(FIND("input",$D453:$BY453))</f>
        <v>0</v>
      </c>
      <c r="C453" s="9">
        <f t="array" ref="C453">COUNT(FIND("output",$D453:$BY453))</f>
        <v>0</v>
      </c>
    </row>
    <row r="454" spans="1:3" x14ac:dyDescent="0.2">
      <c r="A454" s="9" t="str">
        <f>IF(ISBLANK('Signal Definition'!J454),"",'Signal Definition'!J454)</f>
        <v>HrznAryCalcn_vVehVHrznLst_INT</v>
      </c>
      <c r="B454" s="9">
        <f t="array" ref="B454">COUNT(FIND("input",$D454:$BY454))</f>
        <v>0</v>
      </c>
      <c r="C454" s="9">
        <f t="array" ref="C454">COUNT(FIND("output",$D454:$BY454))</f>
        <v>0</v>
      </c>
    </row>
    <row r="455" spans="1:3" x14ac:dyDescent="0.2">
      <c r="A455" s="9" t="str">
        <f>IF(ISBLANK('Signal Definition'!J455),"",'Signal Definition'!J455)</f>
        <v>HrznAryCalcn_pwrPwrHrznFirst_INT</v>
      </c>
      <c r="B455" s="9">
        <f t="array" ref="B455">COUNT(FIND("input",$D455:$BY455))</f>
        <v>0</v>
      </c>
      <c r="C455" s="9">
        <f t="array" ref="C455">COUNT(FIND("output",$D455:$BY455))</f>
        <v>0</v>
      </c>
    </row>
    <row r="456" spans="1:3" x14ac:dyDescent="0.2">
      <c r="A456" s="9" t="str">
        <f>IF(ISBLANK('Signal Definition'!J456),"",'Signal Definition'!J456)</f>
        <v>HrznAryCalcn_pwrPwrHrznLst_INT</v>
      </c>
      <c r="B456" s="9">
        <f t="array" ref="B456">COUNT(FIND("input",$D456:$BY456))</f>
        <v>0</v>
      </c>
      <c r="C456" s="9">
        <f t="array" ref="C456">COUNT(FIND("output",$D456:$BY456))</f>
        <v>0</v>
      </c>
    </row>
    <row r="457" spans="1:3" x14ac:dyDescent="0.2">
      <c r="A457" s="9" t="str">
        <f>IF(ISBLANK('Signal Definition'!J457),"",'Signal Definition'!J457)</f>
        <v>HrznAryCalcn_pwrPwrPredCurrVal_INT</v>
      </c>
      <c r="B457" s="9">
        <f t="array" ref="B457">COUNT(FIND("input",$D457:$BY457))</f>
        <v>0</v>
      </c>
      <c r="C457" s="9">
        <f t="array" ref="C457">COUNT(FIND("output",$D457:$BY457))</f>
        <v>0</v>
      </c>
    </row>
    <row r="458" spans="1:3" x14ac:dyDescent="0.2">
      <c r="A458" s="9" t="str">
        <f>IF(ISBLANK('Signal Definition'!J458),"",'Signal Definition'!J458)</f>
        <v>HrznAryCalcn_nEngSpdHrznFirst_INT</v>
      </c>
      <c r="B458" s="9">
        <f t="array" ref="B458">COUNT(FIND("input",$D458:$BY458))</f>
        <v>0</v>
      </c>
      <c r="C458" s="9">
        <f t="array" ref="C458">COUNT(FIND("output",$D458:$BY458))</f>
        <v>0</v>
      </c>
    </row>
    <row r="459" spans="1:3" x14ac:dyDescent="0.2">
      <c r="A459" s="9" t="str">
        <f>IF(ISBLANK('Signal Definition'!J459),"",'Signal Definition'!J459)</f>
        <v>HrznAryCalcn_nEngSpdHrznLst_INT</v>
      </c>
      <c r="B459" s="9">
        <f t="array" ref="B459">COUNT(FIND("input",$D459:$BY459))</f>
        <v>0</v>
      </c>
      <c r="C459" s="9">
        <f t="array" ref="C459">COUNT(FIND("output",$D459:$BY459))</f>
        <v>0</v>
      </c>
    </row>
    <row r="460" spans="1:3" x14ac:dyDescent="0.2">
      <c r="A460" s="9" t="str">
        <f>IF(ISBLANK('Signal Definition'!J460),"",'Signal Definition'!J460)</f>
        <v>HrznAryCalcn_trqEngTqHrznFirst_INT</v>
      </c>
      <c r="B460" s="9">
        <f t="array" ref="B460">COUNT(FIND("input",$D460:$BY460))</f>
        <v>0</v>
      </c>
      <c r="C460" s="9">
        <f t="array" ref="C460">COUNT(FIND("output",$D460:$BY460))</f>
        <v>0</v>
      </c>
    </row>
    <row r="461" spans="1:3" x14ac:dyDescent="0.2">
      <c r="A461" s="9" t="str">
        <f>IF(ISBLANK('Signal Definition'!J461),"",'Signal Definition'!J461)</f>
        <v>HrznAryCalcn_trqEngTqHrznLst_INT</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sheetData>
  <sheetProtection algorithmName="SHA-512" hashValue="PLuLcmbLSw/2joUZAVutByfXDBKeTm1IHoiTe/tqEz/Cpr5HuD8T/ReLtkgo08CxMO969sskAnI/oTpzIbHskA==" saltValue="lW/3MYPTPvFbV/VpzM/+Vw==" spinCount="100000" sheet="1" objects="1" scenarios="1" autoFilter="0"/>
  <autoFilter ref="A2:BK1066"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101600</xdr:colOff>
                    <xdr:row>0</xdr:row>
                    <xdr:rowOff>101600</xdr:rowOff>
                  </from>
                  <to>
                    <xdr:col>0</xdr:col>
                    <xdr:colOff>1206500</xdr:colOff>
                    <xdr:row>1</xdr:row>
                    <xdr:rowOff>368300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51"/>
  <sheetViews>
    <sheetView zoomScale="70" zoomScaleNormal="70" workbookViewId="0">
      <selection activeCell="L59" sqref="L59"/>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8" customWidth="1"/>
    <col min="10" max="10" width="9" bestFit="1" customWidth="1"/>
    <col min="11" max="11" width="11.6640625" bestFit="1" customWidth="1"/>
    <col min="12" max="12" width="14.5" customWidth="1"/>
    <col min="13" max="13" width="11.6640625" bestFit="1" customWidth="1"/>
    <col min="14" max="14" width="12" bestFit="1" customWidth="1"/>
    <col min="15" max="15" width="13.6640625" customWidth="1"/>
    <col min="16" max="16" width="36.5" style="54"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0.01</v>
      </c>
    </row>
  </sheetData>
  <sheetProtection algorithmName="SHA-512" hashValue="25i8cF+WSnYFuqYagCMf8aWci/mjhJ7fok7r4USOciSoRAvRjzHKMmBD5DfgDCH/i6yjofBwoClsz6A6bqcmbQ==" saltValue="+OyDDrJdtVh8x7SrXCERXA==" spinCount="100000" sheet="1" objects="1" scenarios="1" autoFilter="0"/>
  <autoFilter ref="A2:P49"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901700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69"/>
  <sheetViews>
    <sheetView topLeftCell="A10" zoomScale="85" zoomScaleNormal="85" zoomScalePageLayoutView="85" workbookViewId="0">
      <selection activeCell="H31" sqref="H31"/>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5" bestFit="1" customWidth="1"/>
    <col min="13" max="13" width="29.1640625" style="57" bestFit="1" customWidth="1"/>
    <col min="14" max="14" width="16.6640625" style="60" bestFit="1" customWidth="1"/>
  </cols>
  <sheetData>
    <row r="1" spans="1:16" ht="27" customHeight="1" x14ac:dyDescent="0.2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
      <c r="A9" s="21" t="s">
        <v>151</v>
      </c>
      <c r="B9" s="21" t="s">
        <v>152</v>
      </c>
      <c r="C9" s="36"/>
      <c r="D9" s="19" t="s">
        <v>2789</v>
      </c>
      <c r="E9" s="20" t="s">
        <v>2828</v>
      </c>
      <c r="H9" s="34" t="s">
        <v>90</v>
      </c>
      <c r="I9" s="30" t="s">
        <v>89</v>
      </c>
      <c r="J9" s="32" t="s">
        <v>2604</v>
      </c>
      <c r="L9" s="64"/>
      <c r="M9" s="58" t="s">
        <v>2782</v>
      </c>
      <c r="N9" s="61" t="s">
        <v>2827</v>
      </c>
    </row>
    <row r="10" spans="1:16" x14ac:dyDescent="0.2">
      <c r="A10" s="21" t="s">
        <v>153</v>
      </c>
      <c r="B10" s="21" t="s">
        <v>154</v>
      </c>
      <c r="C10" s="36"/>
      <c r="D10" s="19" t="s">
        <v>2792</v>
      </c>
      <c r="E10" s="20" t="s">
        <v>2831</v>
      </c>
      <c r="H10" s="34" t="s">
        <v>115</v>
      </c>
      <c r="I10" s="30" t="s">
        <v>114</v>
      </c>
      <c r="J10" s="32" t="s">
        <v>113</v>
      </c>
      <c r="M10" s="57" t="s">
        <v>2789</v>
      </c>
      <c r="N10" s="60" t="s">
        <v>2828</v>
      </c>
    </row>
    <row r="11" spans="1:16" x14ac:dyDescent="0.2">
      <c r="A11" s="21" t="s">
        <v>155</v>
      </c>
      <c r="B11" s="21" t="s">
        <v>156</v>
      </c>
      <c r="C11" s="36"/>
      <c r="D11" s="19" t="s">
        <v>2858</v>
      </c>
      <c r="E11" s="20" t="s">
        <v>2858</v>
      </c>
      <c r="H11" s="34" t="s">
        <v>117</v>
      </c>
      <c r="I11" s="30" t="s">
        <v>116</v>
      </c>
      <c r="J11" s="32" t="s">
        <v>113</v>
      </c>
      <c r="M11" s="57" t="s">
        <v>2784</v>
      </c>
      <c r="N11" s="60" t="s">
        <v>2829</v>
      </c>
    </row>
    <row r="12" spans="1:16" x14ac:dyDescent="0.2">
      <c r="A12" s="21" t="s">
        <v>157</v>
      </c>
      <c r="B12" s="21" t="s">
        <v>158</v>
      </c>
      <c r="C12" s="36"/>
      <c r="D12" s="19" t="s">
        <v>3198</v>
      </c>
      <c r="E12" s="20" t="s">
        <v>3205</v>
      </c>
      <c r="H12" s="34" t="s">
        <v>50</v>
      </c>
      <c r="I12" s="30" t="s">
        <v>49</v>
      </c>
      <c r="J12" s="32" t="s">
        <v>51</v>
      </c>
      <c r="M12" s="57" t="s">
        <v>2791</v>
      </c>
      <c r="N12" s="60" t="s">
        <v>2830</v>
      </c>
    </row>
    <row r="13" spans="1:16" x14ac:dyDescent="0.2">
      <c r="A13" s="21" t="s">
        <v>159</v>
      </c>
      <c r="B13" s="21" t="s">
        <v>160</v>
      </c>
      <c r="C13" s="36"/>
      <c r="D13" s="19" t="s">
        <v>3109</v>
      </c>
      <c r="E13" s="20" t="s">
        <v>3206</v>
      </c>
      <c r="H13" s="34" t="s">
        <v>47</v>
      </c>
      <c r="I13" s="30" t="s">
        <v>46</v>
      </c>
      <c r="J13" s="32" t="s">
        <v>48</v>
      </c>
      <c r="M13" s="57" t="s">
        <v>2856</v>
      </c>
      <c r="N13" s="60" t="s">
        <v>2857</v>
      </c>
    </row>
    <row r="14" spans="1:16" x14ac:dyDescent="0.2">
      <c r="A14" s="21" t="s">
        <v>161</v>
      </c>
      <c r="B14" s="21" t="s">
        <v>162</v>
      </c>
      <c r="C14" s="36"/>
      <c r="D14" s="19" t="s">
        <v>3114</v>
      </c>
      <c r="E14" s="20" t="s">
        <v>3207</v>
      </c>
      <c r="H14" s="34" t="s">
        <v>84</v>
      </c>
      <c r="I14" s="30" t="s">
        <v>83</v>
      </c>
      <c r="J14" s="32" t="s">
        <v>85</v>
      </c>
      <c r="M14" s="57" t="s">
        <v>2625</v>
      </c>
      <c r="N14" s="60" t="s">
        <v>309</v>
      </c>
    </row>
    <row r="15" spans="1:16" x14ac:dyDescent="0.2">
      <c r="A15" s="21" t="s">
        <v>163</v>
      </c>
      <c r="B15" s="21" t="s">
        <v>164</v>
      </c>
      <c r="C15" s="36"/>
      <c r="D15" s="19" t="s">
        <v>3155</v>
      </c>
      <c r="E15" s="20" t="s">
        <v>3160</v>
      </c>
      <c r="H15" s="34" t="s">
        <v>52</v>
      </c>
      <c r="I15" s="30" t="s">
        <v>2607</v>
      </c>
      <c r="J15" s="32" t="s">
        <v>53</v>
      </c>
      <c r="M15" s="57" t="s">
        <v>3697</v>
      </c>
      <c r="N15" s="60" t="s">
        <v>3746</v>
      </c>
    </row>
    <row r="16" spans="1:16" x14ac:dyDescent="0.2">
      <c r="A16" s="21" t="s">
        <v>165</v>
      </c>
      <c r="B16" s="21" t="s">
        <v>166</v>
      </c>
      <c r="C16" s="36"/>
      <c r="D16" s="19" t="s">
        <v>3146</v>
      </c>
      <c r="E16" s="20" t="s">
        <v>3149</v>
      </c>
      <c r="H16" s="34" t="s">
        <v>55</v>
      </c>
      <c r="I16" s="30" t="s">
        <v>54</v>
      </c>
      <c r="J16" s="32" t="s">
        <v>56</v>
      </c>
      <c r="M16" s="57" t="s">
        <v>3837</v>
      </c>
      <c r="N16" s="60" t="s">
        <v>3881</v>
      </c>
    </row>
    <row r="17" spans="1:14" x14ac:dyDescent="0.2">
      <c r="A17" s="21" t="s">
        <v>167</v>
      </c>
      <c r="B17" s="21" t="s">
        <v>168</v>
      </c>
      <c r="C17" s="36"/>
      <c r="D17" s="19" t="s">
        <v>3128</v>
      </c>
      <c r="E17" s="20" t="s">
        <v>3129</v>
      </c>
      <c r="H17" s="34" t="s">
        <v>119</v>
      </c>
      <c r="I17" s="30" t="s">
        <v>118</v>
      </c>
      <c r="J17" s="32" t="s">
        <v>113</v>
      </c>
      <c r="M17" s="57" t="s">
        <v>37</v>
      </c>
      <c r="N17" s="60" t="s">
        <v>133</v>
      </c>
    </row>
    <row r="18" spans="1:14" x14ac:dyDescent="0.2">
      <c r="A18" s="21" t="s">
        <v>169</v>
      </c>
      <c r="B18" s="21" t="s">
        <v>170</v>
      </c>
      <c r="C18" s="36"/>
      <c r="D18" s="19" t="s">
        <v>3162</v>
      </c>
      <c r="E18" s="20" t="s">
        <v>3208</v>
      </c>
      <c r="H18" s="34" t="s">
        <v>3387</v>
      </c>
      <c r="I18" s="30" t="s">
        <v>3388</v>
      </c>
      <c r="J18" s="32" t="s">
        <v>3359</v>
      </c>
    </row>
    <row r="19" spans="1:14" x14ac:dyDescent="0.2">
      <c r="A19" s="21" t="s">
        <v>171</v>
      </c>
      <c r="B19" s="21" t="s">
        <v>172</v>
      </c>
      <c r="C19" s="36"/>
      <c r="D19" s="19" t="s">
        <v>3321</v>
      </c>
      <c r="E19" s="20" t="s">
        <v>3322</v>
      </c>
      <c r="H19" s="34" t="s">
        <v>63</v>
      </c>
      <c r="I19" s="30" t="s">
        <v>62</v>
      </c>
      <c r="J19" s="32" t="s">
        <v>64</v>
      </c>
    </row>
    <row r="20" spans="1:14" x14ac:dyDescent="0.2">
      <c r="A20" s="21" t="s">
        <v>173</v>
      </c>
      <c r="B20" s="21" t="s">
        <v>174</v>
      </c>
      <c r="C20" s="36"/>
      <c r="D20" s="19" t="s">
        <v>3351</v>
      </c>
      <c r="E20" s="20" t="s">
        <v>3352</v>
      </c>
      <c r="H20" s="34" t="s">
        <v>105</v>
      </c>
      <c r="I20" s="30" t="s">
        <v>104</v>
      </c>
      <c r="J20" s="32" t="s">
        <v>3053</v>
      </c>
    </row>
    <row r="21" spans="1:14" x14ac:dyDescent="0.2">
      <c r="A21" s="21" t="s">
        <v>175</v>
      </c>
      <c r="B21" s="21" t="s">
        <v>176</v>
      </c>
      <c r="C21" s="36"/>
      <c r="D21" s="19" t="s">
        <v>3391</v>
      </c>
      <c r="E21" s="20" t="s">
        <v>3392</v>
      </c>
      <c r="H21" s="34" t="s">
        <v>65</v>
      </c>
      <c r="I21" s="30" t="s">
        <v>64</v>
      </c>
      <c r="J21" s="32" t="s">
        <v>66</v>
      </c>
    </row>
    <row r="22" spans="1:14" x14ac:dyDescent="0.2">
      <c r="A22" s="21" t="s">
        <v>177</v>
      </c>
      <c r="B22" s="21" t="s">
        <v>178</v>
      </c>
      <c r="C22" s="36"/>
      <c r="D22" s="19" t="s">
        <v>3495</v>
      </c>
      <c r="E22" s="20" t="s">
        <v>3524</v>
      </c>
      <c r="H22" s="34" t="s">
        <v>68</v>
      </c>
      <c r="I22" s="30" t="s">
        <v>67</v>
      </c>
      <c r="J22" s="32" t="s">
        <v>2599</v>
      </c>
    </row>
    <row r="23" spans="1:14" x14ac:dyDescent="0.2">
      <c r="A23" s="21" t="s">
        <v>179</v>
      </c>
      <c r="B23" s="21" t="s">
        <v>180</v>
      </c>
      <c r="C23" s="36"/>
      <c r="D23" s="19" t="s">
        <v>3514</v>
      </c>
      <c r="E23" s="20" t="s">
        <v>3525</v>
      </c>
      <c r="H23" s="34" t="s">
        <v>61</v>
      </c>
      <c r="I23" s="30" t="s">
        <v>60</v>
      </c>
      <c r="J23" s="32" t="s">
        <v>2605</v>
      </c>
    </row>
    <row r="24" spans="1:14" x14ac:dyDescent="0.2">
      <c r="A24" s="21" t="s">
        <v>181</v>
      </c>
      <c r="B24" s="21" t="s">
        <v>182</v>
      </c>
      <c r="C24" s="36"/>
      <c r="D24" s="19" t="s">
        <v>3535</v>
      </c>
      <c r="E24" s="20" t="s">
        <v>3553</v>
      </c>
      <c r="H24" s="34" t="s">
        <v>121</v>
      </c>
      <c r="I24" s="30" t="s">
        <v>120</v>
      </c>
      <c r="J24" s="32" t="s">
        <v>113</v>
      </c>
    </row>
    <row r="25" spans="1:14" x14ac:dyDescent="0.2">
      <c r="A25" s="21" t="s">
        <v>183</v>
      </c>
      <c r="B25" s="21" t="s">
        <v>184</v>
      </c>
      <c r="C25" s="36"/>
      <c r="D25" s="19" t="s">
        <v>3556</v>
      </c>
      <c r="E25" s="20" t="s">
        <v>3562</v>
      </c>
      <c r="H25" s="34" t="s">
        <v>78</v>
      </c>
      <c r="I25" s="30" t="s">
        <v>77</v>
      </c>
      <c r="J25" s="32" t="s">
        <v>79</v>
      </c>
    </row>
    <row r="26" spans="1:14" x14ac:dyDescent="0.2">
      <c r="A26" s="21" t="s">
        <v>185</v>
      </c>
      <c r="B26" s="21" t="s">
        <v>186</v>
      </c>
      <c r="C26" s="36"/>
      <c r="D26" s="19" t="s">
        <v>3616</v>
      </c>
      <c r="E26" s="20" t="s">
        <v>3623</v>
      </c>
      <c r="H26" s="34" t="s">
        <v>81</v>
      </c>
      <c r="I26" s="30" t="s">
        <v>80</v>
      </c>
      <c r="J26" s="32" t="s">
        <v>82</v>
      </c>
    </row>
    <row r="27" spans="1:14" x14ac:dyDescent="0.2">
      <c r="A27" s="21" t="s">
        <v>187</v>
      </c>
      <c r="B27" s="21" t="s">
        <v>188</v>
      </c>
      <c r="C27" s="36"/>
      <c r="D27" s="19" t="s">
        <v>3624</v>
      </c>
      <c r="E27" s="20" t="s">
        <v>3628</v>
      </c>
      <c r="H27" s="34" t="s">
        <v>73</v>
      </c>
      <c r="I27" s="30" t="s">
        <v>72</v>
      </c>
      <c r="J27" s="32" t="s">
        <v>1679</v>
      </c>
    </row>
    <row r="28" spans="1:14" x14ac:dyDescent="0.2">
      <c r="A28" s="21" t="s">
        <v>189</v>
      </c>
      <c r="B28" s="21" t="s">
        <v>190</v>
      </c>
      <c r="C28" s="36"/>
      <c r="D28" s="19" t="s">
        <v>3625</v>
      </c>
      <c r="E28" s="20" t="s">
        <v>3629</v>
      </c>
      <c r="H28" s="34" t="s">
        <v>1862</v>
      </c>
      <c r="I28" s="30" t="s">
        <v>2929</v>
      </c>
      <c r="J28" s="32" t="s">
        <v>2893</v>
      </c>
    </row>
    <row r="29" spans="1:14" x14ac:dyDescent="0.2">
      <c r="A29" s="21" t="s">
        <v>191</v>
      </c>
      <c r="B29" s="21" t="s">
        <v>192</v>
      </c>
      <c r="C29" s="36"/>
      <c r="D29" s="19" t="s">
        <v>3698</v>
      </c>
      <c r="E29" s="20" t="s">
        <v>3747</v>
      </c>
      <c r="H29" s="34" t="s">
        <v>123</v>
      </c>
      <c r="I29" s="30" t="s">
        <v>122</v>
      </c>
      <c r="J29" s="32" t="s">
        <v>113</v>
      </c>
    </row>
    <row r="30" spans="1:14" x14ac:dyDescent="0.2">
      <c r="A30" s="21" t="s">
        <v>193</v>
      </c>
      <c r="B30" s="21" t="s">
        <v>194</v>
      </c>
      <c r="C30" s="36"/>
      <c r="D30" s="19" t="s">
        <v>3752</v>
      </c>
      <c r="E30" s="20" t="s">
        <v>3753</v>
      </c>
      <c r="H30" s="34" t="s">
        <v>87</v>
      </c>
      <c r="I30" s="30" t="s">
        <v>86</v>
      </c>
      <c r="J30" s="32" t="s">
        <v>88</v>
      </c>
    </row>
    <row r="31" spans="1:14" x14ac:dyDescent="0.2">
      <c r="A31" s="21" t="s">
        <v>195</v>
      </c>
      <c r="B31" s="21" t="s">
        <v>196</v>
      </c>
      <c r="C31" s="36"/>
      <c r="D31" s="19" t="s">
        <v>3838</v>
      </c>
      <c r="E31" s="20" t="s">
        <v>3882</v>
      </c>
      <c r="H31" s="34" t="s">
        <v>70</v>
      </c>
      <c r="I31" s="30" t="s">
        <v>69</v>
      </c>
      <c r="J31" s="32" t="s">
        <v>71</v>
      </c>
    </row>
    <row r="32" spans="1:14" x14ac:dyDescent="0.2">
      <c r="A32" s="21" t="s">
        <v>197</v>
      </c>
      <c r="B32" s="21" t="s">
        <v>198</v>
      </c>
      <c r="C32" s="36"/>
      <c r="D32" s="19" t="s">
        <v>3840</v>
      </c>
      <c r="E32" s="20" t="s">
        <v>3883</v>
      </c>
      <c r="H32" s="34" t="s">
        <v>92</v>
      </c>
      <c r="I32" s="30" t="s">
        <v>91</v>
      </c>
      <c r="J32" s="32" t="s">
        <v>93</v>
      </c>
    </row>
    <row r="33" spans="1:10" x14ac:dyDescent="0.2">
      <c r="A33" s="21" t="s">
        <v>199</v>
      </c>
      <c r="B33" s="21" t="s">
        <v>200</v>
      </c>
      <c r="C33" s="36"/>
      <c r="D33" s="19" t="s">
        <v>3843</v>
      </c>
      <c r="E33" s="20" t="s">
        <v>3884</v>
      </c>
      <c r="H33" s="34" t="s">
        <v>125</v>
      </c>
      <c r="I33" s="30" t="s">
        <v>124</v>
      </c>
      <c r="J33" s="32" t="s">
        <v>113</v>
      </c>
    </row>
    <row r="34" spans="1:10" x14ac:dyDescent="0.2">
      <c r="A34" s="21" t="s">
        <v>201</v>
      </c>
      <c r="B34" s="21" t="s">
        <v>202</v>
      </c>
      <c r="C34" s="36"/>
      <c r="D34" s="19" t="s">
        <v>3849</v>
      </c>
      <c r="E34" s="20" t="s">
        <v>3885</v>
      </c>
      <c r="H34" s="34" t="s">
        <v>127</v>
      </c>
      <c r="I34" s="30" t="s">
        <v>126</v>
      </c>
      <c r="J34" s="32" t="s">
        <v>113</v>
      </c>
    </row>
    <row r="35" spans="1:10" x14ac:dyDescent="0.2">
      <c r="A35" s="21" t="s">
        <v>203</v>
      </c>
      <c r="B35" s="21" t="s">
        <v>204</v>
      </c>
      <c r="C35" s="36"/>
      <c r="D35" s="19" t="s">
        <v>3869</v>
      </c>
      <c r="E35" s="20" t="s">
        <v>3886</v>
      </c>
      <c r="H35" s="34" t="s">
        <v>95</v>
      </c>
      <c r="I35" s="30" t="s">
        <v>94</v>
      </c>
      <c r="J35" s="32" t="s">
        <v>96</v>
      </c>
    </row>
    <row r="36" spans="1:10" x14ac:dyDescent="0.2">
      <c r="A36" s="21" t="s">
        <v>2832</v>
      </c>
      <c r="B36" s="21" t="s">
        <v>2833</v>
      </c>
      <c r="C36" s="36"/>
      <c r="D36" s="19" t="s">
        <v>4020</v>
      </c>
      <c r="E36" s="20" t="s">
        <v>4021</v>
      </c>
      <c r="H36" s="34" t="s">
        <v>2338</v>
      </c>
      <c r="I36" s="30" t="s">
        <v>97</v>
      </c>
      <c r="J36" s="32" t="s">
        <v>2601</v>
      </c>
    </row>
    <row r="37" spans="1:10" x14ac:dyDescent="0.2">
      <c r="A37" s="21" t="s">
        <v>205</v>
      </c>
      <c r="B37" s="21" t="s">
        <v>206</v>
      </c>
      <c r="C37" s="36"/>
      <c r="D37" s="19" t="s">
        <v>4057</v>
      </c>
      <c r="E37" s="20" t="s">
        <v>4058</v>
      </c>
      <c r="H37" s="34" t="s">
        <v>99</v>
      </c>
      <c r="I37" s="30" t="s">
        <v>98</v>
      </c>
      <c r="J37" s="32" t="s">
        <v>100</v>
      </c>
    </row>
    <row r="38" spans="1:10" x14ac:dyDescent="0.2">
      <c r="A38" s="21" t="s">
        <v>207</v>
      </c>
      <c r="B38" s="21" t="s">
        <v>208</v>
      </c>
      <c r="C38" s="36"/>
      <c r="D38" s="19" t="s">
        <v>4059</v>
      </c>
      <c r="E38" s="20" t="s">
        <v>4060</v>
      </c>
      <c r="H38" s="34" t="s">
        <v>102</v>
      </c>
      <c r="I38" s="30" t="s">
        <v>101</v>
      </c>
      <c r="J38" s="32" t="s">
        <v>103</v>
      </c>
    </row>
    <row r="39" spans="1:10" x14ac:dyDescent="0.2">
      <c r="A39" s="21" t="s">
        <v>209</v>
      </c>
      <c r="B39" s="21" t="s">
        <v>209</v>
      </c>
      <c r="C39" s="36"/>
      <c r="D39" s="19" t="s">
        <v>4105</v>
      </c>
      <c r="E39" s="20" t="s">
        <v>4106</v>
      </c>
      <c r="H39" s="34" t="s">
        <v>107</v>
      </c>
      <c r="I39" s="30" t="s">
        <v>106</v>
      </c>
      <c r="J39" s="32" t="s">
        <v>2606</v>
      </c>
    </row>
    <row r="40" spans="1:10" x14ac:dyDescent="0.2">
      <c r="A40" s="21" t="s">
        <v>210</v>
      </c>
      <c r="B40" s="21" t="s">
        <v>210</v>
      </c>
      <c r="C40" s="36" t="s">
        <v>211</v>
      </c>
      <c r="H40" s="19" t="s">
        <v>2634</v>
      </c>
      <c r="I40" s="74" t="s">
        <v>2635</v>
      </c>
      <c r="J40" s="41" t="s">
        <v>2636</v>
      </c>
    </row>
    <row r="41" spans="1:10" x14ac:dyDescent="0.2">
      <c r="A41" s="21" t="s">
        <v>212</v>
      </c>
      <c r="B41" s="21" t="s">
        <v>213</v>
      </c>
      <c r="C41" s="36" t="s">
        <v>214</v>
      </c>
      <c r="H41" s="19" t="s">
        <v>110</v>
      </c>
      <c r="I41" s="74" t="s">
        <v>109</v>
      </c>
      <c r="J41" s="73" t="s">
        <v>53</v>
      </c>
    </row>
    <row r="42" spans="1:10" x14ac:dyDescent="0.2">
      <c r="A42" s="21" t="s">
        <v>3630</v>
      </c>
      <c r="B42" s="21" t="s">
        <v>3631</v>
      </c>
      <c r="C42" s="36"/>
      <c r="H42" s="19" t="s">
        <v>3052</v>
      </c>
      <c r="I42" s="74" t="s">
        <v>3060</v>
      </c>
      <c r="J42" s="41" t="s">
        <v>3059</v>
      </c>
    </row>
    <row r="43" spans="1:10" x14ac:dyDescent="0.2">
      <c r="A43" s="21" t="s">
        <v>215</v>
      </c>
      <c r="B43" s="21" t="s">
        <v>215</v>
      </c>
      <c r="C43" s="36"/>
      <c r="H43" s="19" t="s">
        <v>3357</v>
      </c>
      <c r="I43" s="18" t="s">
        <v>3358</v>
      </c>
      <c r="J43" s="20" t="s">
        <v>3359</v>
      </c>
    </row>
    <row r="44" spans="1:10" x14ac:dyDescent="0.2">
      <c r="A44" s="21" t="s">
        <v>216</v>
      </c>
      <c r="B44" s="21" t="s">
        <v>217</v>
      </c>
      <c r="C44" s="36"/>
      <c r="H44" s="19" t="s">
        <v>450</v>
      </c>
      <c r="I44" s="18" t="s">
        <v>3444</v>
      </c>
      <c r="J44" s="20" t="s">
        <v>3443</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2930</v>
      </c>
      <c r="B77" s="21" t="s">
        <v>2930</v>
      </c>
      <c r="C77" s="36"/>
    </row>
    <row r="78" spans="1:3" x14ac:dyDescent="0.2">
      <c r="A78" s="21" t="s">
        <v>279</v>
      </c>
      <c r="B78" s="21" t="s">
        <v>279</v>
      </c>
      <c r="C78" s="36" t="s">
        <v>280</v>
      </c>
    </row>
    <row r="79" spans="1:3" x14ac:dyDescent="0.2">
      <c r="A79" s="21" t="s">
        <v>2931</v>
      </c>
      <c r="B79" s="21" t="s">
        <v>2931</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2811</v>
      </c>
      <c r="B162" s="21" t="s">
        <v>2812</v>
      </c>
      <c r="C162" s="36"/>
    </row>
    <row r="163" spans="1:3" x14ac:dyDescent="0.2">
      <c r="A163" s="21" t="s">
        <v>2800</v>
      </c>
      <c r="B163" s="21" t="s">
        <v>2801</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2834</v>
      </c>
      <c r="B173" s="21" t="s">
        <v>2835</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3209</v>
      </c>
      <c r="B226" s="21" t="s">
        <v>3209</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3554</v>
      </c>
      <c r="B239" s="21" t="s">
        <v>3554</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3210</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2973</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2836</v>
      </c>
      <c r="B336" s="21" t="s">
        <v>2837</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2932</v>
      </c>
      <c r="B358" s="21" t="s">
        <v>2932</v>
      </c>
      <c r="C358" s="36"/>
    </row>
    <row r="359" spans="1:3" x14ac:dyDescent="0.2">
      <c r="A359" s="21" t="s">
        <v>803</v>
      </c>
      <c r="B359" s="21" t="s">
        <v>803</v>
      </c>
      <c r="C359" s="36"/>
    </row>
    <row r="360" spans="1:3" x14ac:dyDescent="0.2">
      <c r="A360" s="21" t="s">
        <v>804</v>
      </c>
      <c r="B360" s="21" t="s">
        <v>805</v>
      </c>
      <c r="C360" s="36"/>
    </row>
    <row r="361" spans="1:3" x14ac:dyDescent="0.2">
      <c r="A361" s="21" t="s">
        <v>2933</v>
      </c>
      <c r="B361" s="21" t="s">
        <v>2934</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2717</v>
      </c>
      <c r="B381" s="21" t="s">
        <v>2717</v>
      </c>
      <c r="C381" s="36"/>
    </row>
    <row r="382" spans="1:3" x14ac:dyDescent="0.2">
      <c r="A382" s="21" t="s">
        <v>843</v>
      </c>
      <c r="B382" s="21" t="s">
        <v>843</v>
      </c>
      <c r="C382" s="36" t="s">
        <v>844</v>
      </c>
    </row>
    <row r="383" spans="1:3" x14ac:dyDescent="0.2">
      <c r="A383" s="21" t="s">
        <v>2770</v>
      </c>
      <c r="B383" s="21" t="s">
        <v>2770</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2838</v>
      </c>
      <c r="B438" s="21" t="s">
        <v>2839</v>
      </c>
      <c r="C438" s="36"/>
    </row>
    <row r="439" spans="1:3" x14ac:dyDescent="0.2">
      <c r="A439" s="21" t="s">
        <v>2840</v>
      </c>
      <c r="B439" s="21" t="s">
        <v>2841</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3748</v>
      </c>
      <c r="B480" s="21" t="s">
        <v>3749</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3031</v>
      </c>
      <c r="B497" s="21" t="s">
        <v>3032</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2771</v>
      </c>
    </row>
    <row r="563" spans="1:3" x14ac:dyDescent="0.2">
      <c r="A563" s="21" t="s">
        <v>1165</v>
      </c>
      <c r="B563" s="21" t="s">
        <v>1165</v>
      </c>
      <c r="C563" s="36" t="s">
        <v>1166</v>
      </c>
    </row>
    <row r="564" spans="1:3" x14ac:dyDescent="0.2">
      <c r="A564" s="21" t="s">
        <v>1167</v>
      </c>
      <c r="B564" s="21" t="s">
        <v>1167</v>
      </c>
      <c r="C564" s="36"/>
    </row>
    <row r="565" spans="1:3" x14ac:dyDescent="0.2">
      <c r="A565" s="21" t="s">
        <v>3750</v>
      </c>
      <c r="B565" s="21" t="s">
        <v>3751</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2802</v>
      </c>
      <c r="B576" s="21" t="s">
        <v>2803</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2772</v>
      </c>
      <c r="B616" s="28" t="s">
        <v>2773</v>
      </c>
    </row>
    <row r="617" spans="1:3" x14ac:dyDescent="0.2">
      <c r="A617" s="21" t="s">
        <v>3389</v>
      </c>
      <c r="B617" s="21" t="s">
        <v>3390</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2986</v>
      </c>
      <c r="B623" s="21" t="s">
        <v>2987</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2937</v>
      </c>
      <c r="B669" s="21" t="s">
        <v>2937</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2842</v>
      </c>
      <c r="B692" s="21" t="s">
        <v>2843</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3211</v>
      </c>
      <c r="B695" s="21" t="s">
        <v>3211</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3212</v>
      </c>
      <c r="B733" s="21" t="s">
        <v>3212</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3563</v>
      </c>
      <c r="B791" s="21" t="s">
        <v>3563</v>
      </c>
      <c r="C791" s="36"/>
    </row>
    <row r="792" spans="1:3" x14ac:dyDescent="0.2">
      <c r="A792" s="21" t="s">
        <v>1568</v>
      </c>
      <c r="B792" s="21" t="s">
        <v>1568</v>
      </c>
      <c r="C792" s="36"/>
    </row>
    <row r="793" spans="1:3" x14ac:dyDescent="0.2">
      <c r="A793" s="21" t="s">
        <v>2844</v>
      </c>
      <c r="B793" s="21" t="s">
        <v>51</v>
      </c>
      <c r="C793" s="36"/>
    </row>
    <row r="794" spans="1:3" x14ac:dyDescent="0.2">
      <c r="A794" s="21" t="s">
        <v>2845</v>
      </c>
      <c r="B794" s="21" t="s">
        <v>2799</v>
      </c>
      <c r="C794" s="36"/>
    </row>
    <row r="795" spans="1:3" x14ac:dyDescent="0.2">
      <c r="A795" s="21" t="s">
        <v>2846</v>
      </c>
      <c r="B795" s="21" t="s">
        <v>2797</v>
      </c>
      <c r="C795" s="36"/>
    </row>
    <row r="796" spans="1:3" x14ac:dyDescent="0.2">
      <c r="A796" s="21" t="s">
        <v>2796</v>
      </c>
      <c r="B796" s="21" t="s">
        <v>2797</v>
      </c>
      <c r="C796" s="36"/>
    </row>
    <row r="797" spans="1:3" x14ac:dyDescent="0.2">
      <c r="A797" s="21" t="s">
        <v>2798</v>
      </c>
      <c r="B797" s="21" t="s">
        <v>2799</v>
      </c>
      <c r="C797" s="36"/>
    </row>
    <row r="798" spans="1:3" x14ac:dyDescent="0.2">
      <c r="A798" s="21" t="s">
        <v>1569</v>
      </c>
      <c r="B798" s="21" t="s">
        <v>1569</v>
      </c>
      <c r="C798" s="36" t="s">
        <v>1570</v>
      </c>
    </row>
    <row r="799" spans="1:3" x14ac:dyDescent="0.2">
      <c r="A799" s="22" t="s">
        <v>2799</v>
      </c>
      <c r="B799" s="22" t="s">
        <v>3588</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2774</v>
      </c>
      <c r="B828" s="21" t="s">
        <v>2699</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2847</v>
      </c>
      <c r="B855" s="21" t="s">
        <v>2848</v>
      </c>
      <c r="C855" s="36"/>
    </row>
    <row r="856" spans="1:3" x14ac:dyDescent="0.2">
      <c r="A856" s="21" t="s">
        <v>3213</v>
      </c>
      <c r="B856" s="21" t="s">
        <v>3214</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2849</v>
      </c>
      <c r="B865" s="21" t="s">
        <v>2805</v>
      </c>
      <c r="C865" s="36"/>
    </row>
    <row r="866" spans="1:3" x14ac:dyDescent="0.2">
      <c r="A866" s="22" t="s">
        <v>2804</v>
      </c>
      <c r="B866" s="22" t="s">
        <v>2805</v>
      </c>
      <c r="C866" s="37"/>
    </row>
    <row r="867" spans="1:3" x14ac:dyDescent="0.2">
      <c r="A867" s="21" t="s">
        <v>2808</v>
      </c>
      <c r="B867" s="21" t="s">
        <v>2809</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3887</v>
      </c>
      <c r="B875" s="21" t="s">
        <v>3887</v>
      </c>
      <c r="C875" s="36"/>
    </row>
    <row r="876" spans="1:3" x14ac:dyDescent="0.2">
      <c r="A876" s="21" t="s">
        <v>1691</v>
      </c>
      <c r="B876" s="21" t="s">
        <v>1691</v>
      </c>
      <c r="C876" s="36"/>
    </row>
    <row r="877" spans="1:3" x14ac:dyDescent="0.2">
      <c r="A877" s="21" t="s">
        <v>1692</v>
      </c>
      <c r="B877" s="21" t="s">
        <v>1693</v>
      </c>
      <c r="C877" s="36"/>
    </row>
    <row r="878" spans="1:3" x14ac:dyDescent="0.2">
      <c r="A878" s="21" t="s">
        <v>1694</v>
      </c>
      <c r="B878" s="21" t="s">
        <v>1695</v>
      </c>
      <c r="C878" s="36"/>
    </row>
    <row r="879" spans="1:3" x14ac:dyDescent="0.2">
      <c r="A879" s="21" t="s">
        <v>1696</v>
      </c>
      <c r="B879" s="21" t="s">
        <v>1697</v>
      </c>
      <c r="C879" s="36" t="s">
        <v>1698</v>
      </c>
    </row>
    <row r="880" spans="1:3" x14ac:dyDescent="0.2">
      <c r="A880" s="21" t="s">
        <v>1699</v>
      </c>
      <c r="B880" s="21" t="s">
        <v>1700</v>
      </c>
      <c r="C880" s="36" t="s">
        <v>1701</v>
      </c>
    </row>
    <row r="881" spans="1:3" x14ac:dyDescent="0.2">
      <c r="A881" s="21" t="s">
        <v>1702</v>
      </c>
      <c r="B881" s="21" t="s">
        <v>1702</v>
      </c>
      <c r="C881" s="36" t="s">
        <v>247</v>
      </c>
    </row>
    <row r="882" spans="1:3" x14ac:dyDescent="0.2">
      <c r="A882" s="21" t="s">
        <v>1703</v>
      </c>
      <c r="B882" s="21" t="s">
        <v>1704</v>
      </c>
      <c r="C882" s="36"/>
    </row>
    <row r="883" spans="1:3" x14ac:dyDescent="0.2">
      <c r="A883" s="21" t="s">
        <v>1705</v>
      </c>
      <c r="B883" s="21" t="s">
        <v>1706</v>
      </c>
      <c r="C883" s="36"/>
    </row>
    <row r="884" spans="1:3" x14ac:dyDescent="0.2">
      <c r="A884" s="21" t="s">
        <v>1707</v>
      </c>
      <c r="B884" s="21" t="s">
        <v>1708</v>
      </c>
      <c r="C884" s="36"/>
    </row>
    <row r="885" spans="1:3" x14ac:dyDescent="0.2">
      <c r="A885" s="21" t="s">
        <v>1709</v>
      </c>
      <c r="B885" s="21" t="s">
        <v>1710</v>
      </c>
      <c r="C885" s="36"/>
    </row>
    <row r="886" spans="1:3" x14ac:dyDescent="0.2">
      <c r="A886" s="21" t="s">
        <v>1711</v>
      </c>
      <c r="B886" s="21" t="s">
        <v>1712</v>
      </c>
      <c r="C886" s="36"/>
    </row>
    <row r="887" spans="1:3" x14ac:dyDescent="0.2">
      <c r="A887" s="21" t="s">
        <v>1713</v>
      </c>
      <c r="B887" s="21" t="s">
        <v>1714</v>
      </c>
      <c r="C887" s="36"/>
    </row>
    <row r="888" spans="1:3" x14ac:dyDescent="0.2">
      <c r="A888" s="21" t="s">
        <v>1715</v>
      </c>
      <c r="B888" s="21" t="s">
        <v>1716</v>
      </c>
      <c r="C888" s="36"/>
    </row>
    <row r="889" spans="1:3" x14ac:dyDescent="0.2">
      <c r="A889" s="21" t="s">
        <v>1717</v>
      </c>
      <c r="B889" s="21" t="s">
        <v>1717</v>
      </c>
      <c r="C889" s="36"/>
    </row>
    <row r="890" spans="1:3" x14ac:dyDescent="0.2">
      <c r="A890" s="21" t="s">
        <v>1718</v>
      </c>
      <c r="B890" s="21" t="s">
        <v>1719</v>
      </c>
      <c r="C890" s="36"/>
    </row>
    <row r="891" spans="1:3" x14ac:dyDescent="0.2">
      <c r="A891" s="21" t="s">
        <v>1720</v>
      </c>
      <c r="B891" s="21" t="s">
        <v>1720</v>
      </c>
      <c r="C891" s="36"/>
    </row>
    <row r="892" spans="1:3" x14ac:dyDescent="0.2">
      <c r="A892" s="21" t="s">
        <v>1721</v>
      </c>
      <c r="B892" s="21" t="s">
        <v>1721</v>
      </c>
      <c r="C892" s="36"/>
    </row>
    <row r="893" spans="1:3" x14ac:dyDescent="0.2">
      <c r="A893" s="21" t="s">
        <v>1722</v>
      </c>
      <c r="B893" s="21" t="s">
        <v>1722</v>
      </c>
      <c r="C893" s="36" t="s">
        <v>1723</v>
      </c>
    </row>
    <row r="894" spans="1:3" x14ac:dyDescent="0.2">
      <c r="A894" s="21" t="s">
        <v>2775</v>
      </c>
      <c r="B894" s="21" t="s">
        <v>2776</v>
      </c>
      <c r="C894" s="36"/>
    </row>
    <row r="895" spans="1:3" x14ac:dyDescent="0.2">
      <c r="A895" s="21" t="s">
        <v>1724</v>
      </c>
      <c r="B895" s="21" t="s">
        <v>1724</v>
      </c>
      <c r="C895" s="36"/>
    </row>
    <row r="896" spans="1:3" x14ac:dyDescent="0.2">
      <c r="A896" s="21" t="s">
        <v>1725</v>
      </c>
      <c r="B896" s="21" t="s">
        <v>1725</v>
      </c>
      <c r="C896" s="36"/>
    </row>
    <row r="897" spans="1:3" x14ac:dyDescent="0.2">
      <c r="A897" s="21" t="s">
        <v>1726</v>
      </c>
      <c r="B897" s="21" t="s">
        <v>1727</v>
      </c>
      <c r="C897" s="36" t="s">
        <v>1728</v>
      </c>
    </row>
    <row r="898" spans="1:3" x14ac:dyDescent="0.2">
      <c r="A898" s="21" t="s">
        <v>1729</v>
      </c>
      <c r="B898" s="21" t="s">
        <v>1729</v>
      </c>
      <c r="C898" s="36"/>
    </row>
    <row r="899" spans="1:3" x14ac:dyDescent="0.2">
      <c r="A899" s="21" t="s">
        <v>1730</v>
      </c>
      <c r="B899" s="21" t="s">
        <v>1731</v>
      </c>
      <c r="C899" s="36"/>
    </row>
    <row r="900" spans="1:3" x14ac:dyDescent="0.2">
      <c r="A900" s="21" t="s">
        <v>1732</v>
      </c>
      <c r="B900" s="21" t="s">
        <v>1733</v>
      </c>
      <c r="C900" s="36"/>
    </row>
    <row r="901" spans="1:3" x14ac:dyDescent="0.2">
      <c r="A901" s="21" t="s">
        <v>1734</v>
      </c>
      <c r="B901" s="21" t="s">
        <v>1734</v>
      </c>
      <c r="C901" s="36"/>
    </row>
    <row r="902" spans="1:3" x14ac:dyDescent="0.2">
      <c r="A902" s="21" t="s">
        <v>1735</v>
      </c>
      <c r="B902" s="21" t="s">
        <v>1736</v>
      </c>
      <c r="C902" s="36"/>
    </row>
    <row r="903" spans="1:3" x14ac:dyDescent="0.2">
      <c r="A903" s="21" t="s">
        <v>1737</v>
      </c>
      <c r="B903" s="21" t="s">
        <v>1738</v>
      </c>
      <c r="C903" s="36" t="s">
        <v>1739</v>
      </c>
    </row>
    <row r="904" spans="1:3" x14ac:dyDescent="0.2">
      <c r="A904" s="21" t="s">
        <v>2572</v>
      </c>
      <c r="B904" s="21" t="s">
        <v>2573</v>
      </c>
      <c r="C904" s="36"/>
    </row>
    <row r="905" spans="1:3" x14ac:dyDescent="0.2">
      <c r="A905" s="21" t="s">
        <v>1740</v>
      </c>
      <c r="B905" s="21" t="s">
        <v>1741</v>
      </c>
      <c r="C905" s="36"/>
    </row>
    <row r="906" spans="1:3" x14ac:dyDescent="0.2">
      <c r="A906" s="21" t="s">
        <v>1742</v>
      </c>
      <c r="B906" s="21" t="s">
        <v>1742</v>
      </c>
      <c r="C906" s="36"/>
    </row>
    <row r="907" spans="1:3" x14ac:dyDescent="0.2">
      <c r="A907" s="21" t="s">
        <v>1743</v>
      </c>
      <c r="B907" s="21" t="s">
        <v>1743</v>
      </c>
      <c r="C907" s="36"/>
    </row>
    <row r="908" spans="1:3" x14ac:dyDescent="0.2">
      <c r="A908" s="28" t="s">
        <v>1744</v>
      </c>
      <c r="B908" s="28" t="s">
        <v>1744</v>
      </c>
    </row>
    <row r="909" spans="1:3" x14ac:dyDescent="0.2">
      <c r="A909" s="28" t="s">
        <v>1405</v>
      </c>
      <c r="B909" s="28" t="s">
        <v>1745</v>
      </c>
    </row>
    <row r="910" spans="1:3" x14ac:dyDescent="0.2">
      <c r="A910" s="21" t="s">
        <v>1746</v>
      </c>
      <c r="B910" s="21" t="s">
        <v>1747</v>
      </c>
      <c r="C910" s="36"/>
    </row>
    <row r="911" spans="1:3" x14ac:dyDescent="0.2">
      <c r="A911" s="21" t="s">
        <v>1748</v>
      </c>
      <c r="B911" s="21" t="s">
        <v>1749</v>
      </c>
      <c r="C911" s="36"/>
    </row>
    <row r="912" spans="1:3" x14ac:dyDescent="0.2">
      <c r="A912" s="21" t="s">
        <v>1750</v>
      </c>
      <c r="B912" s="21" t="s">
        <v>1751</v>
      </c>
      <c r="C912" s="36"/>
    </row>
    <row r="913" spans="1:3" x14ac:dyDescent="0.2">
      <c r="A913" s="22" t="s">
        <v>1752</v>
      </c>
      <c r="B913" s="22" t="s">
        <v>1752</v>
      </c>
      <c r="C913" s="37"/>
    </row>
    <row r="914" spans="1:3" x14ac:dyDescent="0.2">
      <c r="A914" s="21" t="s">
        <v>1753</v>
      </c>
      <c r="B914" s="21" t="s">
        <v>1754</v>
      </c>
      <c r="C914" s="36"/>
    </row>
    <row r="915" spans="1:3" x14ac:dyDescent="0.2">
      <c r="A915" s="21" t="s">
        <v>81</v>
      </c>
      <c r="B915" s="21" t="s">
        <v>1755</v>
      </c>
      <c r="C915" s="36"/>
    </row>
    <row r="916" spans="1:3" x14ac:dyDescent="0.2">
      <c r="A916" s="21" t="s">
        <v>1756</v>
      </c>
      <c r="B916" s="21" t="s">
        <v>1757</v>
      </c>
      <c r="C916" s="36"/>
    </row>
    <row r="917" spans="1:3" x14ac:dyDescent="0.2">
      <c r="A917" s="21" t="s">
        <v>1758</v>
      </c>
      <c r="B917" s="21" t="s">
        <v>1758</v>
      </c>
      <c r="C917" s="36" t="s">
        <v>1759</v>
      </c>
    </row>
    <row r="918" spans="1:3" x14ac:dyDescent="0.2">
      <c r="A918" s="21" t="s">
        <v>1760</v>
      </c>
      <c r="B918" s="21" t="s">
        <v>1761</v>
      </c>
      <c r="C918" s="36"/>
    </row>
    <row r="919" spans="1:3" x14ac:dyDescent="0.2">
      <c r="A919" s="21" t="s">
        <v>1762</v>
      </c>
      <c r="B919" s="21" t="s">
        <v>1763</v>
      </c>
      <c r="C919" s="36"/>
    </row>
    <row r="920" spans="1:3" x14ac:dyDescent="0.2">
      <c r="A920" s="21" t="s">
        <v>2576</v>
      </c>
      <c r="B920" s="21" t="s">
        <v>2579</v>
      </c>
      <c r="C920" s="36"/>
    </row>
    <row r="921" spans="1:3" x14ac:dyDescent="0.2">
      <c r="A921" s="21" t="s">
        <v>2577</v>
      </c>
      <c r="B921" s="21" t="s">
        <v>2578</v>
      </c>
      <c r="C921" s="36"/>
    </row>
    <row r="922" spans="1:3" x14ac:dyDescent="0.2">
      <c r="A922" s="21" t="s">
        <v>1764</v>
      </c>
      <c r="B922" s="21" t="s">
        <v>1765</v>
      </c>
      <c r="C922" s="36"/>
    </row>
    <row r="923" spans="1:3" x14ac:dyDescent="0.2">
      <c r="A923" s="21" t="s">
        <v>1766</v>
      </c>
      <c r="B923" s="21" t="s">
        <v>1767</v>
      </c>
      <c r="C923" s="36"/>
    </row>
    <row r="924" spans="1:3" x14ac:dyDescent="0.2">
      <c r="A924" s="21" t="s">
        <v>1768</v>
      </c>
      <c r="B924" s="21" t="s">
        <v>1769</v>
      </c>
      <c r="C924" s="36" t="s">
        <v>1770</v>
      </c>
    </row>
    <row r="925" spans="1:3" x14ac:dyDescent="0.2">
      <c r="A925" s="21" t="s">
        <v>1771</v>
      </c>
      <c r="B925" s="21" t="s">
        <v>1772</v>
      </c>
      <c r="C925" s="36"/>
    </row>
    <row r="926" spans="1:3" x14ac:dyDescent="0.2">
      <c r="A926" s="21" t="s">
        <v>1773</v>
      </c>
      <c r="B926" s="21" t="s">
        <v>1774</v>
      </c>
      <c r="C926" s="36"/>
    </row>
    <row r="927" spans="1:3" x14ac:dyDescent="0.2">
      <c r="A927" s="21" t="s">
        <v>1775</v>
      </c>
      <c r="B927" s="21" t="s">
        <v>1776</v>
      </c>
      <c r="C927" s="36"/>
    </row>
    <row r="928" spans="1:3" x14ac:dyDescent="0.2">
      <c r="A928" s="21" t="s">
        <v>1777</v>
      </c>
      <c r="B928" s="21" t="s">
        <v>1778</v>
      </c>
      <c r="C928" s="36"/>
    </row>
    <row r="929" spans="1:3" x14ac:dyDescent="0.2">
      <c r="A929" s="23" t="s">
        <v>73</v>
      </c>
      <c r="B929" s="21" t="s">
        <v>1779</v>
      </c>
      <c r="C929" s="36"/>
    </row>
    <row r="930" spans="1:3" x14ac:dyDescent="0.2">
      <c r="A930" s="21" t="s">
        <v>1780</v>
      </c>
      <c r="B930" s="21" t="s">
        <v>1781</v>
      </c>
      <c r="C930" s="36"/>
    </row>
    <row r="931" spans="1:3" x14ac:dyDescent="0.2">
      <c r="A931" s="21" t="s">
        <v>1782</v>
      </c>
      <c r="B931" s="21" t="s">
        <v>1783</v>
      </c>
      <c r="C931" s="36"/>
    </row>
    <row r="932" spans="1:3" x14ac:dyDescent="0.2">
      <c r="A932" s="21" t="s">
        <v>1784</v>
      </c>
      <c r="B932" s="21" t="s">
        <v>1785</v>
      </c>
      <c r="C932" s="36"/>
    </row>
    <row r="933" spans="1:3" x14ac:dyDescent="0.2">
      <c r="A933" s="21" t="s">
        <v>2594</v>
      </c>
      <c r="B933" s="21" t="s">
        <v>2595</v>
      </c>
      <c r="C933" s="36"/>
    </row>
    <row r="934" spans="1:3" x14ac:dyDescent="0.2">
      <c r="A934" s="28" t="s">
        <v>1786</v>
      </c>
      <c r="B934" s="28" t="s">
        <v>1787</v>
      </c>
    </row>
    <row r="935" spans="1:3" x14ac:dyDescent="0.2">
      <c r="A935" s="21" t="s">
        <v>1788</v>
      </c>
      <c r="B935" s="21" t="s">
        <v>1789</v>
      </c>
      <c r="C935" s="36"/>
    </row>
    <row r="936" spans="1:3" x14ac:dyDescent="0.2">
      <c r="A936" s="21" t="s">
        <v>1790</v>
      </c>
      <c r="B936" s="21" t="s">
        <v>1791</v>
      </c>
      <c r="C936" s="36"/>
    </row>
    <row r="937" spans="1:3" x14ac:dyDescent="0.2">
      <c r="A937" s="21" t="s">
        <v>1792</v>
      </c>
      <c r="B937" s="21" t="s">
        <v>1793</v>
      </c>
      <c r="C937" s="36"/>
    </row>
    <row r="938" spans="1:3" x14ac:dyDescent="0.2">
      <c r="A938" s="21" t="s">
        <v>1794</v>
      </c>
      <c r="B938" s="21" t="s">
        <v>1795</v>
      </c>
      <c r="C938" s="36"/>
    </row>
    <row r="939" spans="1:3" x14ac:dyDescent="0.2">
      <c r="A939" s="21" t="s">
        <v>1796</v>
      </c>
      <c r="B939" s="21" t="s">
        <v>1797</v>
      </c>
      <c r="C939" s="36"/>
    </row>
    <row r="940" spans="1:3" x14ac:dyDescent="0.2">
      <c r="A940" s="22" t="s">
        <v>1798</v>
      </c>
      <c r="B940" s="22" t="s">
        <v>1799</v>
      </c>
      <c r="C940" s="37"/>
    </row>
    <row r="941" spans="1:3" x14ac:dyDescent="0.2">
      <c r="A941" s="22" t="s">
        <v>1800</v>
      </c>
      <c r="B941" s="22" t="s">
        <v>1801</v>
      </c>
      <c r="C941" s="37"/>
    </row>
    <row r="942" spans="1:3" x14ac:dyDescent="0.2">
      <c r="A942" s="21" t="s">
        <v>1802</v>
      </c>
      <c r="B942" s="21" t="s">
        <v>1803</v>
      </c>
      <c r="C942" s="36"/>
    </row>
    <row r="943" spans="1:3" x14ac:dyDescent="0.2">
      <c r="A943" s="21" t="s">
        <v>1804</v>
      </c>
      <c r="B943" s="21" t="s">
        <v>1805</v>
      </c>
      <c r="C943" s="36"/>
    </row>
    <row r="944" spans="1:3" x14ac:dyDescent="0.2">
      <c r="A944" s="21" t="s">
        <v>1806</v>
      </c>
      <c r="B944" s="21" t="s">
        <v>1807</v>
      </c>
      <c r="C944" s="36"/>
    </row>
    <row r="945" spans="1:3" x14ac:dyDescent="0.2">
      <c r="A945" s="21" t="s">
        <v>1808</v>
      </c>
      <c r="B945" s="21" t="s">
        <v>1809</v>
      </c>
      <c r="C945" s="36" t="s">
        <v>1810</v>
      </c>
    </row>
    <row r="946" spans="1:3" x14ac:dyDescent="0.2">
      <c r="A946" s="21" t="s">
        <v>1811</v>
      </c>
      <c r="B946" s="21" t="s">
        <v>1812</v>
      </c>
      <c r="C946" s="36"/>
    </row>
    <row r="947" spans="1:3" x14ac:dyDescent="0.2">
      <c r="A947" s="21" t="s">
        <v>1813</v>
      </c>
      <c r="B947" s="21" t="s">
        <v>1814</v>
      </c>
      <c r="C947" s="36"/>
    </row>
    <row r="948" spans="1:3" x14ac:dyDescent="0.2">
      <c r="A948" s="22" t="s">
        <v>2621</v>
      </c>
      <c r="B948" s="22" t="s">
        <v>2622</v>
      </c>
      <c r="C948" s="37"/>
    </row>
    <row r="949" spans="1:3" x14ac:dyDescent="0.2">
      <c r="A949" s="22" t="s">
        <v>2623</v>
      </c>
      <c r="B949" s="22" t="s">
        <v>2624</v>
      </c>
      <c r="C949" s="37"/>
    </row>
    <row r="950" spans="1:3" x14ac:dyDescent="0.2">
      <c r="A950" s="21" t="s">
        <v>1815</v>
      </c>
      <c r="B950" s="21" t="s">
        <v>1815</v>
      </c>
      <c r="C950" s="36" t="s">
        <v>1816</v>
      </c>
    </row>
    <row r="951" spans="1:3" x14ac:dyDescent="0.2">
      <c r="A951" s="21" t="s">
        <v>2586</v>
      </c>
      <c r="B951" s="21" t="s">
        <v>2586</v>
      </c>
      <c r="C951" s="36" t="s">
        <v>2587</v>
      </c>
    </row>
    <row r="952" spans="1:3" x14ac:dyDescent="0.2">
      <c r="A952" s="21" t="s">
        <v>1817</v>
      </c>
      <c r="B952" s="21" t="s">
        <v>1817</v>
      </c>
      <c r="C952" s="36"/>
    </row>
    <row r="953" spans="1:3" x14ac:dyDescent="0.2">
      <c r="A953" s="21" t="s">
        <v>1818</v>
      </c>
      <c r="B953" s="21" t="s">
        <v>1818</v>
      </c>
      <c r="C953" s="36"/>
    </row>
    <row r="954" spans="1:3" x14ac:dyDescent="0.2">
      <c r="A954" s="21" t="s">
        <v>1819</v>
      </c>
      <c r="B954" s="21" t="s">
        <v>1820</v>
      </c>
      <c r="C954" s="36" t="s">
        <v>1821</v>
      </c>
    </row>
    <row r="955" spans="1:3" x14ac:dyDescent="0.2">
      <c r="A955" s="21" t="s">
        <v>1822</v>
      </c>
      <c r="B955" s="21" t="s">
        <v>1823</v>
      </c>
      <c r="C955" s="36"/>
    </row>
    <row r="956" spans="1:3" x14ac:dyDescent="0.2">
      <c r="A956" s="21" t="s">
        <v>1824</v>
      </c>
      <c r="B956" s="21" t="s">
        <v>1825</v>
      </c>
      <c r="C956" s="36"/>
    </row>
    <row r="957" spans="1:3" x14ac:dyDescent="0.2">
      <c r="A957" s="21" t="s">
        <v>1826</v>
      </c>
      <c r="B957" s="21" t="s">
        <v>1826</v>
      </c>
      <c r="C957" s="36" t="s">
        <v>1827</v>
      </c>
    </row>
    <row r="958" spans="1:3" x14ac:dyDescent="0.2">
      <c r="A958" s="21" t="s">
        <v>1828</v>
      </c>
      <c r="B958" s="21" t="s">
        <v>1828</v>
      </c>
      <c r="C958" s="36"/>
    </row>
    <row r="959" spans="1:3" x14ac:dyDescent="0.2">
      <c r="A959" s="21" t="s">
        <v>1829</v>
      </c>
      <c r="B959" s="21" t="s">
        <v>1829</v>
      </c>
      <c r="C959" s="36" t="s">
        <v>1830</v>
      </c>
    </row>
    <row r="960" spans="1:3" x14ac:dyDescent="0.2">
      <c r="A960" s="21" t="s">
        <v>1831</v>
      </c>
      <c r="B960" s="21" t="s">
        <v>1832</v>
      </c>
      <c r="C960" s="36" t="s">
        <v>1833</v>
      </c>
    </row>
    <row r="961" spans="1:3" x14ac:dyDescent="0.2">
      <c r="A961" s="21" t="s">
        <v>1834</v>
      </c>
      <c r="B961" s="21" t="s">
        <v>1835</v>
      </c>
      <c r="C961" s="36" t="s">
        <v>1836</v>
      </c>
    </row>
    <row r="962" spans="1:3" x14ac:dyDescent="0.2">
      <c r="A962" s="21" t="s">
        <v>1837</v>
      </c>
      <c r="B962" s="21" t="s">
        <v>1838</v>
      </c>
      <c r="C962" s="36"/>
    </row>
    <row r="963" spans="1:3" x14ac:dyDescent="0.2">
      <c r="A963" s="21" t="s">
        <v>1839</v>
      </c>
      <c r="B963" s="21" t="s">
        <v>1840</v>
      </c>
      <c r="C963" s="36"/>
    </row>
    <row r="964" spans="1:3" x14ac:dyDescent="0.2">
      <c r="A964" s="21" t="s">
        <v>2850</v>
      </c>
      <c r="B964" s="21" t="s">
        <v>2850</v>
      </c>
      <c r="C964" s="36"/>
    </row>
    <row r="965" spans="1:3" x14ac:dyDescent="0.2">
      <c r="A965" s="21" t="s">
        <v>1841</v>
      </c>
      <c r="B965" s="21" t="s">
        <v>1842</v>
      </c>
      <c r="C965" s="36" t="s">
        <v>1843</v>
      </c>
    </row>
    <row r="966" spans="1:3" x14ac:dyDescent="0.2">
      <c r="A966" s="21" t="s">
        <v>3357</v>
      </c>
      <c r="B966" s="21" t="s">
        <v>3361</v>
      </c>
      <c r="C966" s="36"/>
    </row>
    <row r="967" spans="1:3" x14ac:dyDescent="0.2">
      <c r="A967" s="21" t="s">
        <v>1844</v>
      </c>
      <c r="B967" s="21" t="s">
        <v>1845</v>
      </c>
      <c r="C967" s="36" t="s">
        <v>1846</v>
      </c>
    </row>
    <row r="968" spans="1:3" x14ac:dyDescent="0.2">
      <c r="A968" s="21" t="s">
        <v>1847</v>
      </c>
      <c r="B968" s="21" t="s">
        <v>1847</v>
      </c>
      <c r="C968" s="36"/>
    </row>
    <row r="969" spans="1:3" x14ac:dyDescent="0.2">
      <c r="A969" s="21" t="s">
        <v>1848</v>
      </c>
      <c r="B969" s="21" t="s">
        <v>1849</v>
      </c>
      <c r="C969" s="36"/>
    </row>
    <row r="970" spans="1:3" x14ac:dyDescent="0.2">
      <c r="A970" s="21" t="s">
        <v>1850</v>
      </c>
      <c r="B970" s="21" t="s">
        <v>1850</v>
      </c>
      <c r="C970" s="36" t="s">
        <v>1851</v>
      </c>
    </row>
    <row r="971" spans="1:3" x14ac:dyDescent="0.2">
      <c r="A971" s="21" t="s">
        <v>1852</v>
      </c>
      <c r="B971" s="21" t="s">
        <v>1852</v>
      </c>
      <c r="C971" s="36"/>
    </row>
    <row r="972" spans="1:3" x14ac:dyDescent="0.2">
      <c r="A972" s="21" t="s">
        <v>1853</v>
      </c>
      <c r="B972" s="21" t="s">
        <v>1853</v>
      </c>
      <c r="C972" s="36" t="s">
        <v>1854</v>
      </c>
    </row>
    <row r="973" spans="1:3" x14ac:dyDescent="0.2">
      <c r="A973" s="21" t="s">
        <v>1855</v>
      </c>
      <c r="B973" s="21" t="s">
        <v>1855</v>
      </c>
      <c r="C973" s="36"/>
    </row>
    <row r="974" spans="1:3" x14ac:dyDescent="0.2">
      <c r="A974" s="21" t="s">
        <v>1856</v>
      </c>
      <c r="B974" s="21" t="s">
        <v>1857</v>
      </c>
      <c r="C974" s="36"/>
    </row>
    <row r="975" spans="1:3" x14ac:dyDescent="0.2">
      <c r="A975" s="21" t="s">
        <v>1858</v>
      </c>
      <c r="B975" s="21" t="s">
        <v>1859</v>
      </c>
      <c r="C975" s="36"/>
    </row>
    <row r="976" spans="1:3" x14ac:dyDescent="0.2">
      <c r="A976" s="21" t="s">
        <v>2619</v>
      </c>
      <c r="B976" s="21" t="s">
        <v>2620</v>
      </c>
      <c r="C976" s="36"/>
    </row>
    <row r="977" spans="1:3" x14ac:dyDescent="0.2">
      <c r="A977" s="21" t="s">
        <v>1860</v>
      </c>
      <c r="B977" s="21" t="s">
        <v>1860</v>
      </c>
      <c r="C977" s="36" t="s">
        <v>1861</v>
      </c>
    </row>
    <row r="978" spans="1:3" x14ac:dyDescent="0.2">
      <c r="A978" s="21" t="s">
        <v>1862</v>
      </c>
      <c r="B978" s="21" t="s">
        <v>1863</v>
      </c>
      <c r="C978" s="36" t="s">
        <v>1864</v>
      </c>
    </row>
    <row r="979" spans="1:3" x14ac:dyDescent="0.2">
      <c r="A979" s="21" t="s">
        <v>1865</v>
      </c>
      <c r="B979" s="21" t="s">
        <v>1865</v>
      </c>
      <c r="C979" s="36" t="s">
        <v>1866</v>
      </c>
    </row>
    <row r="980" spans="1:3" x14ac:dyDescent="0.2">
      <c r="A980" s="21" t="s">
        <v>1867</v>
      </c>
      <c r="B980" s="21" t="s">
        <v>1868</v>
      </c>
      <c r="C980" s="36"/>
    </row>
    <row r="981" spans="1:3" x14ac:dyDescent="0.2">
      <c r="A981" s="21" t="s">
        <v>1869</v>
      </c>
      <c r="B981" s="21" t="s">
        <v>1870</v>
      </c>
      <c r="C981" s="36"/>
    </row>
    <row r="982" spans="1:3" x14ac:dyDescent="0.2">
      <c r="A982" s="21" t="s">
        <v>1871</v>
      </c>
      <c r="B982" s="21" t="s">
        <v>1871</v>
      </c>
      <c r="C982" s="36"/>
    </row>
    <row r="983" spans="1:3" x14ac:dyDescent="0.2">
      <c r="A983" s="21" t="s">
        <v>1872</v>
      </c>
      <c r="B983" s="21" t="s">
        <v>1872</v>
      </c>
      <c r="C983" s="36"/>
    </row>
    <row r="984" spans="1:3" x14ac:dyDescent="0.2">
      <c r="A984" s="21" t="s">
        <v>1873</v>
      </c>
      <c r="B984" s="21" t="s">
        <v>1874</v>
      </c>
      <c r="C984" s="36" t="s">
        <v>1875</v>
      </c>
    </row>
    <row r="985" spans="1:3" x14ac:dyDescent="0.2">
      <c r="A985" s="21" t="s">
        <v>1876</v>
      </c>
      <c r="B985" s="21" t="s">
        <v>1876</v>
      </c>
      <c r="C985" s="36" t="s">
        <v>1877</v>
      </c>
    </row>
    <row r="986" spans="1:3" x14ac:dyDescent="0.2">
      <c r="A986" s="21" t="s">
        <v>1878</v>
      </c>
      <c r="B986" s="21" t="s">
        <v>1879</v>
      </c>
      <c r="C986" s="36"/>
    </row>
    <row r="987" spans="1:3" x14ac:dyDescent="0.2">
      <c r="A987" s="22" t="s">
        <v>1880</v>
      </c>
      <c r="B987" s="21" t="s">
        <v>1881</v>
      </c>
      <c r="C987" s="36"/>
    </row>
    <row r="988" spans="1:3" x14ac:dyDescent="0.2">
      <c r="A988" s="21" t="s">
        <v>1882</v>
      </c>
      <c r="B988" s="21" t="s">
        <v>1883</v>
      </c>
      <c r="C988" s="36"/>
    </row>
    <row r="989" spans="1:3" x14ac:dyDescent="0.2">
      <c r="A989" s="21" t="s">
        <v>1884</v>
      </c>
      <c r="B989" s="21" t="s">
        <v>1884</v>
      </c>
      <c r="C989" s="36"/>
    </row>
    <row r="990" spans="1:3" x14ac:dyDescent="0.2">
      <c r="A990" s="21" t="s">
        <v>1885</v>
      </c>
      <c r="B990" s="21" t="s">
        <v>1886</v>
      </c>
      <c r="C990" s="36"/>
    </row>
    <row r="991" spans="1:3" x14ac:dyDescent="0.2">
      <c r="A991" s="21" t="s">
        <v>1887</v>
      </c>
      <c r="B991" s="21" t="s">
        <v>1888</v>
      </c>
      <c r="C991" s="36"/>
    </row>
    <row r="992" spans="1:3" x14ac:dyDescent="0.2">
      <c r="A992" s="22" t="s">
        <v>1889</v>
      </c>
      <c r="B992" s="21" t="s">
        <v>1890</v>
      </c>
      <c r="C992" s="36"/>
    </row>
    <row r="993" spans="1:3" x14ac:dyDescent="0.2">
      <c r="A993" s="21" t="s">
        <v>1891</v>
      </c>
      <c r="B993" s="21" t="s">
        <v>1892</v>
      </c>
      <c r="C993" s="36"/>
    </row>
    <row r="994" spans="1:3" x14ac:dyDescent="0.2">
      <c r="A994" s="21" t="s">
        <v>1893</v>
      </c>
      <c r="B994" s="21" t="s">
        <v>1894</v>
      </c>
      <c r="C994" s="36"/>
    </row>
    <row r="995" spans="1:3" x14ac:dyDescent="0.2">
      <c r="A995" s="21" t="s">
        <v>1895</v>
      </c>
      <c r="B995" s="21" t="s">
        <v>1896</v>
      </c>
      <c r="C995" s="36"/>
    </row>
    <row r="996" spans="1:3" x14ac:dyDescent="0.2">
      <c r="A996" s="21" t="s">
        <v>1897</v>
      </c>
      <c r="B996" s="21" t="s">
        <v>1898</v>
      </c>
      <c r="C996" s="36"/>
    </row>
    <row r="997" spans="1:3" x14ac:dyDescent="0.2">
      <c r="A997" s="21" t="s">
        <v>1899</v>
      </c>
      <c r="B997" s="21" t="s">
        <v>1900</v>
      </c>
      <c r="C997" s="36"/>
    </row>
    <row r="998" spans="1:3" x14ac:dyDescent="0.2">
      <c r="A998" s="21" t="s">
        <v>1901</v>
      </c>
      <c r="B998" s="21" t="s">
        <v>1902</v>
      </c>
      <c r="C998" s="36"/>
    </row>
    <row r="999" spans="1:3" x14ac:dyDescent="0.2">
      <c r="A999" s="21" t="s">
        <v>1903</v>
      </c>
      <c r="B999" s="21" t="s">
        <v>1904</v>
      </c>
      <c r="C999" s="36"/>
    </row>
    <row r="1000" spans="1:3" x14ac:dyDescent="0.2">
      <c r="A1000" s="21" t="s">
        <v>1905</v>
      </c>
      <c r="B1000" s="21" t="s">
        <v>1906</v>
      </c>
      <c r="C1000" s="36"/>
    </row>
    <row r="1001" spans="1:3" x14ac:dyDescent="0.2">
      <c r="A1001" s="21" t="s">
        <v>1907</v>
      </c>
      <c r="B1001" s="21" t="s">
        <v>1908</v>
      </c>
      <c r="C1001" s="36"/>
    </row>
    <row r="1002" spans="1:3" x14ac:dyDescent="0.2">
      <c r="A1002" s="21" t="s">
        <v>1909</v>
      </c>
      <c r="B1002" s="21" t="s">
        <v>1910</v>
      </c>
      <c r="C1002" s="36" t="s">
        <v>1911</v>
      </c>
    </row>
    <row r="1003" spans="1:3" x14ac:dyDescent="0.2">
      <c r="A1003" s="21" t="s">
        <v>1912</v>
      </c>
      <c r="B1003" s="21" t="s">
        <v>1913</v>
      </c>
      <c r="C1003" s="36"/>
    </row>
    <row r="1004" spans="1:3" x14ac:dyDescent="0.2">
      <c r="A1004" s="22" t="s">
        <v>1914</v>
      </c>
      <c r="B1004" s="22" t="s">
        <v>1915</v>
      </c>
      <c r="C1004" s="37"/>
    </row>
    <row r="1005" spans="1:3" x14ac:dyDescent="0.2">
      <c r="A1005" s="21" t="s">
        <v>1916</v>
      </c>
      <c r="B1005" s="21" t="s">
        <v>1917</v>
      </c>
      <c r="C1005" s="36"/>
    </row>
    <row r="1006" spans="1:3" x14ac:dyDescent="0.2">
      <c r="A1006" s="21" t="s">
        <v>1918</v>
      </c>
      <c r="B1006" s="21" t="s">
        <v>1919</v>
      </c>
      <c r="C1006" s="36"/>
    </row>
    <row r="1007" spans="1:3" x14ac:dyDescent="0.2">
      <c r="A1007" s="22" t="s">
        <v>1920</v>
      </c>
      <c r="B1007" s="21" t="s">
        <v>1921</v>
      </c>
      <c r="C1007" s="36"/>
    </row>
    <row r="1008" spans="1:3" x14ac:dyDescent="0.2">
      <c r="A1008" s="21" t="s">
        <v>1922</v>
      </c>
      <c r="B1008" s="21" t="s">
        <v>1923</v>
      </c>
      <c r="C1008" s="36"/>
    </row>
    <row r="1009" spans="1:3" x14ac:dyDescent="0.2">
      <c r="A1009" s="21" t="s">
        <v>1924</v>
      </c>
      <c r="B1009" s="21" t="s">
        <v>1925</v>
      </c>
      <c r="C1009" s="36"/>
    </row>
    <row r="1010" spans="1:3" x14ac:dyDescent="0.2">
      <c r="A1010" s="21" t="s">
        <v>1926</v>
      </c>
      <c r="B1010" s="21" t="s">
        <v>1927</v>
      </c>
      <c r="C1010" s="36"/>
    </row>
    <row r="1011" spans="1:3" x14ac:dyDescent="0.2">
      <c r="A1011" s="21" t="s">
        <v>1928</v>
      </c>
      <c r="B1011" s="21" t="s">
        <v>1929</v>
      </c>
      <c r="C1011" s="36"/>
    </row>
    <row r="1012" spans="1:3" x14ac:dyDescent="0.2">
      <c r="A1012" s="21" t="s">
        <v>1930</v>
      </c>
      <c r="B1012" s="21" t="s">
        <v>1931</v>
      </c>
      <c r="C1012" s="36"/>
    </row>
    <row r="1013" spans="1:3" x14ac:dyDescent="0.2">
      <c r="A1013" s="21" t="s">
        <v>1932</v>
      </c>
      <c r="B1013" s="21" t="s">
        <v>1933</v>
      </c>
      <c r="C1013" s="36"/>
    </row>
    <row r="1014" spans="1:3" x14ac:dyDescent="0.2">
      <c r="A1014" s="21" t="s">
        <v>1934</v>
      </c>
      <c r="B1014" s="21" t="s">
        <v>1935</v>
      </c>
      <c r="C1014" s="36"/>
    </row>
    <row r="1015" spans="1:3" x14ac:dyDescent="0.2">
      <c r="A1015" s="21" t="s">
        <v>1936</v>
      </c>
      <c r="B1015" s="21" t="s">
        <v>1937</v>
      </c>
      <c r="C1015" s="36"/>
    </row>
    <row r="1016" spans="1:3" x14ac:dyDescent="0.2">
      <c r="A1016" s="21" t="s">
        <v>1938</v>
      </c>
      <c r="B1016" s="21" t="s">
        <v>1939</v>
      </c>
      <c r="C1016" s="36"/>
    </row>
    <row r="1017" spans="1:3" x14ac:dyDescent="0.2">
      <c r="A1017" s="21" t="s">
        <v>1940</v>
      </c>
      <c r="B1017" s="21" t="s">
        <v>1941</v>
      </c>
      <c r="C1017" s="36"/>
    </row>
    <row r="1018" spans="1:3" x14ac:dyDescent="0.2">
      <c r="A1018" s="22" t="s">
        <v>1942</v>
      </c>
      <c r="B1018" s="22" t="s">
        <v>1943</v>
      </c>
      <c r="C1018" s="37"/>
    </row>
    <row r="1019" spans="1:3" x14ac:dyDescent="0.2">
      <c r="A1019" s="21" t="s">
        <v>1944</v>
      </c>
      <c r="B1019" s="21" t="s">
        <v>1945</v>
      </c>
      <c r="C1019" s="36"/>
    </row>
    <row r="1020" spans="1:3" x14ac:dyDescent="0.2">
      <c r="A1020" s="21" t="s">
        <v>1946</v>
      </c>
      <c r="B1020" s="21" t="s">
        <v>1947</v>
      </c>
      <c r="C1020" s="36"/>
    </row>
    <row r="1021" spans="1:3" x14ac:dyDescent="0.2">
      <c r="A1021" s="21" t="s">
        <v>1948</v>
      </c>
      <c r="B1021" s="21" t="s">
        <v>1949</v>
      </c>
      <c r="C1021" s="36"/>
    </row>
    <row r="1022" spans="1:3" x14ac:dyDescent="0.2">
      <c r="A1022" s="21" t="s">
        <v>87</v>
      </c>
      <c r="B1022" s="21" t="s">
        <v>1950</v>
      </c>
      <c r="C1022" s="36" t="s">
        <v>1951</v>
      </c>
    </row>
    <row r="1023" spans="1:3" x14ac:dyDescent="0.2">
      <c r="A1023" s="21" t="s">
        <v>1952</v>
      </c>
      <c r="B1023" s="21" t="s">
        <v>1953</v>
      </c>
      <c r="C1023" s="36"/>
    </row>
    <row r="1024" spans="1:3" x14ac:dyDescent="0.2">
      <c r="A1024" s="21" t="s">
        <v>1954</v>
      </c>
      <c r="B1024" s="21" t="s">
        <v>1955</v>
      </c>
      <c r="C1024" s="36"/>
    </row>
    <row r="1025" spans="1:3" x14ac:dyDescent="0.2">
      <c r="A1025" s="21" t="s">
        <v>1956</v>
      </c>
      <c r="B1025" s="21" t="s">
        <v>1956</v>
      </c>
      <c r="C1025" s="36"/>
    </row>
    <row r="1026" spans="1:3" x14ac:dyDescent="0.2">
      <c r="A1026" s="21" t="s">
        <v>1957</v>
      </c>
      <c r="B1026" s="21" t="s">
        <v>1958</v>
      </c>
      <c r="C1026" s="36"/>
    </row>
    <row r="1027" spans="1:3" x14ac:dyDescent="0.2">
      <c r="A1027" s="21" t="s">
        <v>1959</v>
      </c>
      <c r="B1027" s="21" t="s">
        <v>1959</v>
      </c>
      <c r="C1027" s="36"/>
    </row>
    <row r="1028" spans="1:3" x14ac:dyDescent="0.2">
      <c r="A1028" s="21" t="s">
        <v>1960</v>
      </c>
      <c r="B1028" s="21" t="s">
        <v>1961</v>
      </c>
      <c r="C1028" s="36"/>
    </row>
    <row r="1029" spans="1:3" x14ac:dyDescent="0.2">
      <c r="A1029" s="21" t="s">
        <v>1962</v>
      </c>
      <c r="B1029" s="21" t="s">
        <v>1963</v>
      </c>
      <c r="C1029" s="36"/>
    </row>
    <row r="1030" spans="1:3" x14ac:dyDescent="0.2">
      <c r="A1030" s="21" t="s">
        <v>1964</v>
      </c>
      <c r="B1030" s="21" t="s">
        <v>1965</v>
      </c>
      <c r="C1030" s="36"/>
    </row>
    <row r="1031" spans="1:3" x14ac:dyDescent="0.2">
      <c r="A1031" s="21" t="s">
        <v>1966</v>
      </c>
      <c r="B1031" s="21" t="s">
        <v>1967</v>
      </c>
      <c r="C1031" s="36"/>
    </row>
    <row r="1032" spans="1:3" x14ac:dyDescent="0.2">
      <c r="A1032" s="21" t="s">
        <v>1968</v>
      </c>
      <c r="B1032" s="21" t="s">
        <v>1969</v>
      </c>
      <c r="C1032" s="36"/>
    </row>
    <row r="1033" spans="1:3" x14ac:dyDescent="0.2">
      <c r="A1033" s="21" t="s">
        <v>1970</v>
      </c>
      <c r="B1033" s="21" t="s">
        <v>1971</v>
      </c>
      <c r="C1033" s="36" t="s">
        <v>387</v>
      </c>
    </row>
    <row r="1034" spans="1:3" x14ac:dyDescent="0.2">
      <c r="A1034" s="21" t="s">
        <v>1972</v>
      </c>
      <c r="B1034" s="21" t="s">
        <v>1973</v>
      </c>
      <c r="C1034" s="36"/>
    </row>
    <row r="1035" spans="1:3" x14ac:dyDescent="0.2">
      <c r="A1035" s="21" t="s">
        <v>1974</v>
      </c>
      <c r="B1035" s="21" t="s">
        <v>1975</v>
      </c>
      <c r="C1035" s="36" t="s">
        <v>1976</v>
      </c>
    </row>
    <row r="1036" spans="1:3" x14ac:dyDescent="0.2">
      <c r="A1036" s="21" t="s">
        <v>1977</v>
      </c>
      <c r="B1036" s="21" t="s">
        <v>1978</v>
      </c>
      <c r="C1036" s="36"/>
    </row>
    <row r="1037" spans="1:3" x14ac:dyDescent="0.2">
      <c r="A1037" s="21" t="s">
        <v>1979</v>
      </c>
      <c r="B1037" s="21" t="s">
        <v>1980</v>
      </c>
      <c r="C1037" s="36" t="s">
        <v>329</v>
      </c>
    </row>
    <row r="1038" spans="1:3" x14ac:dyDescent="0.2">
      <c r="A1038" s="21" t="s">
        <v>1981</v>
      </c>
      <c r="B1038" s="21" t="s">
        <v>1981</v>
      </c>
      <c r="C1038" s="36" t="s">
        <v>1982</v>
      </c>
    </row>
    <row r="1039" spans="1:3" x14ac:dyDescent="0.2">
      <c r="A1039" s="21" t="s">
        <v>1983</v>
      </c>
      <c r="B1039" s="21" t="s">
        <v>1983</v>
      </c>
      <c r="C1039" s="36"/>
    </row>
    <row r="1040" spans="1:3" x14ac:dyDescent="0.2">
      <c r="A1040" s="21" t="s">
        <v>1984</v>
      </c>
      <c r="B1040" s="21" t="s">
        <v>1985</v>
      </c>
      <c r="C1040" s="36"/>
    </row>
    <row r="1041" spans="1:3" x14ac:dyDescent="0.2">
      <c r="A1041" s="21" t="s">
        <v>1986</v>
      </c>
      <c r="B1041" s="21" t="s">
        <v>1986</v>
      </c>
      <c r="C1041" s="36"/>
    </row>
    <row r="1042" spans="1:3" x14ac:dyDescent="0.2">
      <c r="A1042" s="21" t="s">
        <v>1987</v>
      </c>
      <c r="B1042" s="21" t="s">
        <v>1988</v>
      </c>
      <c r="C1042" s="36" t="s">
        <v>1989</v>
      </c>
    </row>
    <row r="1043" spans="1:3" x14ac:dyDescent="0.2">
      <c r="A1043" s="21" t="s">
        <v>1990</v>
      </c>
      <c r="B1043" s="21" t="s">
        <v>1990</v>
      </c>
      <c r="C1043" s="36"/>
    </row>
    <row r="1044" spans="1:3" x14ac:dyDescent="0.2">
      <c r="A1044" s="21" t="s">
        <v>1991</v>
      </c>
      <c r="B1044" s="21" t="s">
        <v>1992</v>
      </c>
      <c r="C1044" s="36"/>
    </row>
    <row r="1045" spans="1:3" x14ac:dyDescent="0.2">
      <c r="A1045" s="21" t="s">
        <v>1993</v>
      </c>
      <c r="B1045" s="21" t="s">
        <v>1993</v>
      </c>
      <c r="C1045" s="36" t="s">
        <v>1994</v>
      </c>
    </row>
    <row r="1046" spans="1:3" x14ac:dyDescent="0.2">
      <c r="A1046" s="21" t="s">
        <v>1995</v>
      </c>
      <c r="B1046" s="21" t="s">
        <v>1995</v>
      </c>
      <c r="C1046" s="36" t="s">
        <v>1996</v>
      </c>
    </row>
    <row r="1047" spans="1:3" x14ac:dyDescent="0.2">
      <c r="A1047" s="21" t="s">
        <v>1997</v>
      </c>
      <c r="B1047" s="21" t="s">
        <v>1997</v>
      </c>
      <c r="C1047" s="36"/>
    </row>
    <row r="1048" spans="1:3" x14ac:dyDescent="0.2">
      <c r="A1048" s="22" t="s">
        <v>1998</v>
      </c>
      <c r="B1048" s="22" t="s">
        <v>1998</v>
      </c>
      <c r="C1048" s="37" t="s">
        <v>1999</v>
      </c>
    </row>
    <row r="1049" spans="1:3" x14ac:dyDescent="0.2">
      <c r="A1049" s="21" t="s">
        <v>2000</v>
      </c>
      <c r="B1049" s="21" t="s">
        <v>2001</v>
      </c>
      <c r="C1049" s="36"/>
    </row>
    <row r="1050" spans="1:3" x14ac:dyDescent="0.2">
      <c r="A1050" s="25" t="s">
        <v>2002</v>
      </c>
      <c r="B1050" s="22" t="s">
        <v>2003</v>
      </c>
      <c r="C1050" s="37"/>
    </row>
    <row r="1051" spans="1:3" x14ac:dyDescent="0.2">
      <c r="A1051" s="21" t="s">
        <v>2004</v>
      </c>
      <c r="B1051" s="21" t="s">
        <v>2005</v>
      </c>
      <c r="C1051" s="36" t="s">
        <v>2006</v>
      </c>
    </row>
    <row r="1052" spans="1:3" x14ac:dyDescent="0.2">
      <c r="A1052" s="21" t="s">
        <v>2007</v>
      </c>
      <c r="B1052" s="21" t="s">
        <v>2007</v>
      </c>
      <c r="C1052" s="36" t="s">
        <v>2008</v>
      </c>
    </row>
    <row r="1053" spans="1:3" x14ac:dyDescent="0.2">
      <c r="A1053" s="21" t="s">
        <v>2009</v>
      </c>
      <c r="B1053" s="21" t="s">
        <v>2009</v>
      </c>
      <c r="C1053" s="36" t="s">
        <v>2010</v>
      </c>
    </row>
    <row r="1054" spans="1:3" x14ac:dyDescent="0.2">
      <c r="A1054" s="21" t="s">
        <v>2011</v>
      </c>
      <c r="B1054" s="21" t="s">
        <v>2011</v>
      </c>
      <c r="C1054" s="36"/>
    </row>
    <row r="1055" spans="1:3" x14ac:dyDescent="0.2">
      <c r="A1055" s="21" t="s">
        <v>2012</v>
      </c>
      <c r="B1055" s="21" t="s">
        <v>2013</v>
      </c>
      <c r="C1055" s="36"/>
    </row>
    <row r="1056" spans="1:3" x14ac:dyDescent="0.2">
      <c r="A1056" s="21" t="s">
        <v>2014</v>
      </c>
      <c r="B1056" s="21" t="s">
        <v>2015</v>
      </c>
      <c r="C1056" s="36" t="s">
        <v>2016</v>
      </c>
    </row>
    <row r="1057" spans="1:3" x14ac:dyDescent="0.2">
      <c r="A1057" s="21" t="s">
        <v>2017</v>
      </c>
      <c r="B1057" s="21" t="s">
        <v>2018</v>
      </c>
      <c r="C1057" s="36"/>
    </row>
    <row r="1058" spans="1:3" x14ac:dyDescent="0.2">
      <c r="A1058" s="21" t="s">
        <v>2019</v>
      </c>
      <c r="B1058" s="21" t="s">
        <v>2020</v>
      </c>
      <c r="C1058" s="36"/>
    </row>
    <row r="1059" spans="1:3" x14ac:dyDescent="0.2">
      <c r="A1059" s="21" t="s">
        <v>3888</v>
      </c>
      <c r="B1059" s="21" t="s">
        <v>3888</v>
      </c>
      <c r="C1059" s="36"/>
    </row>
    <row r="1060" spans="1:3" x14ac:dyDescent="0.2">
      <c r="A1060" s="21" t="s">
        <v>2021</v>
      </c>
      <c r="B1060" s="21" t="s">
        <v>2021</v>
      </c>
      <c r="C1060" s="36"/>
    </row>
    <row r="1061" spans="1:3" x14ac:dyDescent="0.2">
      <c r="A1061" s="21" t="s">
        <v>2022</v>
      </c>
      <c r="B1061" s="21" t="s">
        <v>2022</v>
      </c>
      <c r="C1061" s="36" t="s">
        <v>2023</v>
      </c>
    </row>
    <row r="1062" spans="1:3" x14ac:dyDescent="0.2">
      <c r="A1062" s="21" t="s">
        <v>3889</v>
      </c>
      <c r="B1062" s="21" t="s">
        <v>3889</v>
      </c>
      <c r="C1062" s="36"/>
    </row>
    <row r="1063" spans="1:3" x14ac:dyDescent="0.2">
      <c r="A1063" s="21" t="s">
        <v>2024</v>
      </c>
      <c r="B1063" s="21" t="s">
        <v>2024</v>
      </c>
      <c r="C1063" s="36" t="s">
        <v>2025</v>
      </c>
    </row>
    <row r="1064" spans="1:3" x14ac:dyDescent="0.2">
      <c r="A1064" s="21" t="s">
        <v>2026</v>
      </c>
      <c r="B1064" s="21" t="s">
        <v>2026</v>
      </c>
      <c r="C1064" s="36" t="s">
        <v>2027</v>
      </c>
    </row>
    <row r="1065" spans="1:3" x14ac:dyDescent="0.2">
      <c r="A1065" s="21" t="s">
        <v>2028</v>
      </c>
      <c r="B1065" s="21" t="s">
        <v>2028</v>
      </c>
      <c r="C1065" s="36"/>
    </row>
    <row r="1066" spans="1:3" x14ac:dyDescent="0.2">
      <c r="A1066" s="21" t="s">
        <v>2029</v>
      </c>
      <c r="B1066" s="21" t="s">
        <v>2030</v>
      </c>
      <c r="C1066" s="36"/>
    </row>
    <row r="1067" spans="1:3" x14ac:dyDescent="0.2">
      <c r="A1067" s="21" t="s">
        <v>2031</v>
      </c>
      <c r="B1067" s="21" t="s">
        <v>2032</v>
      </c>
      <c r="C1067" s="36"/>
    </row>
    <row r="1068" spans="1:3" x14ac:dyDescent="0.2">
      <c r="A1068" s="22" t="s">
        <v>2033</v>
      </c>
      <c r="B1068" s="22" t="s">
        <v>2033</v>
      </c>
      <c r="C1068" s="37"/>
    </row>
    <row r="1069" spans="1:3" x14ac:dyDescent="0.2">
      <c r="A1069" s="22" t="s">
        <v>2034</v>
      </c>
      <c r="B1069" s="22" t="s">
        <v>2035</v>
      </c>
      <c r="C1069" s="37"/>
    </row>
    <row r="1070" spans="1:3" x14ac:dyDescent="0.2">
      <c r="A1070" s="22" t="s">
        <v>2036</v>
      </c>
      <c r="B1070" s="22" t="s">
        <v>2036</v>
      </c>
      <c r="C1070" s="37"/>
    </row>
    <row r="1071" spans="1:3" x14ac:dyDescent="0.2">
      <c r="A1071" s="21" t="s">
        <v>2037</v>
      </c>
      <c r="B1071" s="21" t="s">
        <v>2037</v>
      </c>
      <c r="C1071" s="36"/>
    </row>
    <row r="1072" spans="1:3" x14ac:dyDescent="0.2">
      <c r="A1072" s="21" t="s">
        <v>2038</v>
      </c>
      <c r="B1072" s="21" t="s">
        <v>2039</v>
      </c>
      <c r="C1072" s="36"/>
    </row>
    <row r="1073" spans="1:3" x14ac:dyDescent="0.2">
      <c r="A1073" s="21" t="s">
        <v>2040</v>
      </c>
      <c r="B1073" s="21" t="s">
        <v>2040</v>
      </c>
      <c r="C1073" s="36"/>
    </row>
    <row r="1074" spans="1:3" x14ac:dyDescent="0.2">
      <c r="A1074" s="21" t="s">
        <v>2041</v>
      </c>
      <c r="B1074" s="21" t="s">
        <v>2041</v>
      </c>
      <c r="C1074" s="36"/>
    </row>
    <row r="1075" spans="1:3" x14ac:dyDescent="0.2">
      <c r="A1075" s="21" t="s">
        <v>2042</v>
      </c>
      <c r="B1075" s="21" t="s">
        <v>2043</v>
      </c>
      <c r="C1075" s="36"/>
    </row>
    <row r="1076" spans="1:3" x14ac:dyDescent="0.2">
      <c r="A1076" s="21" t="s">
        <v>2044</v>
      </c>
      <c r="B1076" s="21" t="s">
        <v>2044</v>
      </c>
      <c r="C1076" s="36"/>
    </row>
    <row r="1077" spans="1:3" x14ac:dyDescent="0.2">
      <c r="A1077" s="21" t="s">
        <v>2045</v>
      </c>
      <c r="B1077" s="21" t="s">
        <v>2046</v>
      </c>
      <c r="C1077" s="36"/>
    </row>
    <row r="1078" spans="1:3" x14ac:dyDescent="0.2">
      <c r="A1078" s="21" t="s">
        <v>2047</v>
      </c>
      <c r="B1078" s="21" t="s">
        <v>2048</v>
      </c>
      <c r="C1078" s="36" t="s">
        <v>2049</v>
      </c>
    </row>
    <row r="1079" spans="1:3" x14ac:dyDescent="0.2">
      <c r="A1079" s="21" t="s">
        <v>2050</v>
      </c>
      <c r="B1079" s="21" t="s">
        <v>2051</v>
      </c>
      <c r="C1079" s="36"/>
    </row>
    <row r="1080" spans="1:3" x14ac:dyDescent="0.2">
      <c r="A1080" s="21" t="s">
        <v>2852</v>
      </c>
      <c r="B1080" s="21" t="s">
        <v>2852</v>
      </c>
      <c r="C1080" s="36"/>
    </row>
    <row r="1081" spans="1:3" x14ac:dyDescent="0.2">
      <c r="A1081" s="21" t="s">
        <v>2052</v>
      </c>
      <c r="B1081" s="21" t="s">
        <v>2052</v>
      </c>
      <c r="C1081" s="36"/>
    </row>
    <row r="1082" spans="1:3" x14ac:dyDescent="0.2">
      <c r="A1082" s="21" t="s">
        <v>2053</v>
      </c>
      <c r="B1082" s="21" t="s">
        <v>2054</v>
      </c>
      <c r="C1082" s="36"/>
    </row>
    <row r="1083" spans="1:3" x14ac:dyDescent="0.2">
      <c r="A1083" s="21" t="s">
        <v>2055</v>
      </c>
      <c r="B1083" s="21" t="s">
        <v>2056</v>
      </c>
      <c r="C1083" s="36" t="s">
        <v>2057</v>
      </c>
    </row>
    <row r="1084" spans="1:3" x14ac:dyDescent="0.2">
      <c r="A1084" s="22" t="s">
        <v>2058</v>
      </c>
      <c r="B1084" s="22" t="s">
        <v>2058</v>
      </c>
      <c r="C1084" s="37"/>
    </row>
    <row r="1085" spans="1:3" x14ac:dyDescent="0.2">
      <c r="A1085" s="21" t="s">
        <v>2059</v>
      </c>
      <c r="B1085" s="21" t="s">
        <v>2060</v>
      </c>
      <c r="C1085" s="36"/>
    </row>
    <row r="1086" spans="1:3" x14ac:dyDescent="0.2">
      <c r="A1086" s="21" t="s">
        <v>2061</v>
      </c>
      <c r="B1086" s="21" t="s">
        <v>2061</v>
      </c>
      <c r="C1086" s="36"/>
    </row>
    <row r="1087" spans="1:3" x14ac:dyDescent="0.2">
      <c r="A1087" s="21" t="s">
        <v>2062</v>
      </c>
      <c r="B1087" s="21" t="s">
        <v>2063</v>
      </c>
      <c r="C1087" s="36"/>
    </row>
    <row r="1088" spans="1:3" x14ac:dyDescent="0.2">
      <c r="A1088" s="21" t="s">
        <v>2064</v>
      </c>
      <c r="B1088" s="21" t="s">
        <v>2065</v>
      </c>
      <c r="C1088" s="36"/>
    </row>
    <row r="1089" spans="1:3" x14ac:dyDescent="0.2">
      <c r="A1089" s="21" t="s">
        <v>2066</v>
      </c>
      <c r="B1089" s="21" t="s">
        <v>2067</v>
      </c>
      <c r="C1089" s="36"/>
    </row>
    <row r="1090" spans="1:3" x14ac:dyDescent="0.2">
      <c r="A1090" s="21" t="s">
        <v>2068</v>
      </c>
      <c r="B1090" s="21" t="s">
        <v>2069</v>
      </c>
      <c r="C1090" s="36" t="s">
        <v>2070</v>
      </c>
    </row>
    <row r="1091" spans="1:3" x14ac:dyDescent="0.2">
      <c r="A1091" s="21" t="s">
        <v>2851</v>
      </c>
      <c r="B1091" s="21" t="s">
        <v>2852</v>
      </c>
      <c r="C1091" s="36"/>
    </row>
    <row r="1092" spans="1:3" x14ac:dyDescent="0.2">
      <c r="A1092" s="21" t="s">
        <v>2853</v>
      </c>
      <c r="B1092" s="21" t="s">
        <v>2852</v>
      </c>
      <c r="C1092" s="36"/>
    </row>
    <row r="1093" spans="1:3" x14ac:dyDescent="0.2">
      <c r="A1093" s="21" t="s">
        <v>2071</v>
      </c>
      <c r="B1093" s="21" t="s">
        <v>2071</v>
      </c>
      <c r="C1093" s="36"/>
    </row>
    <row r="1094" spans="1:3" x14ac:dyDescent="0.2">
      <c r="A1094" s="21" t="s">
        <v>2072</v>
      </c>
      <c r="B1094" s="21" t="s">
        <v>2073</v>
      </c>
      <c r="C1094" s="36"/>
    </row>
    <row r="1095" spans="1:3" x14ac:dyDescent="0.2">
      <c r="A1095" s="21" t="s">
        <v>2074</v>
      </c>
      <c r="B1095" s="21" t="s">
        <v>2075</v>
      </c>
      <c r="C1095" s="36"/>
    </row>
    <row r="1096" spans="1:3" x14ac:dyDescent="0.2">
      <c r="A1096" s="21" t="s">
        <v>2076</v>
      </c>
      <c r="B1096" s="21" t="s">
        <v>2077</v>
      </c>
      <c r="C1096" s="36"/>
    </row>
    <row r="1097" spans="1:3" x14ac:dyDescent="0.2">
      <c r="A1097" s="21" t="s">
        <v>2078</v>
      </c>
      <c r="B1097" s="21" t="s">
        <v>2079</v>
      </c>
      <c r="C1097" s="36"/>
    </row>
    <row r="1098" spans="1:3" x14ac:dyDescent="0.2">
      <c r="A1098" s="21" t="s">
        <v>2080</v>
      </c>
      <c r="B1098" s="21" t="s">
        <v>2081</v>
      </c>
      <c r="C1098" s="36"/>
    </row>
    <row r="1099" spans="1:3" x14ac:dyDescent="0.2">
      <c r="A1099" s="21" t="s">
        <v>2082</v>
      </c>
      <c r="B1099" s="21" t="s">
        <v>2083</v>
      </c>
      <c r="C1099" s="36"/>
    </row>
    <row r="1100" spans="1:3" x14ac:dyDescent="0.2">
      <c r="A1100" s="21" t="s">
        <v>2084</v>
      </c>
      <c r="B1100" s="21" t="s">
        <v>2085</v>
      </c>
      <c r="C1100" s="36"/>
    </row>
    <row r="1101" spans="1:3" x14ac:dyDescent="0.2">
      <c r="A1101" s="21" t="s">
        <v>2086</v>
      </c>
      <c r="B1101" s="21" t="s">
        <v>2087</v>
      </c>
      <c r="C1101" s="36"/>
    </row>
    <row r="1102" spans="1:3" x14ac:dyDescent="0.2">
      <c r="A1102" s="21" t="s">
        <v>2088</v>
      </c>
      <c r="B1102" s="21" t="s">
        <v>2089</v>
      </c>
      <c r="C1102" s="36" t="s">
        <v>2090</v>
      </c>
    </row>
    <row r="1103" spans="1:3" x14ac:dyDescent="0.2">
      <c r="A1103" s="21" t="s">
        <v>2091</v>
      </c>
      <c r="B1103" s="21" t="s">
        <v>2091</v>
      </c>
      <c r="C1103" s="36"/>
    </row>
    <row r="1104" spans="1:3" x14ac:dyDescent="0.2">
      <c r="A1104" s="21" t="s">
        <v>2092</v>
      </c>
      <c r="B1104" s="21" t="s">
        <v>2092</v>
      </c>
      <c r="C1104" s="36"/>
    </row>
    <row r="1105" spans="1:3" x14ac:dyDescent="0.2">
      <c r="A1105" s="21" t="s">
        <v>2093</v>
      </c>
      <c r="B1105" s="21" t="s">
        <v>2094</v>
      </c>
      <c r="C1105" s="36"/>
    </row>
    <row r="1106" spans="1:3" x14ac:dyDescent="0.2">
      <c r="A1106" s="21" t="s">
        <v>2095</v>
      </c>
      <c r="B1106" s="21" t="s">
        <v>2096</v>
      </c>
      <c r="C1106" s="36"/>
    </row>
    <row r="1107" spans="1:3" x14ac:dyDescent="0.2">
      <c r="A1107" s="21" t="s">
        <v>2097</v>
      </c>
      <c r="B1107" s="21" t="s">
        <v>2097</v>
      </c>
      <c r="C1107" s="36" t="s">
        <v>2098</v>
      </c>
    </row>
    <row r="1108" spans="1:3" x14ac:dyDescent="0.2">
      <c r="A1108" s="21" t="s">
        <v>2099</v>
      </c>
      <c r="B1108" s="21" t="s">
        <v>2100</v>
      </c>
      <c r="C1108" s="36"/>
    </row>
    <row r="1109" spans="1:3" x14ac:dyDescent="0.2">
      <c r="A1109" s="21" t="s">
        <v>2101</v>
      </c>
      <c r="B1109" s="21" t="s">
        <v>2101</v>
      </c>
      <c r="C1109" s="36"/>
    </row>
    <row r="1110" spans="1:3" x14ac:dyDescent="0.2">
      <c r="A1110" s="21" t="s">
        <v>2102</v>
      </c>
      <c r="B1110" s="21" t="s">
        <v>2103</v>
      </c>
      <c r="C1110" s="36" t="s">
        <v>2104</v>
      </c>
    </row>
    <row r="1111" spans="1:3" x14ac:dyDescent="0.2">
      <c r="A1111" s="21" t="s">
        <v>2105</v>
      </c>
      <c r="B1111" s="21" t="s">
        <v>2106</v>
      </c>
      <c r="C1111" s="36"/>
    </row>
    <row r="1112" spans="1:3" x14ac:dyDescent="0.2">
      <c r="A1112" s="21" t="s">
        <v>2107</v>
      </c>
      <c r="B1112" s="21" t="s">
        <v>2108</v>
      </c>
      <c r="C1112" s="36"/>
    </row>
    <row r="1113" spans="1:3" x14ac:dyDescent="0.2">
      <c r="A1113" s="21" t="s">
        <v>2109</v>
      </c>
      <c r="B1113" s="21" t="s">
        <v>2109</v>
      </c>
      <c r="C1113" s="36" t="s">
        <v>2110</v>
      </c>
    </row>
    <row r="1114" spans="1:3" x14ac:dyDescent="0.2">
      <c r="A1114" s="21" t="s">
        <v>2111</v>
      </c>
      <c r="B1114" s="21" t="s">
        <v>2112</v>
      </c>
      <c r="C1114" s="36" t="s">
        <v>2113</v>
      </c>
    </row>
    <row r="1115" spans="1:3" x14ac:dyDescent="0.2">
      <c r="A1115" s="21" t="s">
        <v>2114</v>
      </c>
      <c r="B1115" s="21" t="s">
        <v>2115</v>
      </c>
      <c r="C1115" s="36"/>
    </row>
    <row r="1116" spans="1:3" x14ac:dyDescent="0.2">
      <c r="A1116" s="21" t="s">
        <v>2116</v>
      </c>
      <c r="B1116" s="21" t="s">
        <v>2116</v>
      </c>
      <c r="C1116" s="36"/>
    </row>
    <row r="1117" spans="1:3" x14ac:dyDescent="0.2">
      <c r="A1117" s="21" t="s">
        <v>2117</v>
      </c>
      <c r="B1117" s="21" t="s">
        <v>2117</v>
      </c>
      <c r="C1117" s="36"/>
    </row>
    <row r="1118" spans="1:3" x14ac:dyDescent="0.2">
      <c r="A1118" s="21" t="s">
        <v>2118</v>
      </c>
      <c r="B1118" s="21" t="s">
        <v>2119</v>
      </c>
      <c r="C1118" s="36"/>
    </row>
    <row r="1119" spans="1:3" x14ac:dyDescent="0.2">
      <c r="A1119" s="21" t="s">
        <v>2120</v>
      </c>
      <c r="B1119" s="21" t="s">
        <v>2121</v>
      </c>
      <c r="C1119" s="36"/>
    </row>
    <row r="1120" spans="1:3" x14ac:dyDescent="0.2">
      <c r="A1120" s="21" t="s">
        <v>2122</v>
      </c>
      <c r="B1120" s="21" t="s">
        <v>2123</v>
      </c>
      <c r="C1120" s="36"/>
    </row>
    <row r="1121" spans="1:3" x14ac:dyDescent="0.2">
      <c r="A1121" s="21" t="s">
        <v>2124</v>
      </c>
      <c r="B1121" s="21" t="s">
        <v>2125</v>
      </c>
      <c r="C1121" s="36"/>
    </row>
    <row r="1122" spans="1:3" x14ac:dyDescent="0.2">
      <c r="A1122" s="21" t="s">
        <v>2126</v>
      </c>
      <c r="B1122" s="21" t="s">
        <v>2126</v>
      </c>
      <c r="C1122" s="36"/>
    </row>
    <row r="1123" spans="1:3" x14ac:dyDescent="0.2">
      <c r="A1123" s="21" t="s">
        <v>2127</v>
      </c>
      <c r="B1123" s="21" t="s">
        <v>2128</v>
      </c>
      <c r="C1123" s="36"/>
    </row>
    <row r="1124" spans="1:3" x14ac:dyDescent="0.2">
      <c r="A1124" s="21" t="s">
        <v>2129</v>
      </c>
      <c r="B1124" s="21" t="s">
        <v>2130</v>
      </c>
      <c r="C1124" s="36"/>
    </row>
    <row r="1125" spans="1:3" x14ac:dyDescent="0.2">
      <c r="A1125" s="21" t="s">
        <v>2131</v>
      </c>
      <c r="B1125" s="21" t="s">
        <v>2131</v>
      </c>
      <c r="C1125" s="36"/>
    </row>
    <row r="1126" spans="1:3" x14ac:dyDescent="0.2">
      <c r="A1126" s="21" t="s">
        <v>2132</v>
      </c>
      <c r="B1126" s="21" t="s">
        <v>2133</v>
      </c>
      <c r="C1126" s="36"/>
    </row>
    <row r="1127" spans="1:3" x14ac:dyDescent="0.2">
      <c r="A1127" s="21" t="s">
        <v>2134</v>
      </c>
      <c r="B1127" s="21" t="s">
        <v>2134</v>
      </c>
      <c r="C1127" s="36"/>
    </row>
    <row r="1128" spans="1:3" x14ac:dyDescent="0.2">
      <c r="A1128" s="21" t="s">
        <v>2135</v>
      </c>
      <c r="B1128" s="21" t="s">
        <v>2136</v>
      </c>
      <c r="C1128" s="36" t="s">
        <v>2137</v>
      </c>
    </row>
    <row r="1129" spans="1:3" x14ac:dyDescent="0.2">
      <c r="A1129" s="21" t="s">
        <v>2138</v>
      </c>
      <c r="B1129" s="21" t="s">
        <v>2139</v>
      </c>
      <c r="C1129" s="36"/>
    </row>
    <row r="1130" spans="1:3" x14ac:dyDescent="0.2">
      <c r="A1130" s="21" t="s">
        <v>2140</v>
      </c>
      <c r="B1130" s="21" t="s">
        <v>2140</v>
      </c>
      <c r="C1130" s="36"/>
    </row>
    <row r="1131" spans="1:3" x14ac:dyDescent="0.2">
      <c r="A1131" s="21" t="s">
        <v>2141</v>
      </c>
      <c r="B1131" s="21" t="s">
        <v>2141</v>
      </c>
      <c r="C1131" s="36" t="s">
        <v>2142</v>
      </c>
    </row>
    <row r="1132" spans="1:3" x14ac:dyDescent="0.2">
      <c r="A1132" s="21" t="s">
        <v>2143</v>
      </c>
      <c r="B1132" s="21" t="s">
        <v>2144</v>
      </c>
      <c r="C1132" s="36"/>
    </row>
    <row r="1133" spans="1:3" x14ac:dyDescent="0.2">
      <c r="A1133" s="21" t="s">
        <v>2145</v>
      </c>
      <c r="B1133" s="21" t="s">
        <v>2145</v>
      </c>
      <c r="C1133" s="36"/>
    </row>
    <row r="1134" spans="1:3" x14ac:dyDescent="0.2">
      <c r="A1134" s="21" t="s">
        <v>2146</v>
      </c>
      <c r="B1134" s="21" t="s">
        <v>2146</v>
      </c>
      <c r="C1134" s="36"/>
    </row>
    <row r="1135" spans="1:3" x14ac:dyDescent="0.2">
      <c r="A1135" s="21" t="s">
        <v>2147</v>
      </c>
      <c r="B1135" s="21" t="s">
        <v>2148</v>
      </c>
      <c r="C1135" s="36"/>
    </row>
    <row r="1136" spans="1:3" x14ac:dyDescent="0.2">
      <c r="A1136" s="21" t="s">
        <v>30</v>
      </c>
      <c r="B1136" s="21" t="s">
        <v>2149</v>
      </c>
      <c r="C1136" s="36"/>
    </row>
    <row r="1137" spans="1:3" x14ac:dyDescent="0.2">
      <c r="A1137" s="21" t="s">
        <v>2150</v>
      </c>
      <c r="B1137" s="21" t="s">
        <v>2150</v>
      </c>
      <c r="C1137" s="36"/>
    </row>
    <row r="1138" spans="1:3" x14ac:dyDescent="0.2">
      <c r="A1138" s="21" t="s">
        <v>2151</v>
      </c>
      <c r="B1138" s="21" t="s">
        <v>2152</v>
      </c>
      <c r="C1138" s="36"/>
    </row>
    <row r="1139" spans="1:3" x14ac:dyDescent="0.2">
      <c r="A1139" s="21" t="s">
        <v>2153</v>
      </c>
      <c r="B1139" s="21" t="s">
        <v>2154</v>
      </c>
      <c r="C1139" s="36" t="s">
        <v>2155</v>
      </c>
    </row>
    <row r="1140" spans="1:3" x14ac:dyDescent="0.2">
      <c r="A1140" s="21" t="s">
        <v>2156</v>
      </c>
      <c r="B1140" s="21" t="s">
        <v>2157</v>
      </c>
      <c r="C1140" s="36"/>
    </row>
    <row r="1141" spans="1:3" x14ac:dyDescent="0.2">
      <c r="A1141" s="21" t="s">
        <v>2158</v>
      </c>
      <c r="B1141" s="21" t="s">
        <v>2158</v>
      </c>
      <c r="C1141" s="36" t="s">
        <v>2159</v>
      </c>
    </row>
    <row r="1142" spans="1:3" x14ac:dyDescent="0.2">
      <c r="A1142" s="21" t="s">
        <v>2160</v>
      </c>
      <c r="B1142" s="21" t="s">
        <v>2161</v>
      </c>
      <c r="C1142" s="36" t="s">
        <v>2162</v>
      </c>
    </row>
    <row r="1143" spans="1:3" x14ac:dyDescent="0.2">
      <c r="A1143" s="21" t="s">
        <v>2163</v>
      </c>
      <c r="B1143" s="21" t="s">
        <v>2164</v>
      </c>
      <c r="C1143" s="36" t="s">
        <v>2165</v>
      </c>
    </row>
    <row r="1144" spans="1:3" x14ac:dyDescent="0.2">
      <c r="A1144" s="21" t="s">
        <v>2166</v>
      </c>
      <c r="B1144" s="21" t="s">
        <v>2167</v>
      </c>
      <c r="C1144" s="36"/>
    </row>
    <row r="1145" spans="1:3" x14ac:dyDescent="0.2">
      <c r="A1145" s="21" t="s">
        <v>2168</v>
      </c>
      <c r="B1145" s="21" t="s">
        <v>2169</v>
      </c>
      <c r="C1145" s="36" t="s">
        <v>2170</v>
      </c>
    </row>
    <row r="1146" spans="1:3" x14ac:dyDescent="0.2">
      <c r="A1146" s="22" t="s">
        <v>2171</v>
      </c>
      <c r="B1146" s="22" t="s">
        <v>2172</v>
      </c>
      <c r="C1146" s="37"/>
    </row>
    <row r="1147" spans="1:3" x14ac:dyDescent="0.2">
      <c r="A1147" s="21" t="s">
        <v>2173</v>
      </c>
      <c r="B1147" s="21" t="s">
        <v>2173</v>
      </c>
      <c r="C1147" s="36" t="s">
        <v>2174</v>
      </c>
    </row>
    <row r="1148" spans="1:3" x14ac:dyDescent="0.2">
      <c r="A1148" s="21" t="s">
        <v>2175</v>
      </c>
      <c r="B1148" s="21" t="s">
        <v>2176</v>
      </c>
      <c r="C1148" s="36"/>
    </row>
    <row r="1149" spans="1:3" x14ac:dyDescent="0.2">
      <c r="A1149" s="21" t="s">
        <v>2177</v>
      </c>
      <c r="B1149" s="21" t="s">
        <v>2178</v>
      </c>
      <c r="C1149" s="36"/>
    </row>
    <row r="1150" spans="1:3" x14ac:dyDescent="0.2">
      <c r="A1150" s="21" t="s">
        <v>2179</v>
      </c>
      <c r="B1150" s="21" t="s">
        <v>2180</v>
      </c>
      <c r="C1150" s="36"/>
    </row>
    <row r="1151" spans="1:3" x14ac:dyDescent="0.2">
      <c r="A1151" s="21" t="s">
        <v>2181</v>
      </c>
      <c r="B1151" s="21" t="s">
        <v>2182</v>
      </c>
      <c r="C1151" s="36"/>
    </row>
    <row r="1152" spans="1:3" x14ac:dyDescent="0.2">
      <c r="A1152" s="21" t="s">
        <v>2183</v>
      </c>
      <c r="B1152" s="21" t="s">
        <v>2184</v>
      </c>
      <c r="C1152" s="36"/>
    </row>
    <row r="1153" spans="1:3" x14ac:dyDescent="0.2">
      <c r="A1153" s="21" t="s">
        <v>2185</v>
      </c>
      <c r="B1153" s="21" t="s">
        <v>2185</v>
      </c>
      <c r="C1153" s="36"/>
    </row>
    <row r="1154" spans="1:3" x14ac:dyDescent="0.2">
      <c r="A1154" s="28" t="s">
        <v>2186</v>
      </c>
      <c r="B1154" s="28" t="s">
        <v>2187</v>
      </c>
    </row>
    <row r="1155" spans="1:3" x14ac:dyDescent="0.2">
      <c r="A1155" s="21" t="s">
        <v>2188</v>
      </c>
      <c r="B1155" s="21" t="s">
        <v>2188</v>
      </c>
      <c r="C1155" s="36"/>
    </row>
    <row r="1156" spans="1:3" x14ac:dyDescent="0.2">
      <c r="A1156" s="21" t="s">
        <v>2189</v>
      </c>
      <c r="B1156" s="21" t="s">
        <v>2189</v>
      </c>
      <c r="C1156" s="36"/>
    </row>
    <row r="1157" spans="1:3" x14ac:dyDescent="0.2">
      <c r="A1157" s="21" t="s">
        <v>2190</v>
      </c>
      <c r="B1157" s="21" t="s">
        <v>2191</v>
      </c>
      <c r="C1157" s="36" t="s">
        <v>2192</v>
      </c>
    </row>
    <row r="1158" spans="1:3" x14ac:dyDescent="0.2">
      <c r="A1158" s="21" t="s">
        <v>2193</v>
      </c>
      <c r="B1158" s="21" t="s">
        <v>2194</v>
      </c>
      <c r="C1158" s="36"/>
    </row>
    <row r="1159" spans="1:3" x14ac:dyDescent="0.2">
      <c r="A1159" s="21" t="s">
        <v>2195</v>
      </c>
      <c r="B1159" s="21" t="s">
        <v>2196</v>
      </c>
      <c r="C1159" s="36"/>
    </row>
    <row r="1160" spans="1:3" x14ac:dyDescent="0.2">
      <c r="A1160" s="21" t="s">
        <v>2197</v>
      </c>
      <c r="B1160" s="21" t="s">
        <v>2198</v>
      </c>
      <c r="C1160" s="36"/>
    </row>
    <row r="1161" spans="1:3" x14ac:dyDescent="0.2">
      <c r="A1161" s="21" t="s">
        <v>2199</v>
      </c>
      <c r="B1161" s="21" t="s">
        <v>2200</v>
      </c>
      <c r="C1161" s="36"/>
    </row>
    <row r="1162" spans="1:3" x14ac:dyDescent="0.2">
      <c r="A1162" s="21" t="s">
        <v>2854</v>
      </c>
      <c r="B1162" s="21" t="s">
        <v>2855</v>
      </c>
      <c r="C1162" s="36"/>
    </row>
    <row r="1163" spans="1:3" x14ac:dyDescent="0.2">
      <c r="A1163" s="21" t="s">
        <v>2201</v>
      </c>
      <c r="B1163" s="21" t="s">
        <v>2202</v>
      </c>
      <c r="C1163" s="36"/>
    </row>
    <row r="1164" spans="1:3" x14ac:dyDescent="0.2">
      <c r="A1164" s="21" t="s">
        <v>2203</v>
      </c>
      <c r="B1164" s="21" t="s">
        <v>2204</v>
      </c>
      <c r="C1164" s="36"/>
    </row>
    <row r="1165" spans="1:3" x14ac:dyDescent="0.2">
      <c r="A1165" s="21" t="s">
        <v>2205</v>
      </c>
      <c r="B1165" s="21" t="s">
        <v>2206</v>
      </c>
      <c r="C1165" s="36"/>
    </row>
    <row r="1166" spans="1:3" x14ac:dyDescent="0.2">
      <c r="A1166" s="21" t="s">
        <v>2207</v>
      </c>
      <c r="B1166" s="21" t="s">
        <v>2208</v>
      </c>
      <c r="C1166" s="36"/>
    </row>
    <row r="1167" spans="1:3" x14ac:dyDescent="0.2">
      <c r="A1167" s="21" t="s">
        <v>2209</v>
      </c>
      <c r="B1167" s="21" t="s">
        <v>2210</v>
      </c>
      <c r="C1167" s="36"/>
    </row>
    <row r="1168" spans="1:3" x14ac:dyDescent="0.2">
      <c r="A1168" s="21" t="s">
        <v>2211</v>
      </c>
      <c r="B1168" s="21" t="s">
        <v>2212</v>
      </c>
      <c r="C1168" s="36" t="s">
        <v>2213</v>
      </c>
    </row>
    <row r="1169" spans="1:3" x14ac:dyDescent="0.2">
      <c r="A1169" s="21" t="s">
        <v>2214</v>
      </c>
      <c r="B1169" s="21" t="s">
        <v>2215</v>
      </c>
      <c r="C1169" s="36"/>
    </row>
    <row r="1170" spans="1:3" x14ac:dyDescent="0.2">
      <c r="A1170" s="21" t="s">
        <v>2216</v>
      </c>
      <c r="B1170" s="21" t="s">
        <v>2217</v>
      </c>
      <c r="C1170" s="36"/>
    </row>
    <row r="1171" spans="1:3" x14ac:dyDescent="0.2">
      <c r="A1171" s="21" t="s">
        <v>2218</v>
      </c>
      <c r="B1171" s="21" t="s">
        <v>2219</v>
      </c>
      <c r="C1171" s="36" t="s">
        <v>2220</v>
      </c>
    </row>
    <row r="1172" spans="1:3" x14ac:dyDescent="0.2">
      <c r="A1172" s="22" t="s">
        <v>2221</v>
      </c>
      <c r="B1172" s="22" t="s">
        <v>2221</v>
      </c>
      <c r="C1172" s="37"/>
    </row>
    <row r="1173" spans="1:3" x14ac:dyDescent="0.2">
      <c r="A1173" s="21" t="s">
        <v>2222</v>
      </c>
      <c r="B1173" s="21" t="s">
        <v>2223</v>
      </c>
      <c r="C1173" s="36" t="s">
        <v>2224</v>
      </c>
    </row>
    <row r="1174" spans="1:3" x14ac:dyDescent="0.2">
      <c r="A1174" s="21" t="s">
        <v>2225</v>
      </c>
      <c r="B1174" s="21" t="s">
        <v>2226</v>
      </c>
      <c r="C1174" s="36" t="s">
        <v>2227</v>
      </c>
    </row>
    <row r="1175" spans="1:3" x14ac:dyDescent="0.2">
      <c r="A1175" s="21" t="s">
        <v>2228</v>
      </c>
      <c r="B1175" s="21" t="s">
        <v>2228</v>
      </c>
      <c r="C1175" s="36"/>
    </row>
    <row r="1176" spans="1:3" x14ac:dyDescent="0.2">
      <c r="A1176" s="21" t="s">
        <v>2229</v>
      </c>
      <c r="B1176" s="21" t="s">
        <v>2230</v>
      </c>
      <c r="C1176" s="36" t="s">
        <v>2231</v>
      </c>
    </row>
    <row r="1177" spans="1:3" x14ac:dyDescent="0.2">
      <c r="A1177" s="22" t="s">
        <v>2232</v>
      </c>
      <c r="B1177" s="21" t="s">
        <v>2233</v>
      </c>
      <c r="C1177" s="36"/>
    </row>
    <row r="1178" spans="1:3" x14ac:dyDescent="0.2">
      <c r="A1178" s="21" t="s">
        <v>2234</v>
      </c>
      <c r="B1178" s="21" t="s">
        <v>2234</v>
      </c>
      <c r="C1178" s="36"/>
    </row>
    <row r="1179" spans="1:3" x14ac:dyDescent="0.2">
      <c r="A1179" s="22" t="s">
        <v>2235</v>
      </c>
      <c r="B1179" s="22" t="s">
        <v>2236</v>
      </c>
      <c r="C1179" s="37"/>
    </row>
    <row r="1180" spans="1:3" x14ac:dyDescent="0.2">
      <c r="A1180" s="21" t="s">
        <v>2237</v>
      </c>
      <c r="B1180" s="21" t="s">
        <v>2237</v>
      </c>
      <c r="C1180" s="36"/>
    </row>
    <row r="1181" spans="1:3" x14ac:dyDescent="0.2">
      <c r="A1181" s="21" t="s">
        <v>2238</v>
      </c>
      <c r="B1181" s="21" t="s">
        <v>2239</v>
      </c>
      <c r="C1181" s="36"/>
    </row>
    <row r="1182" spans="1:3" x14ac:dyDescent="0.2">
      <c r="A1182" s="21" t="s">
        <v>2240</v>
      </c>
      <c r="B1182" s="21" t="s">
        <v>2241</v>
      </c>
      <c r="C1182" s="36" t="s">
        <v>2242</v>
      </c>
    </row>
    <row r="1183" spans="1:3" x14ac:dyDescent="0.2">
      <c r="A1183" s="21" t="s">
        <v>2243</v>
      </c>
      <c r="B1183" s="21" t="s">
        <v>2243</v>
      </c>
      <c r="C1183" s="36"/>
    </row>
    <row r="1184" spans="1:3" x14ac:dyDescent="0.2">
      <c r="A1184" s="21" t="s">
        <v>2244</v>
      </c>
      <c r="B1184" s="21" t="s">
        <v>2245</v>
      </c>
      <c r="C1184" s="36"/>
    </row>
    <row r="1185" spans="1:3" x14ac:dyDescent="0.2">
      <c r="A1185" s="21" t="s">
        <v>2246</v>
      </c>
      <c r="B1185" s="21" t="s">
        <v>2247</v>
      </c>
      <c r="C1185" s="36"/>
    </row>
    <row r="1186" spans="1:3" x14ac:dyDescent="0.2">
      <c r="A1186" s="21" t="s">
        <v>2248</v>
      </c>
      <c r="B1186" s="21" t="s">
        <v>2248</v>
      </c>
      <c r="C1186" s="36" t="s">
        <v>2249</v>
      </c>
    </row>
    <row r="1187" spans="1:3" x14ac:dyDescent="0.2">
      <c r="A1187" s="21" t="s">
        <v>2250</v>
      </c>
      <c r="B1187" s="21" t="s">
        <v>2251</v>
      </c>
      <c r="C1187" s="36"/>
    </row>
    <row r="1188" spans="1:3" x14ac:dyDescent="0.2">
      <c r="A1188" s="22" t="s">
        <v>2252</v>
      </c>
      <c r="B1188" s="21" t="s">
        <v>2253</v>
      </c>
      <c r="C1188" s="36"/>
    </row>
    <row r="1189" spans="1:3" x14ac:dyDescent="0.2">
      <c r="A1189" s="21" t="s">
        <v>2254</v>
      </c>
      <c r="B1189" s="21" t="s">
        <v>2255</v>
      </c>
      <c r="C1189" s="36"/>
    </row>
    <row r="1190" spans="1:3" x14ac:dyDescent="0.2">
      <c r="A1190" s="21" t="s">
        <v>2256</v>
      </c>
      <c r="B1190" s="21" t="s">
        <v>2257</v>
      </c>
      <c r="C1190" s="36"/>
    </row>
    <row r="1191" spans="1:3" x14ac:dyDescent="0.2">
      <c r="A1191" s="21" t="s">
        <v>2258</v>
      </c>
      <c r="B1191" s="21" t="s">
        <v>2259</v>
      </c>
      <c r="C1191" s="36"/>
    </row>
    <row r="1192" spans="1:3" x14ac:dyDescent="0.2">
      <c r="A1192" s="21" t="s">
        <v>3360</v>
      </c>
      <c r="B1192" s="21" t="s">
        <v>3360</v>
      </c>
      <c r="C1192" s="36"/>
    </row>
    <row r="1193" spans="1:3" x14ac:dyDescent="0.2">
      <c r="A1193" s="21" t="s">
        <v>2260</v>
      </c>
      <c r="B1193" s="21" t="s">
        <v>2260</v>
      </c>
      <c r="C1193" s="36"/>
    </row>
    <row r="1194" spans="1:3" x14ac:dyDescent="0.2">
      <c r="A1194" s="21" t="s">
        <v>2261</v>
      </c>
      <c r="B1194" s="21" t="s">
        <v>2262</v>
      </c>
      <c r="C1194" s="36" t="s">
        <v>2263</v>
      </c>
    </row>
    <row r="1195" spans="1:3" x14ac:dyDescent="0.2">
      <c r="A1195" s="21" t="s">
        <v>2264</v>
      </c>
      <c r="B1195" s="21" t="s">
        <v>2265</v>
      </c>
      <c r="C1195" s="36"/>
    </row>
    <row r="1196" spans="1:3" x14ac:dyDescent="0.2">
      <c r="A1196" s="21" t="s">
        <v>2266</v>
      </c>
      <c r="B1196" s="21" t="s">
        <v>2267</v>
      </c>
      <c r="C1196" s="36"/>
    </row>
    <row r="1197" spans="1:3" x14ac:dyDescent="0.2">
      <c r="A1197" s="21" t="s">
        <v>2588</v>
      </c>
      <c r="B1197" s="21" t="s">
        <v>2589</v>
      </c>
      <c r="C1197" s="36"/>
    </row>
    <row r="1198" spans="1:3" x14ac:dyDescent="0.2">
      <c r="A1198" s="21" t="s">
        <v>2268</v>
      </c>
      <c r="B1198" s="21" t="s">
        <v>2269</v>
      </c>
      <c r="C1198" s="36"/>
    </row>
    <row r="1199" spans="1:3" x14ac:dyDescent="0.2">
      <c r="A1199" s="21" t="s">
        <v>2270</v>
      </c>
      <c r="B1199" s="21" t="s">
        <v>2271</v>
      </c>
      <c r="C1199" s="36"/>
    </row>
    <row r="1200" spans="1:3" x14ac:dyDescent="0.2">
      <c r="A1200" s="21" t="s">
        <v>2272</v>
      </c>
      <c r="B1200" s="21" t="s">
        <v>2273</v>
      </c>
      <c r="C1200" s="36"/>
    </row>
    <row r="1201" spans="1:3" x14ac:dyDescent="0.2">
      <c r="A1201" s="21" t="s">
        <v>2274</v>
      </c>
      <c r="B1201" s="21" t="s">
        <v>2274</v>
      </c>
      <c r="C1201" s="36" t="s">
        <v>2275</v>
      </c>
    </row>
    <row r="1202" spans="1:3" x14ac:dyDescent="0.2">
      <c r="A1202" s="21" t="s">
        <v>2630</v>
      </c>
      <c r="B1202" s="21" t="s">
        <v>2632</v>
      </c>
      <c r="C1202" s="36"/>
    </row>
    <row r="1203" spans="1:3" x14ac:dyDescent="0.2">
      <c r="A1203" s="21" t="s">
        <v>2276</v>
      </c>
      <c r="B1203" s="21" t="s">
        <v>2277</v>
      </c>
      <c r="C1203" s="36"/>
    </row>
    <row r="1204" spans="1:3" x14ac:dyDescent="0.2">
      <c r="A1204" s="21" t="s">
        <v>2278</v>
      </c>
      <c r="B1204" s="21" t="s">
        <v>2279</v>
      </c>
      <c r="C1204" s="36"/>
    </row>
    <row r="1205" spans="1:3" x14ac:dyDescent="0.2">
      <c r="A1205" s="21" t="s">
        <v>2280</v>
      </c>
      <c r="B1205" s="21" t="s">
        <v>2281</v>
      </c>
      <c r="C1205" s="36"/>
    </row>
    <row r="1206" spans="1:3" x14ac:dyDescent="0.2">
      <c r="A1206" s="21" t="s">
        <v>2282</v>
      </c>
      <c r="B1206" s="21" t="s">
        <v>2282</v>
      </c>
      <c r="C1206" s="36"/>
    </row>
    <row r="1207" spans="1:3" x14ac:dyDescent="0.2">
      <c r="A1207" s="21" t="s">
        <v>127</v>
      </c>
      <c r="B1207" s="21" t="s">
        <v>2283</v>
      </c>
      <c r="C1207" s="36"/>
    </row>
    <row r="1208" spans="1:3" x14ac:dyDescent="0.2">
      <c r="A1208" s="21" t="s">
        <v>2284</v>
      </c>
      <c r="B1208" s="21" t="s">
        <v>2285</v>
      </c>
      <c r="C1208" s="36"/>
    </row>
    <row r="1209" spans="1:3" x14ac:dyDescent="0.2">
      <c r="A1209" s="21" t="s">
        <v>2286</v>
      </c>
      <c r="B1209" s="21" t="s">
        <v>2286</v>
      </c>
      <c r="C1209" s="36"/>
    </row>
    <row r="1210" spans="1:3" x14ac:dyDescent="0.2">
      <c r="A1210" s="21" t="s">
        <v>2287</v>
      </c>
      <c r="B1210" s="21" t="s">
        <v>2288</v>
      </c>
      <c r="C1210" s="36"/>
    </row>
    <row r="1211" spans="1:3" x14ac:dyDescent="0.2">
      <c r="A1211" s="21" t="s">
        <v>2289</v>
      </c>
      <c r="B1211" s="21" t="s">
        <v>2290</v>
      </c>
      <c r="C1211" s="36"/>
    </row>
    <row r="1212" spans="1:3" x14ac:dyDescent="0.2">
      <c r="A1212" s="21" t="s">
        <v>2291</v>
      </c>
      <c r="B1212" s="21" t="s">
        <v>2292</v>
      </c>
      <c r="C1212" s="36"/>
    </row>
    <row r="1213" spans="1:3" x14ac:dyDescent="0.2">
      <c r="A1213" s="21" t="s">
        <v>2293</v>
      </c>
      <c r="B1213" s="21" t="s">
        <v>2294</v>
      </c>
      <c r="C1213" s="36"/>
    </row>
    <row r="1214" spans="1:3" x14ac:dyDescent="0.2">
      <c r="A1214" s="21" t="s">
        <v>2295</v>
      </c>
      <c r="B1214" s="21" t="s">
        <v>2296</v>
      </c>
      <c r="C1214" s="36"/>
    </row>
    <row r="1215" spans="1:3" x14ac:dyDescent="0.2">
      <c r="A1215" s="21" t="s">
        <v>2297</v>
      </c>
      <c r="B1215" s="21" t="s">
        <v>2298</v>
      </c>
      <c r="C1215" s="36"/>
    </row>
    <row r="1216" spans="1:3" x14ac:dyDescent="0.2">
      <c r="A1216" s="21" t="s">
        <v>2299</v>
      </c>
      <c r="B1216" s="21" t="s">
        <v>2299</v>
      </c>
      <c r="C1216" s="36"/>
    </row>
    <row r="1217" spans="1:3" x14ac:dyDescent="0.2">
      <c r="A1217" s="21" t="s">
        <v>2300</v>
      </c>
      <c r="B1217" s="21" t="s">
        <v>2300</v>
      </c>
      <c r="C1217" s="36"/>
    </row>
    <row r="1218" spans="1:3" x14ac:dyDescent="0.2">
      <c r="A1218" s="21" t="s">
        <v>2301</v>
      </c>
      <c r="B1218" s="21" t="s">
        <v>2302</v>
      </c>
      <c r="C1218" s="36"/>
    </row>
    <row r="1219" spans="1:3" x14ac:dyDescent="0.2">
      <c r="A1219" s="21" t="s">
        <v>2303</v>
      </c>
      <c r="B1219" s="21" t="s">
        <v>2303</v>
      </c>
      <c r="C1219" s="36" t="s">
        <v>2304</v>
      </c>
    </row>
    <row r="1220" spans="1:3" x14ac:dyDescent="0.2">
      <c r="A1220" s="21" t="s">
        <v>2697</v>
      </c>
      <c r="B1220" s="21" t="s">
        <v>2697</v>
      </c>
      <c r="C1220" s="36"/>
    </row>
    <row r="1221" spans="1:3" x14ac:dyDescent="0.2">
      <c r="A1221" s="21" t="s">
        <v>2305</v>
      </c>
      <c r="B1221" s="21" t="s">
        <v>2306</v>
      </c>
      <c r="C1221" s="36"/>
    </row>
    <row r="1222" spans="1:3" x14ac:dyDescent="0.2">
      <c r="A1222" s="21" t="s">
        <v>2307</v>
      </c>
      <c r="B1222" s="21" t="s">
        <v>2308</v>
      </c>
      <c r="C1222" s="36"/>
    </row>
    <row r="1223" spans="1:3" x14ac:dyDescent="0.2">
      <c r="A1223" s="21" t="s">
        <v>2309</v>
      </c>
      <c r="B1223" s="21" t="s">
        <v>2310</v>
      </c>
      <c r="C1223" s="36"/>
    </row>
    <row r="1224" spans="1:3" x14ac:dyDescent="0.2">
      <c r="A1224" s="21" t="s">
        <v>95</v>
      </c>
      <c r="B1224" s="21" t="s">
        <v>2311</v>
      </c>
      <c r="C1224" s="36"/>
    </row>
    <row r="1225" spans="1:3" x14ac:dyDescent="0.2">
      <c r="A1225" s="21" t="s">
        <v>2312</v>
      </c>
      <c r="B1225" s="21" t="s">
        <v>2313</v>
      </c>
      <c r="C1225" s="36"/>
    </row>
    <row r="1226" spans="1:3" x14ac:dyDescent="0.2">
      <c r="A1226" s="21" t="s">
        <v>2314</v>
      </c>
      <c r="B1226" s="21" t="s">
        <v>2315</v>
      </c>
      <c r="C1226" s="36"/>
    </row>
    <row r="1227" spans="1:3" x14ac:dyDescent="0.2">
      <c r="A1227" s="21" t="s">
        <v>2316</v>
      </c>
      <c r="B1227" s="21" t="s">
        <v>2316</v>
      </c>
      <c r="C1227" s="36"/>
    </row>
    <row r="1228" spans="1:3" x14ac:dyDescent="0.2">
      <c r="A1228" s="21" t="s">
        <v>2317</v>
      </c>
      <c r="B1228" s="21" t="s">
        <v>2317</v>
      </c>
      <c r="C1228" s="36"/>
    </row>
    <row r="1229" spans="1:3" x14ac:dyDescent="0.2">
      <c r="A1229" s="21" t="s">
        <v>2318</v>
      </c>
      <c r="B1229" s="21" t="s">
        <v>2318</v>
      </c>
      <c r="C1229" s="36"/>
    </row>
    <row r="1230" spans="1:3" x14ac:dyDescent="0.2">
      <c r="A1230" s="21" t="s">
        <v>2319</v>
      </c>
      <c r="B1230" s="21" t="s">
        <v>2319</v>
      </c>
      <c r="C1230" s="36"/>
    </row>
    <row r="1231" spans="1:3" x14ac:dyDescent="0.2">
      <c r="A1231" s="21" t="s">
        <v>2320</v>
      </c>
      <c r="B1231" s="21" t="s">
        <v>2321</v>
      </c>
      <c r="C1231" s="36"/>
    </row>
    <row r="1232" spans="1:3" x14ac:dyDescent="0.2">
      <c r="A1232" s="21" t="s">
        <v>2322</v>
      </c>
      <c r="B1232" s="21" t="s">
        <v>2323</v>
      </c>
      <c r="C1232" s="36"/>
    </row>
    <row r="1233" spans="1:3" x14ac:dyDescent="0.2">
      <c r="A1233" s="21" t="s">
        <v>2324</v>
      </c>
      <c r="B1233" s="21" t="s">
        <v>2324</v>
      </c>
      <c r="C1233" s="36"/>
    </row>
    <row r="1234" spans="1:3" x14ac:dyDescent="0.2">
      <c r="A1234" s="21" t="s">
        <v>2325</v>
      </c>
      <c r="B1234" s="21" t="s">
        <v>2326</v>
      </c>
      <c r="C1234" s="36"/>
    </row>
    <row r="1235" spans="1:3" x14ac:dyDescent="0.2">
      <c r="A1235" s="21" t="s">
        <v>2327</v>
      </c>
      <c r="B1235" s="21" t="s">
        <v>2328</v>
      </c>
      <c r="C1235" s="36"/>
    </row>
    <row r="1236" spans="1:3" x14ac:dyDescent="0.2">
      <c r="A1236" s="21" t="s">
        <v>2329</v>
      </c>
      <c r="B1236" s="21" t="s">
        <v>2329</v>
      </c>
      <c r="C1236" s="36" t="s">
        <v>2330</v>
      </c>
    </row>
    <row r="1237" spans="1:3" x14ac:dyDescent="0.2">
      <c r="A1237" s="21" t="s">
        <v>2777</v>
      </c>
      <c r="B1237" s="21" t="s">
        <v>2778</v>
      </c>
      <c r="C1237" s="36"/>
    </row>
    <row r="1238" spans="1:3" x14ac:dyDescent="0.2">
      <c r="A1238" s="21" t="s">
        <v>2331</v>
      </c>
      <c r="B1238" s="21" t="s">
        <v>2332</v>
      </c>
      <c r="C1238" s="36"/>
    </row>
    <row r="1239" spans="1:3" x14ac:dyDescent="0.2">
      <c r="A1239" s="21" t="s">
        <v>2333</v>
      </c>
      <c r="B1239" s="21" t="s">
        <v>2334</v>
      </c>
      <c r="C1239" s="36"/>
    </row>
    <row r="1240" spans="1:3" x14ac:dyDescent="0.2">
      <c r="A1240" s="21" t="s">
        <v>2335</v>
      </c>
      <c r="B1240" s="21" t="s">
        <v>2336</v>
      </c>
      <c r="C1240" s="36"/>
    </row>
    <row r="1241" spans="1:3" x14ac:dyDescent="0.2">
      <c r="A1241" s="21" t="s">
        <v>2337</v>
      </c>
      <c r="B1241" s="21" t="s">
        <v>2337</v>
      </c>
      <c r="C1241" s="36"/>
    </row>
    <row r="1242" spans="1:3" x14ac:dyDescent="0.2">
      <c r="A1242" s="21" t="s">
        <v>2338</v>
      </c>
      <c r="B1242" s="21" t="s">
        <v>2339</v>
      </c>
      <c r="C1242" s="36" t="s">
        <v>2340</v>
      </c>
    </row>
    <row r="1243" spans="1:3" x14ac:dyDescent="0.2">
      <c r="A1243" s="21" t="s">
        <v>2341</v>
      </c>
      <c r="B1243" s="21" t="s">
        <v>2342</v>
      </c>
      <c r="C1243" s="36" t="s">
        <v>2343</v>
      </c>
    </row>
    <row r="1244" spans="1:3" x14ac:dyDescent="0.2">
      <c r="A1244" s="21" t="s">
        <v>2344</v>
      </c>
      <c r="B1244" s="21" t="s">
        <v>2345</v>
      </c>
      <c r="C1244" s="36" t="s">
        <v>2346</v>
      </c>
    </row>
    <row r="1245" spans="1:3" x14ac:dyDescent="0.2">
      <c r="A1245" s="21" t="s">
        <v>2347</v>
      </c>
      <c r="B1245" s="21" t="s">
        <v>2347</v>
      </c>
      <c r="C1245" s="36"/>
    </row>
    <row r="1246" spans="1:3" x14ac:dyDescent="0.2">
      <c r="A1246" s="21" t="s">
        <v>2348</v>
      </c>
      <c r="B1246" s="21" t="s">
        <v>2348</v>
      </c>
      <c r="C1246" s="36"/>
    </row>
    <row r="1247" spans="1:3" x14ac:dyDescent="0.2">
      <c r="A1247" s="21" t="s">
        <v>2349</v>
      </c>
      <c r="B1247" s="21" t="s">
        <v>2350</v>
      </c>
      <c r="C1247" s="36"/>
    </row>
    <row r="1248" spans="1:3" x14ac:dyDescent="0.2">
      <c r="A1248" s="21" t="s">
        <v>2351</v>
      </c>
      <c r="B1248" s="21" t="s">
        <v>2351</v>
      </c>
      <c r="C1248" s="36" t="s">
        <v>2352</v>
      </c>
    </row>
    <row r="1249" spans="1:3" x14ac:dyDescent="0.2">
      <c r="A1249" s="21" t="s">
        <v>2353</v>
      </c>
      <c r="B1249" s="21" t="s">
        <v>2353</v>
      </c>
      <c r="C1249" s="36" t="s">
        <v>2354</v>
      </c>
    </row>
    <row r="1250" spans="1:3" x14ac:dyDescent="0.2">
      <c r="A1250" s="21" t="s">
        <v>2355</v>
      </c>
      <c r="B1250" s="21" t="s">
        <v>2356</v>
      </c>
      <c r="C1250" s="36"/>
    </row>
    <row r="1251" spans="1:3" x14ac:dyDescent="0.2">
      <c r="A1251" s="21" t="s">
        <v>2357</v>
      </c>
      <c r="B1251" s="21" t="s">
        <v>2358</v>
      </c>
      <c r="C1251" s="36"/>
    </row>
    <row r="1252" spans="1:3" x14ac:dyDescent="0.2">
      <c r="A1252" s="21" t="s">
        <v>2359</v>
      </c>
      <c r="B1252" s="21" t="s">
        <v>2359</v>
      </c>
      <c r="C1252" s="36"/>
    </row>
    <row r="1253" spans="1:3" x14ac:dyDescent="0.2">
      <c r="A1253" s="27" t="s">
        <v>2360</v>
      </c>
      <c r="B1253" s="27" t="s">
        <v>2360</v>
      </c>
      <c r="C1253" s="37"/>
    </row>
    <row r="1254" spans="1:3" x14ac:dyDescent="0.2">
      <c r="A1254" s="21" t="s">
        <v>99</v>
      </c>
      <c r="B1254" s="21" t="s">
        <v>2361</v>
      </c>
      <c r="C1254" s="36"/>
    </row>
    <row r="1255" spans="1:3" x14ac:dyDescent="0.2">
      <c r="A1255" s="21" t="s">
        <v>2362</v>
      </c>
      <c r="B1255" s="21" t="s">
        <v>2363</v>
      </c>
      <c r="C1255" s="36"/>
    </row>
    <row r="1256" spans="1:3" x14ac:dyDescent="0.2">
      <c r="A1256" s="21" t="s">
        <v>2364</v>
      </c>
      <c r="B1256" s="21" t="s">
        <v>2365</v>
      </c>
      <c r="C1256" s="36"/>
    </row>
    <row r="1257" spans="1:3" x14ac:dyDescent="0.2">
      <c r="A1257" s="22" t="s">
        <v>2366</v>
      </c>
      <c r="B1257" s="22" t="s">
        <v>2367</v>
      </c>
      <c r="C1257" s="37"/>
    </row>
    <row r="1258" spans="1:3" x14ac:dyDescent="0.2">
      <c r="A1258" s="21" t="s">
        <v>2368</v>
      </c>
      <c r="B1258" s="21" t="s">
        <v>2368</v>
      </c>
      <c r="C1258" s="36" t="s">
        <v>2369</v>
      </c>
    </row>
    <row r="1259" spans="1:3" x14ac:dyDescent="0.2">
      <c r="A1259" s="21" t="s">
        <v>3890</v>
      </c>
      <c r="B1259" s="21" t="s">
        <v>3891</v>
      </c>
      <c r="C1259" s="36"/>
    </row>
    <row r="1260" spans="1:3" x14ac:dyDescent="0.2">
      <c r="A1260" s="21" t="s">
        <v>2370</v>
      </c>
      <c r="B1260" s="21" t="s">
        <v>2371</v>
      </c>
      <c r="C1260" s="36"/>
    </row>
    <row r="1261" spans="1:3" x14ac:dyDescent="0.2">
      <c r="A1261" s="21" t="s">
        <v>2372</v>
      </c>
      <c r="B1261" s="21" t="s">
        <v>2373</v>
      </c>
      <c r="C1261" s="36" t="s">
        <v>2374</v>
      </c>
    </row>
    <row r="1262" spans="1:3" x14ac:dyDescent="0.2">
      <c r="A1262" s="21" t="s">
        <v>2375</v>
      </c>
      <c r="B1262" s="21" t="s">
        <v>2376</v>
      </c>
      <c r="C1262" s="36"/>
    </row>
    <row r="1263" spans="1:3" x14ac:dyDescent="0.2">
      <c r="A1263" s="21" t="s">
        <v>2377</v>
      </c>
      <c r="B1263" s="21" t="s">
        <v>2378</v>
      </c>
      <c r="C1263" s="36"/>
    </row>
    <row r="1264" spans="1:3" x14ac:dyDescent="0.2">
      <c r="A1264" s="21" t="s">
        <v>2379</v>
      </c>
      <c r="B1264" s="21" t="s">
        <v>2380</v>
      </c>
      <c r="C1264" s="36"/>
    </row>
    <row r="1265" spans="1:3" x14ac:dyDescent="0.2">
      <c r="A1265" s="28" t="s">
        <v>2381</v>
      </c>
      <c r="B1265" s="28" t="s">
        <v>2382</v>
      </c>
      <c r="C1265" s="39" t="s">
        <v>2383</v>
      </c>
    </row>
    <row r="1266" spans="1:3" x14ac:dyDescent="0.2">
      <c r="A1266" s="21" t="s">
        <v>2384</v>
      </c>
      <c r="B1266" s="21" t="s">
        <v>2385</v>
      </c>
      <c r="C1266" s="36" t="s">
        <v>2386</v>
      </c>
    </row>
    <row r="1267" spans="1:3" x14ac:dyDescent="0.2">
      <c r="A1267" s="21" t="s">
        <v>2387</v>
      </c>
      <c r="B1267" s="21" t="s">
        <v>2388</v>
      </c>
      <c r="C1267" s="36" t="s">
        <v>2389</v>
      </c>
    </row>
    <row r="1268" spans="1:3" x14ac:dyDescent="0.2">
      <c r="A1268" s="21" t="s">
        <v>2390</v>
      </c>
      <c r="B1268" s="21" t="s">
        <v>2390</v>
      </c>
      <c r="C1268" s="36"/>
    </row>
    <row r="1269" spans="1:3" x14ac:dyDescent="0.2">
      <c r="A1269" s="21" t="s">
        <v>2391</v>
      </c>
      <c r="B1269" s="21" t="s">
        <v>2392</v>
      </c>
      <c r="C1269" s="36" t="s">
        <v>2393</v>
      </c>
    </row>
    <row r="1270" spans="1:3" x14ac:dyDescent="0.2">
      <c r="A1270" s="21" t="s">
        <v>2394</v>
      </c>
      <c r="B1270" s="21" t="s">
        <v>2395</v>
      </c>
      <c r="C1270" s="36"/>
    </row>
    <row r="1271" spans="1:3" x14ac:dyDescent="0.2">
      <c r="A1271" s="21" t="s">
        <v>2396</v>
      </c>
      <c r="B1271" s="21" t="s">
        <v>2397</v>
      </c>
      <c r="C1271" s="36"/>
    </row>
    <row r="1272" spans="1:3" x14ac:dyDescent="0.2">
      <c r="A1272" s="21" t="s">
        <v>2398</v>
      </c>
      <c r="B1272" s="21" t="s">
        <v>2399</v>
      </c>
      <c r="C1272" s="36"/>
    </row>
    <row r="1273" spans="1:3" x14ac:dyDescent="0.2">
      <c r="A1273" s="21" t="s">
        <v>2400</v>
      </c>
      <c r="B1273" s="21" t="s">
        <v>2401</v>
      </c>
      <c r="C1273" s="36"/>
    </row>
    <row r="1274" spans="1:3" x14ac:dyDescent="0.2">
      <c r="A1274" s="21" t="s">
        <v>2402</v>
      </c>
      <c r="B1274" s="21" t="s">
        <v>2402</v>
      </c>
      <c r="C1274" s="36"/>
    </row>
    <row r="1275" spans="1:3" x14ac:dyDescent="0.2">
      <c r="A1275" s="21" t="s">
        <v>2403</v>
      </c>
      <c r="B1275" s="21" t="s">
        <v>2404</v>
      </c>
      <c r="C1275" s="36"/>
    </row>
    <row r="1276" spans="1:3" x14ac:dyDescent="0.2">
      <c r="A1276" s="21" t="s">
        <v>2405</v>
      </c>
      <c r="B1276" s="21" t="s">
        <v>2405</v>
      </c>
      <c r="C1276" s="36"/>
    </row>
    <row r="1277" spans="1:3" x14ac:dyDescent="0.2">
      <c r="A1277" s="21" t="s">
        <v>2406</v>
      </c>
      <c r="B1277" s="21" t="s">
        <v>2407</v>
      </c>
      <c r="C1277" s="36"/>
    </row>
    <row r="1278" spans="1:3" x14ac:dyDescent="0.2">
      <c r="A1278" s="21" t="s">
        <v>2408</v>
      </c>
      <c r="B1278" s="21" t="s">
        <v>2408</v>
      </c>
      <c r="C1278" s="36" t="s">
        <v>2409</v>
      </c>
    </row>
    <row r="1279" spans="1:3" x14ac:dyDescent="0.2">
      <c r="A1279" s="21" t="s">
        <v>2410</v>
      </c>
      <c r="B1279" s="21" t="s">
        <v>2411</v>
      </c>
      <c r="C1279" s="36"/>
    </row>
    <row r="1280" spans="1:3" x14ac:dyDescent="0.2">
      <c r="A1280" s="21" t="s">
        <v>2412</v>
      </c>
      <c r="B1280" s="21" t="s">
        <v>2413</v>
      </c>
      <c r="C1280" s="36"/>
    </row>
    <row r="1281" spans="1:3" x14ac:dyDescent="0.2">
      <c r="A1281" s="21" t="s">
        <v>2414</v>
      </c>
      <c r="B1281" s="21" t="s">
        <v>2415</v>
      </c>
      <c r="C1281" s="36" t="s">
        <v>2416</v>
      </c>
    </row>
    <row r="1282" spans="1:3" x14ac:dyDescent="0.2">
      <c r="A1282" s="21" t="s">
        <v>2417</v>
      </c>
      <c r="B1282" s="21" t="s">
        <v>2418</v>
      </c>
      <c r="C1282" s="36" t="s">
        <v>2419</v>
      </c>
    </row>
    <row r="1283" spans="1:3" x14ac:dyDescent="0.2">
      <c r="A1283" s="28" t="s">
        <v>2420</v>
      </c>
      <c r="B1283" s="28" t="s">
        <v>2420</v>
      </c>
    </row>
    <row r="1284" spans="1:3" x14ac:dyDescent="0.2">
      <c r="A1284" s="21" t="s">
        <v>2421</v>
      </c>
      <c r="B1284" s="21" t="s">
        <v>2422</v>
      </c>
      <c r="C1284" s="36"/>
    </row>
    <row r="1285" spans="1:3" x14ac:dyDescent="0.2">
      <c r="A1285" s="21" t="s">
        <v>2779</v>
      </c>
      <c r="B1285" s="21" t="s">
        <v>2780</v>
      </c>
      <c r="C1285" s="36"/>
    </row>
    <row r="1286" spans="1:3" x14ac:dyDescent="0.2">
      <c r="A1286" s="23" t="s">
        <v>2423</v>
      </c>
      <c r="B1286" s="21" t="s">
        <v>2424</v>
      </c>
      <c r="C1286" s="36"/>
    </row>
    <row r="1287" spans="1:3" x14ac:dyDescent="0.2">
      <c r="A1287" s="23" t="s">
        <v>2425</v>
      </c>
      <c r="B1287" s="21" t="s">
        <v>2425</v>
      </c>
      <c r="C1287" s="36" t="s">
        <v>2426</v>
      </c>
    </row>
    <row r="1288" spans="1:3" x14ac:dyDescent="0.2">
      <c r="A1288" s="23" t="s">
        <v>2427</v>
      </c>
      <c r="B1288" s="21" t="s">
        <v>2428</v>
      </c>
      <c r="C1288" s="36"/>
    </row>
    <row r="1289" spans="1:3" x14ac:dyDescent="0.2">
      <c r="A1289" s="23" t="s">
        <v>2429</v>
      </c>
      <c r="B1289" s="21" t="s">
        <v>2430</v>
      </c>
      <c r="C1289" s="36"/>
    </row>
    <row r="1290" spans="1:3" x14ac:dyDescent="0.2">
      <c r="A1290" s="23" t="s">
        <v>4</v>
      </c>
      <c r="B1290" s="21" t="s">
        <v>4</v>
      </c>
      <c r="C1290" s="36"/>
    </row>
    <row r="1291" spans="1:3" x14ac:dyDescent="0.2">
      <c r="A1291" s="23" t="s">
        <v>2431</v>
      </c>
      <c r="B1291" s="21" t="s">
        <v>2432</v>
      </c>
      <c r="C1291" s="36"/>
    </row>
    <row r="1292" spans="1:3" x14ac:dyDescent="0.2">
      <c r="A1292" s="22" t="s">
        <v>2433</v>
      </c>
      <c r="B1292" s="21" t="s">
        <v>2434</v>
      </c>
      <c r="C1292" s="36"/>
    </row>
    <row r="1293" spans="1:3" x14ac:dyDescent="0.2">
      <c r="A1293" s="28" t="s">
        <v>2435</v>
      </c>
      <c r="B1293" s="28" t="s">
        <v>2436</v>
      </c>
    </row>
    <row r="1294" spans="1:3" x14ac:dyDescent="0.2">
      <c r="A1294" s="21" t="s">
        <v>2437</v>
      </c>
      <c r="B1294" s="21" t="s">
        <v>2437</v>
      </c>
      <c r="C1294" s="36"/>
    </row>
    <row r="1295" spans="1:3" x14ac:dyDescent="0.2">
      <c r="A1295" s="21" t="s">
        <v>2438</v>
      </c>
      <c r="B1295" s="21" t="s">
        <v>2439</v>
      </c>
      <c r="C1295" s="36"/>
    </row>
    <row r="1296" spans="1:3" x14ac:dyDescent="0.2">
      <c r="A1296" s="21" t="s">
        <v>2440</v>
      </c>
      <c r="B1296" s="21" t="s">
        <v>2441</v>
      </c>
      <c r="C1296" s="36"/>
    </row>
    <row r="1297" spans="1:3" x14ac:dyDescent="0.2">
      <c r="A1297" s="21" t="s">
        <v>2442</v>
      </c>
      <c r="B1297" s="21" t="s">
        <v>2443</v>
      </c>
      <c r="C1297" s="36"/>
    </row>
    <row r="1298" spans="1:3" x14ac:dyDescent="0.2">
      <c r="A1298" s="21" t="s">
        <v>2444</v>
      </c>
      <c r="B1298" s="21" t="s">
        <v>2445</v>
      </c>
      <c r="C1298" s="36"/>
    </row>
    <row r="1299" spans="1:3" x14ac:dyDescent="0.2">
      <c r="A1299" s="21" t="s">
        <v>3040</v>
      </c>
      <c r="B1299" s="21" t="s">
        <v>3040</v>
      </c>
      <c r="C1299" s="36"/>
    </row>
    <row r="1300" spans="1:3" x14ac:dyDescent="0.2">
      <c r="A1300" s="21" t="s">
        <v>2446</v>
      </c>
      <c r="B1300" s="21" t="s">
        <v>2446</v>
      </c>
      <c r="C1300" s="36" t="s">
        <v>2447</v>
      </c>
    </row>
    <row r="1301" spans="1:3" x14ac:dyDescent="0.2">
      <c r="A1301" s="23" t="s">
        <v>2448</v>
      </c>
      <c r="B1301" s="21" t="s">
        <v>2448</v>
      </c>
      <c r="C1301" s="36"/>
    </row>
    <row r="1302" spans="1:3" x14ac:dyDescent="0.2">
      <c r="A1302" s="23" t="s">
        <v>2449</v>
      </c>
      <c r="B1302" s="21" t="s">
        <v>2450</v>
      </c>
      <c r="C1302" s="36"/>
    </row>
    <row r="1303" spans="1:3" x14ac:dyDescent="0.2">
      <c r="A1303" s="23" t="s">
        <v>2451</v>
      </c>
      <c r="B1303" s="21" t="s">
        <v>2452</v>
      </c>
      <c r="C1303" s="36"/>
    </row>
    <row r="1304" spans="1:3" x14ac:dyDescent="0.2">
      <c r="A1304" s="21" t="s">
        <v>2453</v>
      </c>
      <c r="B1304" s="21" t="s">
        <v>2454</v>
      </c>
      <c r="C1304" s="36"/>
    </row>
    <row r="1305" spans="1:3" x14ac:dyDescent="0.2">
      <c r="A1305" s="21" t="s">
        <v>2455</v>
      </c>
      <c r="B1305" s="21" t="s">
        <v>2456</v>
      </c>
      <c r="C1305" s="36"/>
    </row>
    <row r="1306" spans="1:3" x14ac:dyDescent="0.2">
      <c r="A1306" s="21" t="s">
        <v>2457</v>
      </c>
      <c r="B1306" s="21" t="s">
        <v>2458</v>
      </c>
      <c r="C1306" s="36"/>
    </row>
    <row r="1307" spans="1:3" x14ac:dyDescent="0.2">
      <c r="A1307" s="21" t="s">
        <v>2459</v>
      </c>
      <c r="B1307" s="21" t="s">
        <v>2460</v>
      </c>
      <c r="C1307" s="36"/>
    </row>
    <row r="1308" spans="1:3" x14ac:dyDescent="0.2">
      <c r="A1308" s="21" t="s">
        <v>2461</v>
      </c>
      <c r="B1308" s="21" t="s">
        <v>2461</v>
      </c>
      <c r="C1308" s="36"/>
    </row>
    <row r="1309" spans="1:3" x14ac:dyDescent="0.2">
      <c r="A1309" s="21" t="s">
        <v>2462</v>
      </c>
      <c r="B1309" s="21" t="s">
        <v>2462</v>
      </c>
      <c r="C1309" s="36"/>
    </row>
    <row r="1310" spans="1:3" x14ac:dyDescent="0.2">
      <c r="A1310" s="21" t="s">
        <v>2463</v>
      </c>
      <c r="B1310" s="21" t="s">
        <v>2464</v>
      </c>
      <c r="C1310" s="36"/>
    </row>
    <row r="1311" spans="1:3" x14ac:dyDescent="0.2">
      <c r="A1311" s="21" t="s">
        <v>2465</v>
      </c>
      <c r="B1311" s="21" t="s">
        <v>2466</v>
      </c>
      <c r="C1311" s="36"/>
    </row>
    <row r="1312" spans="1:3" x14ac:dyDescent="0.2">
      <c r="A1312" s="21" t="s">
        <v>2467</v>
      </c>
      <c r="B1312" s="21" t="s">
        <v>2468</v>
      </c>
      <c r="C1312" s="36"/>
    </row>
    <row r="1313" spans="1:3" x14ac:dyDescent="0.2">
      <c r="A1313" s="21" t="s">
        <v>2469</v>
      </c>
      <c r="B1313" s="21" t="s">
        <v>2469</v>
      </c>
      <c r="C1313" s="36" t="s">
        <v>2470</v>
      </c>
    </row>
    <row r="1314" spans="1:3" x14ac:dyDescent="0.2">
      <c r="A1314" s="21" t="s">
        <v>2858</v>
      </c>
      <c r="B1314" s="21" t="s">
        <v>2858</v>
      </c>
      <c r="C1314" s="36"/>
    </row>
    <row r="1315" spans="1:3" x14ac:dyDescent="0.2">
      <c r="A1315" s="21" t="s">
        <v>2471</v>
      </c>
      <c r="B1315" s="21" t="s">
        <v>2471</v>
      </c>
      <c r="C1315" s="36" t="s">
        <v>2472</v>
      </c>
    </row>
    <row r="1316" spans="1:3" x14ac:dyDescent="0.2">
      <c r="A1316" s="21" t="s">
        <v>2473</v>
      </c>
      <c r="B1316" s="21" t="s">
        <v>2474</v>
      </c>
      <c r="C1316" s="36"/>
    </row>
    <row r="1317" spans="1:3"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2781</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algorithmName="SHA-512" hashValue="2h3HjBv/uxYCn5eAUTmM7/+XF8YFW3wcWfOFc/44iEK+ZhmNfTv5jbUb2gyRdvBkwtltAmZi+yfcndxHsjosDA==" saltValue="vNd4XlkrzDJBhRgABO+ZJg==" spinCount="100000" sheet="1" objects="1" scenarios="1"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40"/>
  <sheetViews>
    <sheetView topLeftCell="A19" workbookViewId="0">
      <selection activeCell="E23" sqref="E23"/>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6" t="s">
        <v>3345</v>
      </c>
      <c r="E1" s="51" t="s">
        <v>2626</v>
      </c>
      <c r="G1" s="11"/>
    </row>
    <row r="2" spans="1:7" x14ac:dyDescent="0.2">
      <c r="A2" s="11" t="s">
        <v>2295</v>
      </c>
      <c r="B2" s="47" t="s">
        <v>549</v>
      </c>
      <c r="C2" s="11" t="s">
        <v>2598</v>
      </c>
      <c r="D2" s="11" t="s">
        <v>3346</v>
      </c>
      <c r="E2" s="52"/>
    </row>
    <row r="3" spans="1:7" x14ac:dyDescent="0.2">
      <c r="A3" t="s">
        <v>2663</v>
      </c>
      <c r="B3" s="17" t="s">
        <v>2656</v>
      </c>
      <c r="C3" t="s">
        <v>2656</v>
      </c>
      <c r="D3" t="s">
        <v>1901</v>
      </c>
      <c r="E3" s="52"/>
    </row>
    <row r="4" spans="1:7" x14ac:dyDescent="0.2">
      <c r="A4" t="s">
        <v>2405</v>
      </c>
      <c r="B4" s="17" t="s">
        <v>2664</v>
      </c>
      <c r="C4" t="s">
        <v>2664</v>
      </c>
      <c r="D4" t="s">
        <v>1901</v>
      </c>
      <c r="E4" s="52"/>
    </row>
    <row r="5" spans="1:7" x14ac:dyDescent="0.2">
      <c r="A5" t="s">
        <v>2615</v>
      </c>
      <c r="B5" s="17" t="s">
        <v>2674</v>
      </c>
      <c r="C5" t="s">
        <v>2674</v>
      </c>
      <c r="D5" t="s">
        <v>1901</v>
      </c>
      <c r="E5" s="52"/>
    </row>
    <row r="6" spans="1:7" x14ac:dyDescent="0.2">
      <c r="A6" t="s">
        <v>2405</v>
      </c>
      <c r="B6" s="17" t="s">
        <v>2682</v>
      </c>
      <c r="C6" t="s">
        <v>2683</v>
      </c>
      <c r="D6" t="s">
        <v>1901</v>
      </c>
      <c r="E6" s="52"/>
    </row>
    <row r="7" spans="1:7" x14ac:dyDescent="0.2">
      <c r="A7" t="s">
        <v>2405</v>
      </c>
      <c r="B7" s="17" t="s">
        <v>2696</v>
      </c>
      <c r="C7" t="s">
        <v>2697</v>
      </c>
      <c r="D7" t="s">
        <v>1901</v>
      </c>
      <c r="E7" s="52"/>
    </row>
    <row r="8" spans="1:7" x14ac:dyDescent="0.2">
      <c r="A8" t="s">
        <v>2405</v>
      </c>
      <c r="B8" s="17" t="s">
        <v>2706</v>
      </c>
      <c r="C8" t="s">
        <v>2706</v>
      </c>
      <c r="D8" t="s">
        <v>1901</v>
      </c>
      <c r="E8" s="52"/>
    </row>
    <row r="9" spans="1:7" x14ac:dyDescent="0.2">
      <c r="A9" t="s">
        <v>2405</v>
      </c>
      <c r="B9" s="17" t="s">
        <v>2716</v>
      </c>
      <c r="C9" t="s">
        <v>2717</v>
      </c>
      <c r="D9" t="s">
        <v>1901</v>
      </c>
      <c r="E9" s="52"/>
    </row>
    <row r="10" spans="1:7" x14ac:dyDescent="0.2">
      <c r="A10" t="s">
        <v>2405</v>
      </c>
      <c r="B10" s="17" t="s">
        <v>2789</v>
      </c>
      <c r="C10" t="s">
        <v>2789</v>
      </c>
      <c r="D10" t="s">
        <v>606</v>
      </c>
      <c r="E10" s="52"/>
    </row>
    <row r="11" spans="1:7" x14ac:dyDescent="0.2">
      <c r="A11" t="s">
        <v>2405</v>
      </c>
      <c r="B11" s="17" t="s">
        <v>2791</v>
      </c>
      <c r="C11" t="s">
        <v>2792</v>
      </c>
      <c r="D11" t="s">
        <v>1901</v>
      </c>
      <c r="E11" s="52"/>
    </row>
    <row r="12" spans="1:7" x14ac:dyDescent="0.2">
      <c r="A12" t="s">
        <v>2405</v>
      </c>
      <c r="B12" t="s">
        <v>2856</v>
      </c>
      <c r="C12" t="s">
        <v>2858</v>
      </c>
      <c r="D12" t="s">
        <v>1901</v>
      </c>
      <c r="E12" s="52"/>
    </row>
    <row r="13" spans="1:7" x14ac:dyDescent="0.2">
      <c r="A13" t="s">
        <v>2663</v>
      </c>
      <c r="B13" t="s">
        <v>2782</v>
      </c>
      <c r="C13" t="s">
        <v>3198</v>
      </c>
      <c r="D13" t="s">
        <v>1901</v>
      </c>
      <c r="E13" s="53"/>
    </row>
    <row r="14" spans="1:7" x14ac:dyDescent="0.2">
      <c r="A14" t="s">
        <v>2405</v>
      </c>
      <c r="B14" s="17" t="s">
        <v>2625</v>
      </c>
      <c r="C14" t="s">
        <v>3109</v>
      </c>
      <c r="D14" t="s">
        <v>1901</v>
      </c>
      <c r="E14" s="53"/>
    </row>
    <row r="15" spans="1:7" x14ac:dyDescent="0.2">
      <c r="A15" t="s">
        <v>2405</v>
      </c>
      <c r="B15" s="17" t="s">
        <v>2625</v>
      </c>
      <c r="C15" t="s">
        <v>3114</v>
      </c>
      <c r="D15" t="s">
        <v>1901</v>
      </c>
      <c r="E15" s="53"/>
    </row>
    <row r="16" spans="1:7" x14ac:dyDescent="0.2">
      <c r="A16" t="s">
        <v>2405</v>
      </c>
      <c r="B16" s="17" t="s">
        <v>2625</v>
      </c>
      <c r="C16" t="s">
        <v>3155</v>
      </c>
      <c r="D16" t="s">
        <v>1901</v>
      </c>
      <c r="E16" s="53"/>
    </row>
    <row r="17" spans="1:5" x14ac:dyDescent="0.2">
      <c r="A17" t="s">
        <v>2405</v>
      </c>
      <c r="B17" s="17" t="s">
        <v>2625</v>
      </c>
      <c r="C17" t="s">
        <v>3146</v>
      </c>
      <c r="D17" t="s">
        <v>1901</v>
      </c>
      <c r="E17" s="53"/>
    </row>
    <row r="18" spans="1:5" x14ac:dyDescent="0.2">
      <c r="A18" t="s">
        <v>2405</v>
      </c>
      <c r="B18" s="17" t="s">
        <v>2625</v>
      </c>
      <c r="C18" t="s">
        <v>3128</v>
      </c>
      <c r="D18" t="s">
        <v>1901</v>
      </c>
      <c r="E18" s="53"/>
    </row>
    <row r="19" spans="1:5" x14ac:dyDescent="0.2">
      <c r="A19" t="s">
        <v>2405</v>
      </c>
      <c r="B19" s="17" t="s">
        <v>2625</v>
      </c>
      <c r="C19" t="s">
        <v>3162</v>
      </c>
      <c r="D19" t="s">
        <v>1901</v>
      </c>
      <c r="E19" s="53"/>
    </row>
    <row r="20" spans="1:5" x14ac:dyDescent="0.2">
      <c r="A20" t="s">
        <v>2405</v>
      </c>
      <c r="B20" s="17" t="s">
        <v>2716</v>
      </c>
      <c r="C20" t="s">
        <v>3321</v>
      </c>
      <c r="D20" t="s">
        <v>1901</v>
      </c>
      <c r="E20" s="53"/>
    </row>
    <row r="21" spans="1:5" x14ac:dyDescent="0.2">
      <c r="A21" t="s">
        <v>2405</v>
      </c>
      <c r="B21" s="17" t="s">
        <v>2716</v>
      </c>
      <c r="C21" t="s">
        <v>3351</v>
      </c>
      <c r="D21" t="s">
        <v>1901</v>
      </c>
      <c r="E21" s="53"/>
    </row>
    <row r="22" spans="1:5" x14ac:dyDescent="0.2">
      <c r="A22" t="s">
        <v>2405</v>
      </c>
      <c r="B22" s="17" t="s">
        <v>2625</v>
      </c>
      <c r="C22" t="s">
        <v>3391</v>
      </c>
      <c r="D22" t="s">
        <v>1901</v>
      </c>
      <c r="E22" s="53"/>
    </row>
    <row r="23" spans="1:5" x14ac:dyDescent="0.2">
      <c r="A23" t="s">
        <v>2615</v>
      </c>
      <c r="B23" s="17" t="s">
        <v>2674</v>
      </c>
      <c r="C23" t="s">
        <v>3495</v>
      </c>
      <c r="D23" t="s">
        <v>1901</v>
      </c>
      <c r="E23" s="53"/>
    </row>
    <row r="24" spans="1:5" x14ac:dyDescent="0.2">
      <c r="A24" t="s">
        <v>2663</v>
      </c>
      <c r="B24" s="17" t="s">
        <v>2782</v>
      </c>
      <c r="C24" t="s">
        <v>3514</v>
      </c>
      <c r="D24" t="s">
        <v>1901</v>
      </c>
      <c r="E24" s="53"/>
    </row>
    <row r="25" spans="1:5" x14ac:dyDescent="0.2">
      <c r="A25" t="s">
        <v>2663</v>
      </c>
      <c r="B25" s="17" t="s">
        <v>2782</v>
      </c>
      <c r="C25" t="s">
        <v>3535</v>
      </c>
      <c r="D25" t="s">
        <v>1901</v>
      </c>
      <c r="E25" s="53"/>
    </row>
    <row r="26" spans="1:5" x14ac:dyDescent="0.2">
      <c r="A26" t="s">
        <v>2615</v>
      </c>
      <c r="B26" s="17" t="s">
        <v>2674</v>
      </c>
      <c r="C26" t="s">
        <v>3556</v>
      </c>
      <c r="D26" t="s">
        <v>1901</v>
      </c>
      <c r="E26" s="53"/>
    </row>
    <row r="27" spans="1:5" x14ac:dyDescent="0.2">
      <c r="A27" t="s">
        <v>2663</v>
      </c>
      <c r="B27" s="17" t="s">
        <v>2782</v>
      </c>
      <c r="C27" t="s">
        <v>3616</v>
      </c>
      <c r="D27" t="s">
        <v>1901</v>
      </c>
      <c r="E27" s="53"/>
    </row>
    <row r="28" spans="1:5" x14ac:dyDescent="0.2">
      <c r="A28" t="s">
        <v>2663</v>
      </c>
      <c r="B28" s="17" t="s">
        <v>2782</v>
      </c>
      <c r="C28" t="s">
        <v>3624</v>
      </c>
      <c r="D28" t="s">
        <v>1901</v>
      </c>
      <c r="E28" s="53"/>
    </row>
    <row r="29" spans="1:5" x14ac:dyDescent="0.2">
      <c r="A29" t="s">
        <v>2663</v>
      </c>
      <c r="B29" s="17" t="s">
        <v>2782</v>
      </c>
      <c r="C29" t="s">
        <v>3625</v>
      </c>
      <c r="D29" t="s">
        <v>1901</v>
      </c>
      <c r="E29" s="53"/>
    </row>
    <row r="30" spans="1:5" x14ac:dyDescent="0.2">
      <c r="A30" t="s">
        <v>2663</v>
      </c>
      <c r="B30" s="17" t="s">
        <v>3697</v>
      </c>
      <c r="C30" t="s">
        <v>3698</v>
      </c>
      <c r="D30" t="s">
        <v>1901</v>
      </c>
      <c r="E30" s="53"/>
    </row>
    <row r="31" spans="1:5" x14ac:dyDescent="0.2">
      <c r="A31" t="s">
        <v>2663</v>
      </c>
      <c r="B31" s="17" t="s">
        <v>2782</v>
      </c>
      <c r="C31" t="s">
        <v>3752</v>
      </c>
      <c r="D31" t="s">
        <v>1901</v>
      </c>
      <c r="E31" s="53"/>
    </row>
    <row r="32" spans="1:5" x14ac:dyDescent="0.2">
      <c r="A32" t="s">
        <v>3892</v>
      </c>
      <c r="B32" s="17" t="s">
        <v>3837</v>
      </c>
      <c r="C32" t="s">
        <v>3838</v>
      </c>
      <c r="D32" t="s">
        <v>1901</v>
      </c>
      <c r="E32" s="53"/>
    </row>
    <row r="33" spans="1:4" x14ac:dyDescent="0.2">
      <c r="A33" t="s">
        <v>2405</v>
      </c>
      <c r="B33" s="17" t="s">
        <v>2716</v>
      </c>
      <c r="C33" t="s">
        <v>3840</v>
      </c>
      <c r="D33" t="s">
        <v>1901</v>
      </c>
    </row>
    <row r="34" spans="1:4" x14ac:dyDescent="0.2">
      <c r="A34" t="s">
        <v>3893</v>
      </c>
      <c r="B34" t="s">
        <v>37</v>
      </c>
      <c r="C34" t="s">
        <v>3843</v>
      </c>
      <c r="D34" t="s">
        <v>1901</v>
      </c>
    </row>
    <row r="35" spans="1:4" x14ac:dyDescent="0.2">
      <c r="A35" t="s">
        <v>2663</v>
      </c>
      <c r="B35" t="s">
        <v>3697</v>
      </c>
      <c r="C35" t="s">
        <v>3849</v>
      </c>
      <c r="D35" t="s">
        <v>1901</v>
      </c>
    </row>
    <row r="36" spans="1:4" x14ac:dyDescent="0.2">
      <c r="A36" t="s">
        <v>2663</v>
      </c>
      <c r="B36" t="s">
        <v>2782</v>
      </c>
      <c r="C36" t="s">
        <v>3869</v>
      </c>
      <c r="D36" t="s">
        <v>1901</v>
      </c>
    </row>
    <row r="37" spans="1:4" x14ac:dyDescent="0.2">
      <c r="A37" t="s">
        <v>2663</v>
      </c>
      <c r="B37" t="s">
        <v>2782</v>
      </c>
      <c r="C37" t="s">
        <v>4020</v>
      </c>
      <c r="D37" t="s">
        <v>1901</v>
      </c>
    </row>
    <row r="38" spans="1:4" x14ac:dyDescent="0.2">
      <c r="A38" t="s">
        <v>2663</v>
      </c>
      <c r="B38" t="s">
        <v>2782</v>
      </c>
      <c r="C38" t="s">
        <v>4057</v>
      </c>
      <c r="D38" t="s">
        <v>1901</v>
      </c>
    </row>
    <row r="39" spans="1:4" x14ac:dyDescent="0.2">
      <c r="A39" t="s">
        <v>2663</v>
      </c>
      <c r="B39" t="s">
        <v>2782</v>
      </c>
      <c r="C39" t="s">
        <v>4059</v>
      </c>
      <c r="D39" t="s">
        <v>1901</v>
      </c>
    </row>
    <row r="40" spans="1:4" x14ac:dyDescent="0.2">
      <c r="A40" t="s">
        <v>2663</v>
      </c>
      <c r="B40" t="s">
        <v>2782</v>
      </c>
      <c r="C40" t="s">
        <v>4105</v>
      </c>
      <c r="D40" t="s">
        <v>1901</v>
      </c>
    </row>
  </sheetData>
  <sheetProtection algorithmName="SHA-512" hashValue="JuQWQrWsTrHdbwyL65ZvsdJUCmjW+6Sck5q8ImKlzYNA1v4XvZKWQNOfQyrBP53AdGStRCgR7xa/M3yN7KhmAg==" saltValue="ylmSlN+oYpb0I4FIFxfpXw==" spinCount="100000" sheet="1" objects="1" scenarios="1"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tabSelected="1" workbookViewId="0">
      <selection activeCell="E2" sqref="E2:E19"/>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2" customFormat="1" x14ac:dyDescent="0.2">
      <c r="A1" s="71" t="s">
        <v>2871</v>
      </c>
      <c r="B1" s="71" t="s">
        <v>2872</v>
      </c>
      <c r="C1" s="71" t="s">
        <v>2873</v>
      </c>
      <c r="D1" s="71" t="s">
        <v>2869</v>
      </c>
      <c r="E1" s="71" t="s">
        <v>2870</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2019-02-28T15:14:14Z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