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01wolf\Desktop\VATS\"/>
    </mc:Choice>
  </mc:AlternateContent>
  <bookViews>
    <workbookView xWindow="0" yWindow="0" windowWidth="23040" windowHeight="10140"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Connections'!$A$2:$BK$1066</definedName>
    <definedName name="_xlnm._FilterDatabase" localSheetId="1" hidden="1">'Signal Definition'!$A$2:$Q$470</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AC2" i="3"/>
  <c r="Y2" i="3"/>
  <c r="BF2" i="3"/>
  <c r="K2" i="3"/>
  <c r="AT2" i="3"/>
  <c r="BK2" i="3"/>
  <c r="BA2" i="3"/>
  <c r="BG2" i="3"/>
  <c r="N2" i="3"/>
  <c r="AQ2" i="3"/>
  <c r="E2" i="3"/>
  <c r="G2" i="3"/>
  <c r="D2" i="3"/>
  <c r="AR2" i="3"/>
  <c r="J2" i="3"/>
  <c r="AH2" i="3"/>
  <c r="X2" i="3"/>
  <c r="AX2" i="3"/>
  <c r="V2" i="3"/>
  <c r="AK2" i="3"/>
  <c r="F2" i="3"/>
  <c r="M2" i="3"/>
  <c r="AI2" i="3"/>
  <c r="L2" i="3"/>
  <c r="R2" i="3"/>
  <c r="Q2" i="3"/>
  <c r="BE2" i="3"/>
  <c r="AD2" i="3"/>
  <c r="T2" i="3"/>
  <c r="W2" i="3"/>
  <c r="AN2" i="3"/>
  <c r="AU2" i="3"/>
  <c r="AJ2" i="3"/>
  <c r="BI2" i="3"/>
  <c r="AA2" i="3"/>
  <c r="AB2" i="3"/>
  <c r="I2" i="3"/>
  <c r="BJ2" i="3"/>
  <c r="AO2" i="3"/>
  <c r="AW2" i="3"/>
  <c r="AF2" i="3"/>
  <c r="Z2" i="3"/>
  <c r="AP2" i="3"/>
  <c r="BB2" i="3"/>
  <c r="O2" i="3"/>
  <c r="AL2" i="3"/>
  <c r="AG2" i="3"/>
  <c r="AZ2" i="3"/>
  <c r="AY2" i="3"/>
  <c r="AM2" i="3"/>
  <c r="P2" i="3"/>
  <c r="AS2" i="3"/>
  <c r="BH2" i="3"/>
  <c r="BC2" i="3"/>
  <c r="BD2" i="3"/>
  <c r="AV2" i="3"/>
  <c r="AE2" i="3"/>
  <c r="S2" i="3"/>
  <c r="U2" i="3"/>
  <c r="H2" i="3"/>
  <c r="F9" i="5" l="1"/>
  <c r="F3" i="5"/>
  <c r="F2" i="5"/>
  <c r="F6" i="5"/>
  <c r="F8" i="5"/>
  <c r="F4" i="5"/>
  <c r="F5" i="5"/>
  <c r="F7" i="5"/>
</calcChain>
</file>

<file path=xl/sharedStrings.xml><?xml version="1.0" encoding="utf-8"?>
<sst xmlns="http://schemas.openxmlformats.org/spreadsheetml/2006/main" count="11200" uniqueCount="4286">
  <si>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</si>
  <si>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</si>
  <si>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</si>
  <si>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</si>
  <si>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</si>
  <si>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</si>
  <si>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</si>
  <si>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</si>
  <si>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</si>
  <si>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</si>
  <si>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</si>
  <si>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</si>
  <si>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</si>
  <si>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</si>
  <si>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</si>
  <si>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</si>
  <si>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</si>
  <si>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</si>
  <si>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</si>
  <si>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</si>
  <si>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</si>
  <si>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</si>
  <si>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</si>
  <si>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</si>
  <si>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</si>
  <si>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</si>
  <si>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</si>
  <si>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</si>
  <si>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</si>
  <si>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</si>
  <si>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</si>
  <si>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</si>
  <si>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</si>
  <si>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</si>
  <si>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</si>
  <si>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</si>
  <si>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</si>
  <si>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</si>
  <si>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</si>
  <si>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</si>
  <si>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</si>
  <si>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</si>
  <si>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</si>
  <si>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</si>
  <si>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</si>
  <si>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</si>
  <si>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</si>
  <si>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</si>
  <si>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</si>
  <si>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</si>
  <si>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</si>
  <si>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</si>
  <si>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</si>
  <si>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</si>
  <si>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</si>
  <si>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</si>
  <si>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</si>
  <si>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</si>
  <si>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</si>
  <si>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</si>
  <si>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</si>
  <si>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</si>
  <si>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</si>
  <si>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</si>
  <si>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</si>
  <si>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</si>
  <si>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</si>
  <si>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</si>
  <si>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</si>
  <si>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</si>
  <si>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</si>
  <si>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</si>
  <si>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</si>
  <si>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</si>
  <si>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</si>
  <si>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</si>
  <si>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</si>
  <si>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</si>
  <si>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</si>
  <si>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</si>
  <si>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</si>
  <si>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</si>
  <si>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</si>
  <si>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</si>
  <si>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</si>
  <si>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</si>
  <si>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</si>
  <si>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</si>
  <si>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</si>
  <si>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</si>
  <si>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</si>
  <si>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</si>
  <si>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</si>
  <si>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</si>
  <si>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</si>
  <si>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</si>
  <si>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</si>
  <si>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</si>
  <si>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</si>
  <si>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</si>
  <si>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</si>
  <si>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</si>
  <si>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</si>
  <si>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</si>
  <si>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</si>
  <si>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</si>
  <si>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</si>
  <si>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</si>
  <si>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</si>
  <si>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</si>
  <si>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</si>
  <si>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</si>
  <si>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</si>
  <si>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</si>
  <si>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</si>
  <si>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</si>
  <si>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</si>
  <si>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</si>
  <si>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</si>
  <si>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</si>
  <si>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</si>
  <si>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</si>
  <si>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</si>
  <si>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</si>
  <si>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</si>
  <si>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</si>
  <si>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</si>
  <si>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</si>
  <si>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</si>
  <si>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</si>
  <si>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</si>
  <si>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</si>
  <si>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</si>
  <si>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</si>
  <si>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</si>
  <si>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</si>
  <si>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</si>
  <si>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</si>
  <si>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</si>
  <si>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</si>
  <si>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</si>
  <si>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</si>
  <si>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</si>
  <si>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</si>
  <si>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</si>
  <si>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</si>
  <si>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</si>
  <si>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</si>
  <si>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</si>
  <si>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</si>
  <si>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</si>
  <si>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</si>
  <si>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</si>
  <si>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</si>
  <si>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</si>
  <si>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</si>
  <si>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</si>
  <si>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</si>
  <si>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</si>
  <si>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</si>
  <si>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</si>
  <si>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</si>
  <si>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</si>
  <si>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</si>
  <si>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</si>
  <si>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</si>
  <si>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</si>
  <si>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</si>
  <si>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</si>
  <si>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</si>
  <si>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</si>
  <si>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</si>
  <si>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</si>
  <si>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</si>
  <si>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</si>
  <si>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</si>
  <si>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</si>
  <si>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</si>
  <si>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</si>
  <si>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</si>
  <si>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</si>
  <si>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</si>
  <si>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</si>
  <si>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</si>
  <si>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</si>
  <si>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</si>
  <si>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</si>
  <si>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</si>
  <si>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</si>
  <si>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</si>
  <si>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</si>
  <si>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</si>
  <si>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</si>
  <si>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</si>
  <si>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</si>
  <si>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</si>
  <si>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</si>
  <si>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</si>
  <si>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</si>
  <si>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</si>
  <si>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</si>
  <si>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</si>
  <si>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</si>
  <si>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</si>
  <si>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</si>
  <si>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</si>
  <si>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</si>
  <si>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</si>
  <si>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</si>
  <si>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</si>
  <si>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</si>
  <si>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</si>
  <si>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</si>
  <si>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</si>
  <si>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</si>
  <si>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</si>
  <si>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</si>
  <si>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</si>
  <si>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</si>
  <si>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</si>
  <si>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</si>
  <si>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</si>
  <si>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</si>
  <si>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</si>
  <si>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</si>
  <si>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</si>
  <si>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</si>
  <si>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</si>
  <si>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</si>
  <si>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</si>
  <si>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</si>
  <si>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</si>
  <si>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</si>
  <si>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</si>
  <si>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</si>
  <si>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</si>
  <si>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</si>
  <si>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</si>
  <si>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</si>
  <si>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</si>
  <si>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</si>
  <si>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</si>
  <si>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</si>
  <si>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</si>
  <si>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</si>
  <si>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</si>
  <si>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</si>
  <si>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</si>
  <si>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</si>
  <si>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</si>
  <si>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</si>
  <si>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</si>
  <si>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</si>
  <si>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</si>
  <si>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</si>
  <si>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</si>
  <si>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</si>
  <si>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</si>
  <si>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</si>
  <si>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</si>
  <si>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</si>
  <si>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</si>
  <si>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</si>
  <si>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</si>
  <si>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</si>
  <si>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</si>
  <si>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</si>
  <si>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</si>
  <si>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</si>
  <si>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</si>
  <si>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</si>
  <si>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</si>
  <si>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</si>
  <si>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</si>
  <si>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</si>
  <si>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</si>
  <si>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</si>
  <si>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</si>
  <si>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</si>
  <si>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</si>
  <si>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</si>
  <si>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</si>
  <si>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</si>
  <si>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</si>
  <si>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</si>
  <si>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</si>
  <si>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</si>
  <si>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</si>
  <si>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</si>
  <si>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</si>
  <si>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</si>
  <si>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</si>
  <si>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</si>
  <si>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</si>
  <si>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</si>
  <si>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</si>
  <si>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</si>
  <si>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</si>
  <si>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</si>
  <si>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</si>
  <si>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</si>
  <si>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</si>
  <si>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</si>
  <si>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</si>
  <si>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</si>
  <si>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</si>
  <si>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</si>
  <si>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</si>
  <si>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</si>
  <si>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</si>
  <si>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</si>
  <si>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</si>
  <si>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</si>
  <si>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</si>
  <si>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</si>
  <si>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</si>
  <si>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</si>
  <si>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</si>
  <si>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</si>
  <si>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</si>
  <si>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</si>
  <si>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</si>
  <si>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</si>
  <si>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</si>
  <si>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</si>
  <si>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</si>
  <si>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</si>
  <si>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</si>
  <si>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</si>
  <si>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</si>
  <si>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</si>
  <si>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</si>
  <si>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</si>
  <si>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</si>
  <si>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</si>
  <si>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</si>
  <si>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</si>
  <si>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</si>
  <si>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</si>
  <si>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</si>
  <si>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</si>
  <si>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</si>
  <si>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</si>
  <si>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</si>
  <si>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</si>
  <si>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</si>
  <si>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</si>
  <si>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</si>
  <si>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</si>
  <si>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</si>
  <si>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</si>
  <si>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</si>
  <si>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</si>
  <si>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</si>
  <si>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</si>
  <si>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</si>
  <si>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</si>
  <si>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</si>
  <si>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</si>
  <si>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</si>
  <si>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</si>
  <si>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</si>
  <si>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</si>
  <si>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</si>
  <si>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</si>
  <si>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</si>
  <si>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</si>
  <si>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</si>
  <si>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</si>
  <si>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</si>
  <si>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</si>
  <si>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</si>
  <si>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</si>
  <si>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</si>
  <si>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</si>
  <si>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</si>
  <si>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</si>
  <si>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</si>
  <si>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</si>
  <si>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</si>
  <si>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</si>
  <si>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</si>
  <si>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</si>
  <si>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</si>
  <si>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</si>
  <si>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</si>
  <si>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</si>
  <si>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</si>
  <si>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</si>
  <si>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</si>
  <si>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</si>
  <si>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</si>
  <si>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</si>
  <si>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</si>
  <si>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</si>
  <si>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</si>
  <si>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</si>
  <si>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</si>
  <si>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</si>
  <si>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</si>
  <si>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</si>
  <si>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</si>
  <si>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</si>
  <si>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</si>
  <si>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</si>
  <si>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</si>
  <si>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</si>
  <si>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</si>
  <si>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</si>
  <si>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</si>
  <si>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</si>
  <si>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</si>
  <si>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</si>
  <si>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</si>
  <si>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</si>
  <si>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</si>
  <si>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</si>
  <si>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</si>
  <si>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</si>
  <si>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</si>
  <si>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</si>
  <si>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</si>
  <si>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</si>
  <si>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</si>
  <si>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</si>
  <si>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</si>
  <si>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</si>
  <si>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</si>
  <si>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</si>
  <si>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</si>
  <si>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</si>
  <si>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</si>
  <si>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</si>
  <si>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</si>
  <si>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</si>
  <si>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</si>
  <si>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</si>
  <si>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</si>
  <si>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</si>
  <si>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</si>
  <si>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</si>
  <si>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</si>
  <si>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</si>
  <si>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</si>
  <si>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</si>
  <si>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</si>
  <si>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</si>
  <si>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</si>
  <si>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</si>
  <si>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</si>
  <si>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</si>
  <si>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</si>
  <si>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</si>
  <si>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</si>
  <si>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</si>
  <si>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</si>
  <si>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</si>
  <si>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</si>
  <si>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</si>
  <si>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</si>
  <si>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</si>
  <si>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</si>
  <si>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</si>
  <si>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</si>
  <si>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</si>
  <si>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</si>
  <si>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</si>
  <si>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</si>
  <si>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</si>
  <si>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</si>
  <si>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</si>
  <si>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</si>
  <si>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</si>
  <si>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</si>
  <si>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</si>
  <si>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</si>
  <si>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</si>
  <si>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</si>
  <si>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</si>
  <si>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</si>
  <si>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</si>
  <si>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</si>
  <si>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</si>
  <si>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</si>
  <si>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</si>
  <si>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</si>
  <si>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</si>
  <si>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</si>
  <si>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</si>
  <si>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</si>
  <si>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</si>
  <si>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</si>
  <si>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</si>
  <si>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</si>
  <si>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</si>
  <si>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</si>
  <si>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</si>
  <si>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</si>
  <si>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</si>
  <si>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</si>
  <si>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</si>
  <si>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</si>
  <si>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</si>
  <si>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</si>
  <si>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</si>
  <si>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</si>
  <si>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</si>
  <si>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</si>
  <si>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</si>
  <si>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</si>
  <si>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</si>
  <si>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</si>
  <si>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</si>
  <si>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</si>
  <si>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</si>
  <si>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</si>
  <si>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</si>
  <si>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</si>
  <si>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</si>
  <si>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</si>
  <si>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</si>
  <si>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</si>
  <si>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</si>
  <si>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</si>
  <si>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</si>
  <si>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</si>
  <si>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</si>
  <si>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</si>
  <si>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</si>
  <si>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</si>
  <si>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</si>
  <si>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</si>
  <si>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</si>
  <si>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</si>
  <si>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</si>
  <si>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</si>
  <si>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</si>
  <si>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</si>
  <si>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</si>
  <si>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</si>
  <si>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</si>
  <si>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</si>
  <si>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</si>
  <si>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</si>
  <si>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</si>
  <si>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</si>
  <si>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</si>
  <si>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</si>
  <si>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</si>
  <si>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</si>
  <si>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</si>
  <si>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</si>
  <si>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</si>
  <si>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</si>
  <si>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</si>
  <si>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</si>
  <si>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</si>
  <si>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</si>
  <si>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</si>
  <si>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</si>
  <si>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</si>
  <si>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</si>
  <si>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</si>
  <si>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</si>
  <si>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</si>
  <si>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</si>
  <si>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</si>
  <si>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</si>
  <si>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</si>
  <si>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</si>
  <si>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</si>
  <si>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</si>
  <si>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</si>
  <si>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</si>
  <si>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</si>
  <si>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</si>
  <si>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</si>
  <si>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</si>
  <si>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</si>
  <si>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</si>
  <si>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</si>
  <si>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</si>
  <si>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</si>
  <si>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</si>
  <si>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</si>
  <si>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</si>
  <si>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</si>
  <si>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</si>
  <si>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</si>
  <si>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</si>
  <si>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</si>
  <si>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</si>
  <si>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</si>
  <si>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</si>
  <si>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</si>
  <si>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</si>
  <si>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</si>
  <si>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</si>
  <si>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</si>
  <si>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</si>
  <si>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</si>
  <si>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</si>
  <si>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</si>
  <si>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</si>
  <si>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</si>
  <si>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</si>
  <si>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</si>
  <si>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</si>
  <si>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</si>
  <si>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</si>
  <si>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</si>
  <si>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</si>
  <si>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</si>
  <si>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</si>
  <si>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</si>
  <si>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</si>
  <si>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</si>
  <si>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</si>
  <si>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</si>
  <si>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</si>
  <si>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</si>
  <si>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</si>
  <si>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</si>
  <si>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</si>
  <si>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</si>
  <si>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</si>
  <si>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</si>
  <si>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</si>
  <si>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</si>
  <si>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</si>
  <si>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</si>
  <si>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</si>
  <si>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</si>
  <si>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</si>
  <si>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</si>
  <si>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</si>
  <si>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</si>
  <si>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</si>
  <si>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</si>
  <si>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</si>
  <si>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</si>
  <si>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</si>
  <si>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</si>
  <si>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</si>
  <si>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</si>
  <si>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</si>
  <si>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</si>
  <si>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</si>
  <si>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</si>
  <si>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</si>
  <si>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</si>
  <si>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</si>
  <si>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</si>
  <si>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</si>
  <si>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</si>
  <si>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</si>
  <si>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</si>
  <si>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</si>
  <si>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</si>
  <si>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</si>
  <si>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</si>
  <si>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</si>
  <si>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</si>
  <si>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</si>
  <si>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</si>
  <si>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</si>
  <si>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</si>
  <si>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</si>
  <si>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</si>
  <si>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</si>
  <si>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</si>
  <si>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</si>
  <si>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</si>
  <si>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</si>
  <si>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</si>
  <si>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</si>
  <si>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</si>
  <si>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</si>
  <si>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</si>
  <si>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</si>
  <si>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</si>
  <si>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</si>
  <si>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</si>
  <si>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</si>
  <si>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</si>
  <si>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</si>
  <si>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</si>
  <si>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</si>
  <si>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</si>
  <si>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</si>
  <si>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</si>
  <si>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</si>
  <si>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</si>
  <si>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</si>
  <si>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</si>
  <si>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</si>
  <si>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</si>
  <si>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</si>
  <si>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</si>
  <si>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</si>
  <si>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</si>
  <si>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</si>
  <si>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</si>
  <si>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</si>
  <si>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</si>
  <si>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</si>
  <si>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</si>
  <si>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</si>
  <si>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</si>
  <si>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</si>
  <si>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</si>
  <si>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</si>
  <si>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</si>
  <si>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</si>
  <si>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</si>
  <si>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</si>
  <si>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</si>
  <si>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</si>
  <si>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</si>
  <si>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</si>
  <si>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</si>
  <si>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</si>
  <si>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</si>
  <si>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</si>
  <si>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</si>
  <si>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</si>
  <si>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</si>
  <si>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</si>
  <si>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</si>
  <si>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</si>
  <si>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</si>
  <si>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</si>
  <si>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</si>
  <si>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</si>
  <si>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</si>
  <si>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</si>
  <si>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</si>
  <si>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</si>
  <si>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</si>
  <si>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</si>
  <si>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</si>
  <si>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</si>
  <si>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</si>
  <si>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</si>
  <si>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</si>
  <si>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</si>
  <si>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</si>
  <si>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</si>
  <si>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</si>
  <si>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</si>
  <si>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</si>
  <si>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</si>
  <si>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</si>
  <si>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</si>
  <si>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</si>
  <si>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</si>
  <si>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</si>
  <si>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</si>
  <si>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</si>
  <si>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</si>
  <si>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</si>
  <si>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</si>
  <si>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</si>
  <si>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</si>
  <si>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</si>
  <si>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</si>
  <si>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</si>
  <si>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</si>
  <si>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</si>
  <si>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</si>
  <si>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</si>
  <si>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</si>
  <si>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</si>
  <si>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</si>
  <si>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</si>
  <si>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</si>
  <si>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</si>
  <si>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</si>
  <si>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</si>
  <si>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</si>
  <si>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</si>
  <si>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</si>
  <si>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</si>
  <si>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</si>
  <si>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</si>
  <si>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</si>
  <si>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</si>
  <si>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</si>
  <si>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</si>
  <si>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</si>
  <si>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</si>
  <si>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</si>
  <si>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</si>
  <si>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</si>
  <si>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</si>
  <si>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</si>
  <si>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</si>
  <si>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</si>
  <si>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</si>
  <si>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</si>
  <si>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</si>
  <si>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</si>
  <si>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</si>
  <si>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</si>
  <si>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</si>
  <si>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</si>
  <si>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</si>
  <si>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</si>
  <si>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</si>
  <si>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</si>
  <si>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</si>
  <si>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</si>
  <si>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</si>
  <si>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</si>
  <si>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</si>
  <si>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</si>
  <si>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</si>
  <si>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</si>
  <si>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</si>
  <si>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</si>
  <si>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</si>
  <si>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</si>
  <si>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</si>
  <si>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</si>
  <si>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</si>
  <si>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</si>
  <si>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</si>
  <si>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</si>
  <si>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</si>
  <si>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</si>
  <si>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</si>
  <si>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</si>
  <si>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</si>
  <si>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</si>
  <si>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</si>
  <si>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</si>
  <si>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</si>
  <si>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</si>
  <si>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</si>
  <si>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</si>
  <si>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</si>
  <si>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</si>
  <si>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</si>
  <si>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</si>
  <si>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</si>
  <si>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</si>
  <si>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</si>
  <si>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</si>
  <si>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</si>
  <si>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</si>
  <si>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</si>
  <si>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</si>
  <si>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</si>
  <si>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</si>
  <si>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</si>
  <si>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</si>
  <si>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</si>
  <si>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</si>
  <si>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</si>
  <si>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</si>
  <si>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</si>
  <si>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</si>
  <si>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</si>
  <si>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</si>
  <si>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</si>
  <si>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</si>
  <si>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</si>
  <si>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</si>
  <si>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</si>
  <si>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</si>
  <si>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</si>
  <si>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</si>
  <si>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</si>
  <si>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</si>
  <si>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</si>
  <si>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</si>
  <si>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</si>
  <si>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</si>
  <si>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</si>
  <si>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</si>
  <si>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</si>
  <si>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</si>
  <si>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</si>
  <si>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</si>
  <si>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</si>
  <si>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</si>
  <si>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</si>
  <si>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</si>
  <si>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</si>
  <si>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</si>
  <si>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</si>
  <si>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</si>
  <si>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</si>
  <si>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</si>
  <si>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</si>
  <si>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</si>
  <si>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</si>
  <si>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</si>
  <si>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</si>
  <si>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</si>
  <si>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</si>
  <si>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</si>
  <si>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</si>
  <si>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</si>
  <si>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</si>
  <si>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</si>
  <si>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</si>
  <si>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</si>
  <si>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</si>
  <si>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</si>
  <si>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</si>
  <si>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</si>
  <si>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</si>
  <si>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</si>
  <si>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</si>
  <si>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</si>
  <si>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</si>
  <si>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</si>
  <si>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</si>
  <si>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</si>
  <si>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</si>
  <si>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</si>
  <si>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</si>
  <si>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</si>
  <si>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</si>
  <si>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</si>
  <si>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</si>
  <si>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</si>
  <si>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</si>
  <si>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</si>
  <si>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</si>
  <si>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</si>
  <si>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</si>
  <si>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</si>
  <si>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</si>
  <si>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</si>
  <si>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</si>
  <si>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</si>
  <si>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</si>
  <si>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</si>
  <si>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</si>
  <si>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</si>
  <si>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</si>
  <si>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</si>
  <si>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</si>
  <si>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</si>
  <si>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</si>
  <si>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</si>
  <si>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</si>
  <si>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</si>
  <si>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</si>
  <si>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</si>
  <si>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</si>
  <si>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</si>
  <si>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</si>
  <si>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</si>
  <si>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</si>
  <si>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</si>
  <si>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</si>
  <si>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</si>
  <si>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</si>
  <si>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</si>
  <si>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</si>
  <si>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</si>
  <si>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</si>
  <si>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</si>
  <si>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</si>
  <si>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</si>
  <si>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</si>
  <si>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</si>
  <si>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</si>
  <si>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</si>
  <si>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</si>
  <si>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</si>
  <si>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</si>
  <si>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</si>
  <si>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</si>
  <si>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</si>
  <si>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</si>
  <si>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</si>
  <si>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</si>
  <si>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</si>
  <si>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</si>
  <si>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</si>
  <si>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</si>
  <si>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</si>
  <si>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</si>
  <si>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</si>
  <si>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</si>
  <si>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</si>
  <si>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</si>
  <si>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</si>
  <si>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</si>
  <si>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</si>
  <si>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</si>
  <si>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</si>
  <si>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</si>
  <si>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</si>
  <si>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</si>
  <si>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</si>
  <si>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</si>
  <si>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</si>
  <si>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</si>
  <si>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</si>
  <si>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</si>
  <si>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</si>
  <si>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</si>
  <si>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</si>
  <si>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</si>
  <si>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</si>
  <si>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</si>
  <si>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</si>
  <si>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</si>
  <si>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</si>
  <si>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</si>
  <si>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</si>
  <si>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</si>
  <si>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</si>
  <si>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</si>
  <si>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</si>
  <si>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</si>
  <si>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</si>
  <si>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</si>
  <si>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</si>
  <si>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</si>
  <si>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</si>
  <si>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</si>
  <si>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</si>
  <si>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</si>
  <si>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</si>
  <si>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</si>
  <si>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</si>
  <si>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</si>
  <si>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</si>
  <si>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</si>
  <si>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</si>
  <si>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</si>
  <si>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</si>
  <si>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</si>
  <si>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</si>
  <si>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</si>
  <si>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</si>
  <si>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</si>
  <si>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</si>
  <si>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</si>
  <si>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</si>
  <si>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</si>
  <si>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</si>
  <si>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</si>
  <si>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</si>
  <si>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</si>
  <si>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</si>
  <si>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</si>
  <si>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</si>
  <si>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</si>
  <si>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</si>
  <si>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</si>
  <si>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</si>
  <si>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</si>
  <si>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</si>
  <si>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</si>
  <si>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</si>
  <si>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</si>
  <si>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</si>
  <si>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</si>
  <si>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</si>
  <si>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</si>
  <si>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</si>
  <si>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</si>
  <si>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</si>
  <si>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</si>
  <si>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</si>
  <si>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</si>
  <si>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</si>
  <si>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</si>
  <si>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</si>
  <si>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</si>
  <si>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</si>
  <si>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</si>
  <si>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</si>
  <si>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</si>
  <si>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</si>
  <si>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</si>
  <si>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</si>
  <si>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</si>
  <si>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</si>
  <si>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</si>
  <si>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</si>
  <si>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</si>
  <si>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</si>
  <si>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</si>
  <si>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</si>
  <si>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</si>
  <si>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</si>
  <si>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</si>
  <si>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</si>
  <si>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</si>
  <si>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</si>
  <si>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</si>
  <si>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</si>
  <si>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</si>
  <si>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</si>
  <si>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</si>
  <si>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</si>
  <si>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</si>
  <si>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</si>
  <si>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</si>
  <si>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</si>
  <si>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</si>
  <si>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</si>
  <si>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</si>
  <si>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</si>
  <si>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</si>
  <si>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</si>
  <si>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</si>
  <si>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</si>
  <si>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</si>
  <si>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</si>
  <si>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</si>
  <si>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</si>
  <si>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</si>
  <si>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</si>
  <si>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</si>
  <si>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</si>
  <si>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</si>
  <si>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</si>
  <si>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</si>
  <si>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</si>
  <si>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</si>
  <si>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</si>
  <si>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</si>
  <si>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</si>
  <si>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</si>
  <si>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</si>
  <si>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</si>
  <si>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</si>
  <si>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</si>
  <si>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</si>
  <si>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</si>
  <si>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</si>
  <si>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</si>
  <si>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</si>
  <si>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</si>
  <si>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</si>
  <si>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</si>
  <si>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</si>
  <si>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</si>
  <si>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</si>
  <si>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</si>
  <si>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</si>
  <si>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</si>
  <si>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</si>
  <si>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</si>
  <si>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</si>
  <si>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</si>
  <si>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</si>
  <si>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</si>
  <si>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</si>
  <si>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</si>
  <si>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</si>
  <si>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</si>
  <si>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</si>
  <si>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</si>
  <si>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</si>
  <si>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</si>
  <si>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</si>
  <si>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</si>
  <si>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</si>
  <si>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</si>
  <si>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</si>
  <si>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</si>
  <si>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</si>
  <si>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</si>
  <si>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</si>
  <si>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</si>
  <si>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</si>
  <si>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</si>
  <si>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</si>
  <si>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</si>
  <si>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</si>
  <si>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</si>
  <si>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</si>
  <si>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</si>
  <si>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</si>
  <si>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</si>
  <si>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</si>
  <si>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</si>
  <si>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</si>
  <si>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</si>
  <si>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</si>
  <si>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</si>
  <si>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</si>
  <si>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</si>
  <si>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</si>
  <si>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</si>
  <si>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</si>
  <si>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</si>
  <si>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</si>
  <si>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</si>
  <si>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</si>
  <si>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</si>
  <si>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</si>
  <si>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</si>
  <si>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</si>
  <si>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</si>
  <si>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</si>
  <si>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</si>
  <si>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</si>
  <si>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</si>
  <si>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</si>
  <si>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</si>
  <si>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</si>
  <si>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</si>
  <si>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</si>
  <si>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</si>
  <si>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</si>
  <si>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</si>
  <si>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</si>
  <si>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</si>
  <si>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</si>
  <si>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</si>
  <si>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</si>
  <si>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</si>
  <si>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</si>
  <si>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</si>
  <si>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</si>
  <si>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</si>
  <si>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</si>
  <si>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</si>
  <si>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</si>
  <si>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</si>
  <si>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</si>
  <si>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</si>
  <si>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</si>
  <si>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</si>
  <si>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</si>
  <si>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</si>
  <si>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</si>
  <si>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</si>
  <si>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</si>
  <si>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</si>
  <si>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</si>
  <si>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</si>
  <si>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</si>
  <si>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</si>
  <si>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</si>
  <si>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</si>
  <si>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</si>
  <si>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</si>
  <si>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</si>
  <si>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</si>
  <si>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</si>
  <si>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</si>
  <si>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</si>
  <si>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</si>
  <si>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</si>
  <si>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</si>
  <si>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</si>
  <si>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</si>
  <si>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</si>
  <si>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</si>
  <si>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</si>
  <si>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</si>
  <si>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</si>
  <si>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</si>
  <si>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</si>
  <si>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</si>
  <si>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</si>
  <si>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</si>
  <si>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</si>
  <si>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</si>
  <si>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</si>
  <si>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</si>
  <si>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</si>
  <si>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</si>
  <si>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</si>
  <si>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</si>
  <si>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</si>
  <si>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</si>
  <si>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</si>
  <si>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</si>
  <si>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</si>
  <si>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</si>
  <si>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</si>
  <si>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</si>
  <si>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</si>
  <si>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</si>
  <si>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</si>
  <si>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</si>
  <si>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</si>
  <si>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</si>
  <si>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</si>
  <si>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</si>
  <si>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</si>
  <si>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</si>
  <si>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</si>
  <si>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</si>
  <si>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</si>
  <si>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</si>
  <si>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</si>
  <si>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</si>
  <si>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</si>
  <si>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</si>
  <si>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</si>
  <si>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</si>
  <si>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</si>
  <si>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</si>
  <si>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</si>
  <si>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</si>
  <si>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</si>
  <si>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</si>
  <si>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</si>
  <si>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</si>
  <si>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</si>
  <si>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</si>
  <si>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</si>
  <si>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</si>
  <si>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</si>
  <si>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</si>
  <si>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</si>
  <si>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</si>
  <si>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</si>
  <si>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</si>
  <si>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</si>
  <si>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</si>
  <si>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</si>
  <si>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</si>
  <si>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</si>
  <si>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</si>
  <si>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</si>
  <si>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</si>
  <si>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</si>
  <si>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</si>
  <si>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</si>
  <si>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</si>
  <si>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</si>
  <si>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</si>
  <si>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</si>
  <si>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</si>
  <si>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</si>
  <si>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</si>
  <si>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</si>
  <si>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</si>
  <si>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</si>
  <si>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</si>
  <si>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</si>
  <si>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</si>
  <si>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</si>
  <si>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</si>
  <si>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</si>
  <si>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</si>
  <si>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</si>
  <si>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</si>
  <si>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</si>
  <si>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</si>
  <si>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</si>
  <si>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</si>
  <si>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</si>
  <si>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</si>
  <si>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</si>
  <si>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</si>
  <si>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</si>
  <si>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</si>
  <si>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</si>
  <si>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</si>
  <si>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</si>
  <si>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</si>
  <si>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</si>
  <si>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</si>
  <si>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</si>
  <si>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</si>
  <si>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</si>
  <si>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</si>
  <si>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</si>
  <si>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</si>
  <si>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</si>
  <si>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</si>
  <si>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</si>
  <si>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</si>
  <si>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</si>
  <si>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</si>
  <si>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</si>
  <si>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</si>
  <si>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</si>
  <si>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</si>
  <si>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</si>
  <si>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</si>
  <si>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</si>
  <si>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</si>
  <si>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</si>
  <si>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</si>
  <si>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</si>
  <si>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</si>
  <si>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</si>
  <si>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</si>
  <si>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</si>
  <si>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</si>
  <si>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</si>
  <si>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</si>
  <si>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</si>
  <si>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</si>
  <si>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</si>
  <si>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</si>
  <si>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</si>
  <si>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</si>
  <si>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</si>
  <si>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</si>
  <si>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</si>
  <si>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</si>
  <si>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</si>
  <si>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</si>
  <si>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</si>
  <si>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</si>
  <si>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</si>
  <si>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</si>
  <si>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</si>
  <si>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</si>
  <si>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</si>
  <si>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</si>
  <si>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</si>
  <si>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</si>
  <si>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</si>
  <si>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</si>
  <si>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</si>
  <si>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</si>
  <si>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</si>
  <si>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</si>
  <si>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</si>
  <si>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</si>
  <si>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</si>
  <si>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</si>
  <si>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</si>
  <si>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</si>
  <si>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</si>
  <si>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</si>
  <si>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</si>
  <si>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</si>
  <si>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</si>
  <si>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</si>
  <si>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</si>
  <si>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</si>
  <si>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</si>
  <si>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</si>
  <si>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</si>
  <si>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</si>
  <si>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</si>
  <si>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</si>
  <si>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</si>
  <si>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</si>
  <si>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</si>
  <si>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</si>
  <si>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</si>
  <si>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</si>
  <si>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</si>
  <si>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</si>
  <si>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</si>
  <si>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</si>
  <si>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</si>
  <si>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</si>
  <si>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</si>
  <si>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</si>
  <si>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</si>
  <si>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</si>
  <si>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</si>
  <si>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</si>
  <si>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</si>
  <si>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</si>
  <si>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</si>
  <si>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</si>
  <si>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</si>
  <si>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</si>
  <si>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</si>
  <si>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</si>
  <si>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</si>
  <si>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</si>
  <si>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</si>
  <si>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</si>
  <si>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</si>
  <si>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</si>
  <si>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</si>
  <si>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</si>
  <si>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</si>
  <si>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</si>
  <si>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</si>
  <si>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</si>
  <si>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</si>
  <si>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</si>
  <si>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</si>
  <si>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</si>
  <si>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</si>
  <si>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</si>
  <si>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</si>
  <si>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</si>
  <si>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</si>
  <si>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</si>
  <si>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</si>
  <si>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</si>
  <si>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</si>
  <si>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</si>
  <si>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</si>
  <si>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</si>
  <si>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</si>
  <si>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</si>
  <si>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</si>
  <si>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</si>
  <si>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</si>
  <si>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</si>
  <si>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</si>
  <si>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</si>
  <si>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</si>
  <si>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</si>
  <si>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</si>
  <si>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</si>
  <si>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</si>
  <si>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</si>
  <si>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</si>
  <si>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</si>
  <si>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</si>
  <si>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</si>
  <si>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</si>
  <si>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</si>
  <si>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</si>
  <si>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</si>
  <si>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</si>
  <si>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</si>
  <si>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</si>
  <si>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</si>
  <si>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</si>
  <si>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</si>
  <si>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</si>
  <si>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</si>
  <si>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</si>
  <si>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</si>
  <si>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</si>
  <si>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</si>
  <si>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</si>
  <si>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</si>
  <si>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</si>
  <si>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</si>
  <si>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</si>
  <si>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</si>
  <si>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</si>
  <si>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</si>
  <si>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</si>
  <si>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</si>
  <si>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</si>
  <si>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</si>
  <si>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</si>
  <si>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</si>
  <si>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</si>
  <si>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</si>
  <si>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</si>
  <si>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</si>
  <si>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</si>
  <si>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</si>
  <si>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</si>
  <si>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</si>
  <si>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</si>
  <si>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</si>
  <si>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</si>
  <si>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</si>
  <si>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</si>
  <si>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</si>
  <si>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</si>
  <si>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</si>
  <si>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</si>
  <si>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</si>
  <si>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</si>
  <si>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</si>
  <si>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</si>
  <si>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</si>
  <si>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</si>
  <si>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</si>
  <si>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</si>
  <si>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</si>
  <si>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</si>
  <si>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</si>
  <si>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</si>
  <si>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</si>
  <si>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</si>
  <si>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</si>
  <si>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</si>
  <si>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</si>
  <si>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</si>
  <si>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</si>
  <si>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</si>
  <si>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</si>
  <si>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</si>
  <si>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</si>
  <si>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</si>
  <si>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</si>
  <si>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</si>
  <si>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</si>
  <si>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</si>
  <si>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</si>
  <si>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</si>
  <si>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</si>
  <si>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</si>
  <si>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</si>
  <si>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</si>
  <si>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</si>
  <si>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</si>
  <si>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</si>
  <si>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</si>
  <si>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</si>
  <si>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</si>
  <si>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</si>
  <si>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</si>
  <si>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</si>
  <si>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</si>
  <si>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</si>
  <si>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</si>
  <si>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</si>
  <si>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</si>
  <si>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</si>
  <si>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</si>
  <si>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</si>
  <si>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</si>
  <si>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</si>
  <si>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</si>
  <si>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</si>
  <si>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</si>
  <si>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</si>
  <si>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</si>
  <si>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</si>
  <si>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</si>
  <si>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</si>
  <si>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</si>
  <si>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</si>
  <si>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</si>
  <si>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</si>
  <si>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</si>
  <si>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</si>
  <si>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</si>
  <si>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</si>
  <si>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</si>
  <si>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</si>
  <si>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</si>
  <si>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</si>
  <si>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</si>
  <si>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</si>
  <si>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</si>
  <si>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</si>
  <si>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</si>
  <si>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</si>
  <si>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</si>
  <si>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</si>
  <si>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</si>
  <si>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</si>
  <si>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</si>
  <si>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</si>
  <si>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</si>
  <si>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</si>
  <si>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</si>
  <si>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</si>
  <si>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</si>
  <si>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</si>
  <si>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</si>
  <si>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</si>
  <si>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</si>
  <si>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</si>
  <si>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</si>
  <si>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</si>
  <si>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</si>
  <si>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</si>
  <si>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</si>
  <si>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</si>
  <si>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</si>
  <si>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</si>
  <si>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</si>
  <si>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</si>
  <si>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</si>
  <si>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</si>
  <si>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</si>
  <si>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</si>
  <si>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</si>
  <si>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</si>
  <si>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</si>
  <si>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</si>
  <si>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</si>
  <si>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</si>
  <si>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</si>
  <si>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</si>
  <si>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</si>
  <si>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</si>
  <si>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</si>
  <si>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</si>
  <si>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</si>
  <si>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</si>
  <si>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</si>
  <si>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</si>
  <si>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</si>
  <si>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</si>
  <si>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</si>
  <si>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</si>
  <si>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</si>
  <si>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</si>
  <si>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</si>
  <si>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</si>
  <si>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</si>
  <si>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</si>
  <si>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</si>
  <si>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</si>
  <si>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</si>
  <si>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</si>
  <si>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</si>
  <si>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</si>
  <si>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</si>
  <si>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</si>
  <si>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</si>
  <si>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</si>
  <si>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</si>
  <si>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</si>
  <si>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</si>
  <si>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</si>
  <si>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</si>
  <si>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</si>
  <si>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</si>
  <si>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</si>
  <si>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</si>
  <si>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</si>
  <si>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</si>
  <si>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</si>
  <si>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</si>
  <si>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</si>
  <si>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</si>
  <si>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</si>
  <si>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</si>
  <si>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</si>
  <si>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</si>
  <si>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</si>
  <si>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</si>
  <si>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</si>
  <si>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</si>
  <si>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</si>
  <si>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</si>
  <si>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</si>
  <si>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</si>
  <si>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</si>
  <si>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</si>
  <si>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</si>
  <si>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</si>
  <si>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</si>
  <si>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</si>
  <si>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</si>
  <si>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</si>
  <si>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</si>
  <si>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</si>
  <si>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</si>
  <si>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</si>
  <si>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</si>
  <si>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</si>
  <si>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</si>
  <si>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</si>
  <si>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</si>
  <si>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</si>
  <si>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</si>
  <si>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</si>
  <si>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</si>
  <si>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</si>
  <si>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</si>
  <si>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</si>
  <si>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</si>
  <si>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</si>
  <si>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</si>
  <si>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</si>
  <si>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</si>
  <si>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</si>
  <si>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</si>
  <si>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</si>
  <si>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</si>
  <si>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</si>
  <si>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</si>
  <si>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</si>
  <si>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</si>
  <si>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</si>
  <si>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</si>
  <si>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</si>
  <si>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</si>
  <si>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</si>
  <si>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</si>
  <si>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</si>
  <si>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</si>
  <si>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</si>
  <si>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</si>
  <si>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</si>
  <si>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</si>
  <si>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</si>
  <si>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</si>
  <si>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</si>
  <si>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</si>
  <si>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</si>
  <si>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</si>
  <si>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</si>
  <si>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</si>
  <si>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</si>
  <si>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</si>
  <si>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</si>
  <si>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</si>
  <si>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</si>
  <si>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</si>
  <si>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</si>
  <si>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</si>
  <si>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</si>
  <si>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</si>
  <si>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</si>
  <si>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</si>
  <si>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</si>
  <si>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</si>
  <si>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</si>
  <si>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</si>
  <si>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</si>
  <si>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</si>
  <si>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</si>
  <si>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</si>
  <si>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</si>
  <si>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</si>
  <si>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</si>
  <si>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</si>
  <si>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</si>
  <si>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</si>
  <si>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</si>
  <si>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</si>
  <si>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</si>
  <si>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</si>
  <si>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</si>
  <si>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</si>
  <si>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</si>
  <si>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</si>
  <si>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</si>
  <si>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</si>
  <si>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</si>
  <si>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</si>
  <si>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</si>
  <si>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</si>
  <si>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</si>
  <si>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</si>
  <si>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</si>
  <si>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</si>
  <si>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</si>
  <si>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</si>
  <si>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</si>
  <si>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</si>
  <si>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</si>
  <si>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</si>
  <si>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</si>
  <si>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</si>
  <si>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</si>
  <si>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</si>
  <si>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</si>
  <si>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</si>
  <si>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</si>
  <si>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</si>
  <si>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</si>
  <si>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</si>
  <si>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</si>
  <si>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</si>
  <si>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</si>
  <si>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</si>
  <si>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</si>
  <si>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</si>
  <si>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</si>
  <si>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</si>
  <si>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</si>
  <si>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</si>
  <si>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</si>
  <si>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</si>
  <si>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</si>
  <si>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</si>
  <si>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</si>
  <si>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</si>
  <si>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</si>
  <si>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</si>
  <si>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</si>
  <si>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</si>
  <si>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</si>
  <si>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</si>
  <si>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</si>
  <si>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</si>
  <si>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</si>
  <si>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</si>
  <si>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</si>
  <si>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</si>
  <si>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</si>
  <si>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</si>
  <si>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</si>
  <si>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</si>
  <si>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</si>
  <si>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</si>
  <si>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</si>
  <si>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</si>
  <si>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</si>
  <si>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</si>
  <si>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</si>
  <si>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</si>
  <si>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</si>
  <si>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</si>
  <si>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</si>
  <si>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</si>
  <si>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</si>
  <si>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</si>
  <si>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</si>
  <si>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</si>
  <si>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</si>
  <si>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</si>
  <si>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</si>
  <si>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</si>
  <si>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</si>
  <si>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</si>
  <si>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</si>
  <si>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</si>
  <si>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</si>
  <si>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</si>
  <si>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</si>
  <si>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</si>
  <si>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</si>
  <si>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</si>
  <si>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</si>
  <si>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</si>
  <si>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</si>
  <si>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</si>
  <si>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</si>
  <si>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</si>
  <si>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</si>
  <si>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</si>
  <si>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</si>
  <si>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</si>
  <si>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</si>
  <si>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</si>
  <si>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</si>
  <si>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</si>
  <si>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</si>
  <si>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</si>
  <si>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</si>
  <si>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</si>
  <si>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</si>
  <si>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</si>
  <si>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</si>
  <si>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</si>
  <si>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</si>
  <si>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</si>
  <si>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</si>
  <si>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</si>
  <si>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</si>
  <si>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</si>
  <si>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</si>
  <si>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</si>
  <si>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</si>
  <si>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</si>
  <si>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</si>
  <si>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</si>
  <si>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</si>
  <si>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</si>
  <si>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</si>
  <si>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</si>
  <si>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</si>
  <si>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</si>
  <si>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</si>
  <si>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</si>
  <si>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</si>
  <si>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</si>
  <si>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</si>
  <si>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</si>
  <si>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</si>
  <si>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</si>
  <si>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</si>
  <si>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</si>
  <si>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</si>
  <si>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</si>
  <si>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</si>
  <si>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</si>
  <si>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</si>
  <si>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</si>
  <si>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</si>
  <si>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</si>
  <si>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</si>
  <si>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</si>
  <si>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</si>
  <si>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</si>
  <si>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</si>
  <si>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</si>
  <si>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</si>
  <si>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</si>
  <si>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</si>
  <si>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</si>
  <si>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</si>
  <si>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</si>
  <si>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</si>
  <si>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</si>
  <si>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</si>
  <si>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</si>
  <si>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</si>
  <si>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</si>
  <si>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</si>
  <si>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</si>
  <si>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</si>
  <si>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</si>
  <si>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</si>
  <si>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</si>
  <si>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</si>
  <si>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</si>
  <si>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</si>
  <si>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</si>
  <si>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</si>
  <si>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</si>
  <si>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</si>
  <si>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</si>
  <si>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</si>
  <si>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</si>
  <si>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</si>
  <si>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</si>
  <si>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</si>
  <si>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</si>
  <si>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</si>
  <si>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</si>
  <si>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</si>
  <si>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</si>
  <si>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</si>
  <si>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</si>
  <si>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</si>
  <si>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</si>
  <si>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</si>
  <si>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</si>
  <si>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</si>
  <si>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</si>
  <si>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</si>
  <si>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</si>
  <si>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</si>
  <si>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</si>
  <si>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</si>
  <si>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</si>
  <si>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</si>
  <si>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</si>
  <si>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</si>
  <si>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</si>
  <si>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</si>
  <si>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</si>
  <si>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</si>
  <si>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</si>
  <si>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</si>
  <si>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</si>
  <si>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</si>
  <si>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</si>
  <si>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</si>
  <si>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</si>
  <si>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</si>
  <si>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</si>
  <si>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</si>
  <si>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</si>
  <si>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</si>
  <si>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</si>
  <si>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</si>
  <si>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</si>
  <si>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</si>
  <si>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</si>
  <si>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</si>
  <si>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</si>
  <si>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</si>
  <si>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</si>
  <si>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</si>
  <si>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</si>
  <si>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</si>
  <si>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</si>
  <si>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</si>
  <si>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</si>
  <si>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</si>
  <si>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</si>
  <si>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</si>
  <si>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</si>
  <si>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</si>
  <si>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</si>
  <si>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</si>
  <si>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</si>
  <si>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</si>
  <si>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</si>
  <si>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</si>
  <si>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</si>
  <si>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</si>
  <si>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</si>
  <si>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</si>
  <si>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</si>
  <si>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</si>
  <si>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</si>
  <si>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</si>
  <si>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</si>
  <si>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</si>
  <si>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</si>
  <si>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</si>
  <si>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</si>
  <si>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</si>
  <si>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</si>
  <si>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</si>
  <si>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</si>
  <si>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</si>
  <si>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</si>
  <si>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</si>
  <si>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</si>
  <si>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</si>
  <si>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</si>
  <si>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</si>
  <si>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</si>
  <si>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</si>
  <si>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</si>
  <si>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</si>
  <si>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</si>
  <si>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</si>
  <si>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</si>
  <si>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</si>
  <si>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</si>
  <si>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</si>
  <si>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</si>
  <si>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</si>
  <si>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</si>
  <si>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</si>
  <si>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</si>
  <si>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</si>
  <si>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</si>
  <si>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</si>
  <si>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</si>
  <si>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</si>
  <si>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</si>
  <si>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</si>
  <si>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</si>
  <si>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</si>
  <si>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</si>
  <si>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</si>
  <si>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</si>
  <si>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</si>
  <si>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</si>
  <si>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</si>
  <si>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</si>
  <si>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</si>
  <si>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</si>
  <si>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</si>
  <si>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</si>
  <si>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</si>
  <si>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</si>
  <si>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</si>
  <si>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</si>
  <si>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</si>
  <si>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</si>
  <si>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</si>
  <si>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</si>
  <si>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</si>
  <si>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</si>
  <si>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</si>
  <si>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</si>
  <si>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</si>
  <si>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</si>
  <si>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</si>
  <si>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</si>
  <si>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</si>
  <si>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</si>
  <si>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</si>
  <si>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</si>
  <si>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</si>
  <si>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</si>
  <si>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</si>
  <si>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</si>
  <si>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</si>
  <si>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</si>
  <si>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</si>
  <si>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</si>
  <si>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</si>
  <si>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</si>
  <si>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</si>
  <si>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</si>
  <si>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</si>
  <si>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</si>
  <si>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</si>
  <si>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</si>
  <si>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</si>
  <si>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</si>
  <si>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</si>
  <si>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</si>
  <si>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</si>
  <si>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</si>
  <si>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</si>
  <si>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</si>
  <si>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</si>
  <si>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</si>
  <si>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</si>
  <si>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</si>
  <si>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</si>
  <si>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</si>
  <si>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</si>
  <si>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</si>
  <si>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</si>
  <si>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</si>
  <si>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</si>
  <si>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</si>
  <si>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</si>
  <si>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</si>
  <si>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</si>
  <si>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</si>
  <si>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</si>
  <si>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</si>
  <si>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</si>
  <si>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</si>
  <si>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</si>
  <si>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</si>
  <si>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</si>
  <si>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</si>
  <si>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</si>
  <si>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</si>
  <si>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</si>
  <si>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</si>
  <si>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</si>
  <si>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</si>
  <si>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</si>
  <si>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</si>
  <si>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</si>
  <si>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</si>
  <si>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</si>
  <si>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</si>
  <si>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</si>
  <si>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</si>
  <si>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</si>
  <si>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</si>
  <si>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</si>
  <si>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</si>
  <si>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</si>
  <si>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</si>
  <si>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</si>
  <si>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</si>
  <si>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</si>
  <si>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</si>
  <si>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</si>
  <si>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</si>
  <si>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</si>
  <si>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</si>
  <si>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</si>
  <si>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</si>
  <si>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</si>
  <si>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</si>
  <si>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</si>
  <si>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</si>
  <si>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</si>
  <si>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</si>
  <si>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</si>
  <si>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</si>
  <si>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</si>
  <si>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</si>
  <si>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</si>
  <si>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</si>
  <si>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</si>
  <si>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</si>
  <si>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</si>
  <si>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</si>
  <si>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</si>
  <si>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</si>
  <si>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</si>
  <si>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</si>
  <si>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</si>
  <si>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</si>
  <si>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</si>
  <si>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</si>
  <si>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</si>
  <si>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</si>
  <si>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</si>
  <si>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</si>
  <si>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</si>
  <si>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</si>
  <si>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</si>
  <si>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</si>
  <si>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</si>
  <si>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</si>
  <si>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</si>
  <si>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</si>
  <si>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</si>
  <si>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</si>
  <si>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</si>
  <si>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</si>
  <si>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</si>
  <si>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</si>
  <si>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</si>
  <si>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</si>
  <si>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</si>
  <si>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</si>
  <si>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</si>
  <si>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</si>
  <si>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</si>
  <si>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</si>
  <si>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</si>
  <si>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</si>
  <si>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</si>
  <si>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</si>
  <si>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</si>
  <si>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</si>
  <si>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</si>
  <si>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</si>
  <si>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</si>
  <si>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</si>
  <si>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</si>
  <si>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</si>
  <si>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</si>
  <si>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</si>
  <si>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</si>
  <si>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</si>
  <si>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</si>
  <si>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</si>
  <si>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</si>
  <si>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</si>
  <si>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</si>
  <si>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</si>
  <si>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</si>
  <si>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</si>
  <si>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</si>
  <si>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</si>
  <si>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</si>
  <si>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</si>
  <si>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</si>
  <si>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</si>
  <si>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</si>
  <si>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</si>
  <si>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</si>
  <si>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</si>
  <si>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</si>
  <si>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</si>
  <si>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</si>
  <si>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</si>
  <si>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</si>
  <si>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</si>
  <si>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</si>
  <si>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</si>
  <si>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</si>
  <si>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</si>
  <si>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</si>
  <si>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</si>
  <si>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</si>
  <si>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</si>
  <si>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</si>
  <si>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</si>
  <si>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</si>
  <si>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</si>
  <si>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</si>
  <si>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</si>
  <si>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</si>
  <si>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</si>
  <si>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</si>
  <si>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</si>
  <si>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</si>
  <si>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</si>
  <si>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</si>
  <si>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</si>
  <si>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</si>
  <si>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</si>
  <si>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</si>
  <si>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</si>
  <si>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</si>
  <si>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</si>
  <si>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</si>
  <si>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</si>
  <si>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</si>
  <si>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</si>
  <si>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</si>
  <si>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</si>
  <si>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</si>
  <si>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</si>
  <si>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</si>
  <si>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</si>
  <si>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</si>
  <si>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</si>
  <si>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</si>
  <si>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</si>
  <si>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</si>
  <si>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</si>
  <si>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</si>
  <si>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</si>
  <si>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</si>
  <si>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</si>
  <si>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</si>
  <si>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</si>
  <si>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</si>
  <si>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</si>
  <si>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</si>
  <si>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</si>
  <si>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</si>
  <si>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</si>
  <si>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</si>
  <si>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</si>
  <si>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</si>
  <si>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</si>
  <si>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</si>
  <si>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</si>
  <si>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</si>
  <si>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</si>
  <si>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</si>
  <si>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</si>
  <si>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</si>
  <si>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</si>
  <si>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</si>
  <si>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</si>
  <si>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</si>
  <si>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</si>
  <si>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</si>
  <si>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</si>
  <si>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</si>
  <si>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</si>
  <si>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</si>
  <si>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</si>
  <si>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</si>
  <si>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</si>
  <si>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</si>
  <si>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</si>
  <si>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</si>
  <si>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</si>
  <si>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</si>
  <si>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</si>
  <si>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</si>
  <si>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</si>
  <si>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</si>
  <si>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</si>
  <si>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</si>
  <si>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</si>
  <si>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</si>
  <si>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</si>
  <si>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</si>
  <si>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</si>
  <si>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</si>
  <si>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</si>
  <si>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</si>
  <si>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</si>
  <si>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</si>
  <si>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</si>
  <si>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</si>
  <si>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</si>
  <si>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</si>
  <si>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</si>
  <si>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</si>
  <si>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</si>
  <si>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</si>
  <si>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</si>
  <si>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</si>
  <si>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</si>
  <si>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</si>
  <si>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</si>
  <si>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</si>
  <si>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</si>
  <si>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</si>
  <si>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</si>
  <si>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</si>
  <si>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</si>
  <si>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</si>
  <si>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</si>
  <si>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</si>
  <si>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</si>
  <si>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</si>
  <si>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</si>
  <si>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</si>
  <si>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</si>
  <si>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</si>
  <si>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</si>
  <si>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</si>
  <si>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</si>
  <si>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</si>
  <si>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</si>
  <si>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</si>
  <si>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</si>
  <si>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</si>
  <si>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</si>
  <si>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</si>
  <si>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</si>
  <si>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</si>
  <si>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</si>
  <si>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</si>
  <si>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</si>
  <si>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</si>
  <si>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</si>
  <si>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</si>
  <si>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</si>
  <si>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</si>
  <si>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</si>
  <si>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</si>
  <si>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</si>
  <si>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</si>
  <si>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</si>
  <si>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</si>
  <si>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</si>
  <si>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</si>
  <si>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</si>
  <si>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</si>
  <si>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</si>
  <si>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</si>
  <si>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</si>
  <si>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</si>
  <si>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</si>
  <si>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</si>
  <si>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</si>
  <si>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</si>
  <si>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</si>
  <si>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</si>
  <si>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</si>
  <si>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</si>
  <si>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</si>
  <si>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</si>
  <si>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</si>
  <si>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</si>
  <si>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</si>
  <si>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</si>
  <si>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</si>
  <si>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</si>
  <si>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</si>
  <si>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</si>
  <si>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</si>
  <si>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</si>
  <si>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</si>
  <si>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</si>
  <si>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</si>
  <si>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</si>
  <si>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</si>
  <si>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</si>
  <si>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</si>
  <si>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</si>
  <si>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</si>
  <si>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</si>
  <si>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</si>
  <si>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</si>
  <si>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</si>
  <si>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</si>
  <si>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</si>
  <si>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</si>
  <si>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</si>
  <si>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</si>
  <si>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</si>
  <si>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</si>
  <si>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</si>
  <si>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</si>
  <si>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</si>
  <si>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</si>
  <si>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</si>
  <si>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</si>
  <si>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</si>
  <si>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</si>
  <si>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</si>
  <si>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</si>
  <si>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</si>
  <si>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</si>
  <si>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</si>
  <si>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</si>
  <si>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</si>
  <si>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</si>
  <si>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</si>
  <si>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</si>
  <si>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</si>
  <si>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</si>
  <si>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</si>
  <si>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</si>
  <si>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</si>
  <si>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</si>
  <si>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</si>
  <si>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</si>
  <si>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</si>
  <si>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</si>
  <si>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</si>
  <si>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</si>
  <si>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</si>
  <si>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</si>
  <si>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</si>
  <si>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</si>
  <si>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</si>
  <si>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</si>
  <si>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</si>
  <si>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</si>
  <si>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</si>
  <si>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</si>
  <si>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</si>
  <si>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</si>
  <si>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</si>
  <si>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</si>
  <si>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</si>
  <si>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</si>
  <si>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</si>
  <si>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</si>
  <si>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</si>
  <si>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</si>
  <si>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</si>
  <si>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</si>
  <si>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</si>
  <si>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</si>
  <si>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</si>
  <si>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</si>
  <si>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</si>
  <si>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</si>
  <si>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</si>
  <si>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</si>
  <si>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</si>
  <si>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</si>
  <si>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</si>
  <si>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</si>
  <si>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</si>
  <si>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</si>
  <si>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</si>
  <si>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</si>
  <si>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</si>
  <si>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</si>
  <si>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</si>
  <si>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</si>
  <si>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</si>
  <si>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</si>
  <si>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</si>
  <si>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</si>
  <si>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</si>
  <si>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</si>
  <si>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</si>
  <si>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</si>
  <si>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</si>
  <si>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</si>
  <si>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</si>
  <si>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</si>
  <si>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</si>
  <si>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</si>
  <si>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</si>
  <si>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</si>
  <si>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</si>
  <si>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</si>
  <si>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</si>
  <si>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</si>
  <si>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</si>
  <si>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</si>
  <si>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</si>
  <si>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</si>
  <si>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</si>
  <si>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</si>
  <si>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</si>
  <si>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</si>
  <si>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</si>
  <si>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</si>
  <si>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</si>
  <si>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</si>
  <si>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</si>
  <si>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</si>
  <si>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</si>
  <si>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</si>
  <si>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</si>
  <si>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</si>
  <si>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</si>
  <si>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</si>
  <si>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</si>
  <si>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</si>
  <si>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</si>
  <si>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</si>
  <si>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</si>
  <si>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</si>
  <si>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</si>
  <si>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</si>
  <si>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</si>
  <si>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</si>
  <si>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</si>
  <si>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</si>
  <si>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</si>
  <si>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</si>
  <si>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</si>
  <si>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</si>
  <si>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</si>
  <si>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</si>
  <si>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</si>
  <si>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</si>
  <si>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</si>
  <si>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</si>
  <si>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</si>
  <si>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</si>
  <si>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</si>
  <si>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</si>
  <si>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</si>
  <si>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</si>
  <si>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</si>
  <si>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</si>
  <si>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</si>
  <si>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</si>
  <si>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</si>
  <si>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</si>
  <si>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</si>
  <si>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</si>
  <si>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</si>
  <si>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</si>
  <si>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</si>
  <si>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</si>
  <si>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</si>
  <si>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</si>
  <si>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</si>
  <si>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</si>
  <si>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</si>
  <si>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</si>
  <si>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</si>
  <si>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</si>
  <si>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</si>
  <si>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</si>
  <si>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</si>
  <si>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</si>
  <si>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</si>
  <si>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</si>
  <si>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</si>
  <si>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</si>
  <si>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</si>
  <si>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</si>
  <si>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</si>
  <si>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</si>
  <si>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</si>
  <si>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</si>
  <si>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</si>
  <si>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</si>
  <si>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</si>
  <si>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</si>
  <si>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</si>
  <si>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</si>
  <si>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</si>
  <si>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</si>
  <si>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</si>
  <si>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</si>
  <si>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</si>
  <si>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</si>
  <si>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</si>
  <si>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</si>
  <si>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</si>
  <si>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</si>
  <si>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</si>
  <si>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</si>
  <si>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</si>
  <si>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</si>
  <si>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</si>
  <si>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</si>
  <si>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</si>
  <si>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</si>
  <si>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</si>
  <si>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</si>
  <si>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</si>
  <si>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</si>
  <si>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</si>
  <si>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</si>
  <si>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</si>
  <si>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</si>
  <si>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</si>
  <si>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</si>
  <si>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</si>
  <si>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</si>
  <si>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</si>
  <si>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</si>
  <si>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</si>
  <si>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</si>
  <si>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</si>
  <si>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</si>
  <si>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</si>
  <si>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</si>
  <si>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</si>
  <si>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</si>
  <si>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</si>
  <si>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</si>
  <si>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</si>
  <si>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</si>
  <si>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</si>
  <si>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</si>
  <si>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</si>
  <si>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</si>
  <si>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</si>
  <si>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</si>
  <si>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</si>
  <si>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</si>
  <si>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</si>
  <si>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</si>
  <si>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</si>
  <si>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</si>
  <si>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</si>
  <si>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</si>
  <si>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</si>
  <si>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</si>
  <si>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</si>
  <si>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</si>
  <si>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</si>
  <si>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</si>
  <si>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</si>
  <si>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</si>
  <si>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</si>
  <si>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</si>
  <si>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</si>
  <si>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</si>
  <si>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</si>
  <si>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</si>
  <si>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</si>
  <si>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</si>
  <si>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</si>
  <si>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</si>
  <si>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</si>
  <si>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</si>
  <si>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</si>
  <si>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</si>
  <si>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</si>
  <si>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</si>
  <si>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</si>
  <si>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</si>
  <si>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</si>
  <si>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</si>
  <si>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</si>
  <si>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</si>
  <si>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</si>
  <si>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</si>
  <si>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</si>
  <si>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</si>
  <si>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</si>
  <si>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</si>
  <si>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</si>
  <si>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</si>
  <si>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</si>
  <si>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</si>
  <si>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</si>
  <si>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</si>
  <si>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</si>
  <si>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</si>
  <si>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</si>
  <si>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</si>
  <si>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</si>
  <si>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</si>
  <si>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</si>
  <si>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</si>
  <si>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</si>
  <si>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</si>
  <si>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</si>
  <si>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</si>
  <si>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</si>
  <si>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</si>
  <si>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</si>
  <si>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</si>
  <si>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</si>
  <si>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</si>
  <si>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</si>
  <si>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</si>
  <si>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</si>
  <si>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</si>
  <si>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</si>
  <si>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</si>
  <si>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</si>
  <si>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</si>
  <si>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</si>
  <si>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</si>
  <si>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</si>
  <si>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</si>
  <si>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</si>
  <si>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</si>
  <si>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</si>
  <si>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</si>
  <si>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</si>
  <si>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</si>
  <si>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</si>
  <si>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</si>
  <si>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</si>
  <si>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</si>
  <si>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</si>
  <si>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</si>
  <si>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</si>
  <si>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</si>
  <si>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</si>
  <si>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</si>
  <si>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</si>
  <si>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</si>
  <si>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</si>
  <si>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</si>
  <si>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</si>
  <si>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</si>
  <si>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</si>
  <si>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</si>
  <si>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</si>
  <si>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</si>
  <si>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</si>
  <si>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</si>
  <si>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</si>
  <si>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</si>
  <si>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</si>
  <si>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</si>
  <si>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</si>
  <si>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</si>
  <si>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</si>
  <si>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</si>
  <si>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</si>
  <si>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</si>
  <si>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</si>
  <si>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</si>
  <si>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</si>
  <si>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</si>
  <si>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</si>
  <si>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</si>
  <si>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</si>
  <si>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</si>
  <si>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</si>
  <si>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</si>
  <si>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</si>
  <si>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</si>
  <si>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</si>
  <si>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</si>
  <si>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</si>
  <si>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</si>
  <si>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</si>
  <si>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</si>
  <si>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</si>
  <si>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</si>
  <si>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</si>
  <si>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</si>
  <si>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</si>
  <si>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</si>
  <si>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</si>
  <si>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</si>
  <si>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</si>
  <si>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</si>
  <si>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</si>
  <si>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</si>
  <si>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</si>
  <si>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</si>
  <si>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</si>
  <si>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</si>
  <si>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</si>
  <si>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</si>
  <si>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</si>
  <si>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</si>
  <si>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</si>
  <si>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</si>
  <si>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</si>
  <si>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</si>
  <si>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</si>
  <si>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</si>
  <si>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</si>
  <si>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</si>
  <si>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</si>
  <si>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</si>
  <si>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</si>
  <si>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</si>
  <si>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</si>
  <si>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</si>
  <si>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</si>
  <si>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</si>
  <si>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</si>
  <si>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</si>
  <si>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</si>
  <si>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</si>
  <si>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</si>
  <si>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</si>
  <si>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</si>
  <si>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</si>
  <si>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</si>
  <si>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</si>
  <si>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</si>
  <si>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</si>
  <si>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</si>
  <si>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</si>
  <si>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</si>
  <si>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</si>
  <si>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</si>
  <si>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</si>
  <si>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</si>
  <si>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</si>
  <si>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</si>
  <si>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</si>
  <si>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</si>
  <si>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</si>
  <si>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</si>
  <si>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</si>
  <si>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</si>
  <si>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</si>
  <si>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</si>
  <si>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</si>
  <si>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</si>
  <si>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</si>
  <si>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</si>
  <si>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</si>
  <si>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</si>
  <si>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</si>
  <si>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</si>
  <si>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</si>
  <si>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</si>
  <si>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</si>
  <si>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</si>
  <si>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</si>
  <si>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</si>
  <si>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</si>
  <si>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</si>
  <si>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</si>
  <si>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</si>
  <si>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</si>
  <si>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</si>
  <si>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</si>
  <si>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</si>
  <si>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</si>
  <si>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</si>
  <si>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</si>
  <si>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</si>
  <si>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</si>
  <si>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</si>
  <si>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</si>
  <si>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</si>
  <si>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</si>
  <si>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</si>
  <si>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</si>
  <si>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</si>
  <si>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</si>
  <si>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</si>
  <si>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</si>
  <si>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</si>
  <si>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</si>
  <si>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</si>
  <si>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</si>
  <si>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</si>
  <si>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</si>
  <si>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</si>
  <si>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</si>
  <si>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</si>
  <si>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</si>
  <si>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</si>
  <si>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</si>
  <si>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</si>
  <si>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</si>
  <si>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</si>
  <si>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</si>
  <si>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</si>
  <si>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</si>
  <si>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</si>
  <si>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</si>
  <si>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</si>
  <si>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</si>
  <si>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</si>
  <si>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</si>
  <si>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</si>
  <si>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</si>
  <si>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</si>
  <si>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</si>
  <si>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</si>
  <si>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</si>
  <si>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</si>
  <si>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</si>
  <si>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</si>
  <si>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</si>
  <si>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</si>
  <si>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</si>
  <si>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</si>
  <si>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</si>
  <si>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</si>
  <si>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</si>
  <si>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</si>
  <si>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</si>
  <si>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</si>
  <si>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</si>
  <si>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</si>
  <si>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</si>
  <si>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</si>
  <si>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</si>
  <si>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</si>
  <si>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</si>
  <si>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</si>
  <si>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</si>
  <si>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</si>
  <si>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</si>
  <si>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</si>
  <si>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</si>
  <si>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</si>
  <si>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</si>
  <si>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</si>
  <si>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</si>
  <si>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</si>
  <si>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</si>
  <si>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</si>
  <si>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</si>
  <si>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</si>
  <si>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</si>
  <si>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</si>
  <si>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</si>
  <si>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</si>
  <si>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</si>
  <si>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</si>
  <si>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</si>
  <si>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</si>
  <si>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</si>
  <si>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</si>
  <si>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</si>
  <si>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</si>
  <si>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</si>
  <si>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</si>
  <si>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</si>
  <si>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</si>
  <si>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</si>
  <si>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</si>
  <si>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</si>
  <si>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</si>
  <si>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</si>
  <si>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</si>
  <si>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</si>
  <si>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</si>
  <si>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</si>
  <si>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</si>
  <si>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</si>
  <si>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</si>
  <si>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</si>
  <si>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</si>
  <si>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</si>
  <si>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</si>
  <si>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</si>
  <si>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</si>
  <si>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</si>
  <si>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</si>
  <si>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</si>
  <si>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</si>
  <si>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</si>
  <si>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</si>
  <si>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</si>
  <si>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</si>
  <si>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</si>
  <si>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</si>
  <si>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</si>
  <si>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</si>
  <si>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</si>
  <si>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</si>
  <si>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</si>
  <si>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</si>
  <si>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</si>
  <si>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</si>
  <si>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</si>
  <si>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</si>
  <si>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</si>
  <si>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</si>
  <si>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</si>
  <si>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</si>
  <si>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</si>
  <si>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</si>
  <si>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</si>
  <si>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</si>
  <si>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</si>
  <si>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</si>
  <si>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</si>
  <si>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</si>
  <si>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</si>
  <si>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</si>
  <si>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</si>
  <si>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</si>
  <si>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</si>
  <si>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</si>
  <si>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</si>
  <si>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</si>
  <si>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</si>
  <si>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</si>
  <si>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</si>
  <si>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</si>
  <si>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</si>
  <si>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</si>
  <si>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</si>
  <si>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</si>
  <si>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</si>
  <si>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</si>
  <si>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</si>
  <si>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</si>
  <si>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</si>
  <si>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</si>
  <si>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</si>
  <si>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</si>
  <si>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</si>
  <si>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</si>
  <si>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</si>
  <si>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</si>
  <si>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</si>
  <si>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</si>
  <si>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</si>
  <si>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</si>
  <si>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</si>
  <si>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</si>
  <si>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</si>
  <si>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</si>
  <si>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</si>
  <si>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</si>
  <si>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</si>
  <si>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</si>
  <si>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</si>
  <si>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</si>
  <si>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</si>
  <si>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</si>
  <si>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</si>
  <si>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</si>
  <si>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</si>
  <si>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</si>
  <si>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</si>
  <si>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</si>
  <si>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</si>
  <si>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</si>
  <si>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</si>
  <si>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</si>
  <si>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</si>
  <si>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</si>
  <si>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</si>
  <si>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</si>
  <si>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</si>
  <si>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</si>
  <si>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</si>
  <si>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</si>
  <si>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</si>
  <si>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</si>
  <si>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</si>
  <si>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</si>
  <si>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</si>
  <si>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</si>
  <si>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</si>
  <si>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</si>
  <si>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</si>
  <si>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</si>
  <si>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</si>
  <si>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</si>
  <si>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</si>
  <si>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</si>
  <si>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</si>
  <si>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</si>
  <si>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</si>
  <si>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</si>
  <si>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</si>
  <si>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</si>
  <si>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</si>
  <si>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</si>
  <si>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</si>
  <si>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</si>
  <si>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</si>
  <si>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</si>
  <si>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</si>
  <si>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</si>
  <si>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</si>
  <si>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</si>
  <si>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</si>
  <si>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</si>
  <si>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</si>
  <si>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</si>
  <si>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</si>
  <si>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</si>
  <si>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</si>
  <si>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</si>
  <si>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</si>
  <si>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</si>
  <si>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</si>
  <si>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</si>
  <si>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</si>
  <si>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</si>
  <si>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</si>
  <si>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</si>
  <si>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</si>
  <si>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</si>
  <si>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</si>
  <si>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</si>
  <si>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</si>
  <si>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</si>
  <si>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</si>
  <si>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</si>
  <si>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</si>
  <si>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</si>
  <si>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</si>
  <si>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</si>
  <si>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</si>
  <si>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</si>
  <si>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</si>
  <si>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</si>
  <si>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</si>
  <si>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</si>
  <si>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</si>
  <si>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</si>
  <si>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</si>
  <si>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</si>
  <si>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</si>
  <si>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</si>
  <si>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</si>
  <si>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</si>
  <si>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</si>
  <si>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</si>
  <si>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</si>
  <si>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</si>
  <si>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</si>
  <si>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</si>
  <si>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</si>
  <si>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</si>
  <si>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</si>
  <si>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</si>
  <si>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</si>
  <si>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</si>
  <si>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</si>
  <si>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</si>
  <si>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</si>
  <si>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</si>
  <si>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</si>
  <si>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</si>
  <si>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</si>
  <si>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</si>
  <si>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</si>
  <si>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</si>
  <si>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</si>
  <si>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</si>
  <si>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</si>
  <si>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</si>
  <si>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</si>
  <si>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</si>
  <si>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</si>
  <si>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</si>
  <si>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</si>
  <si>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</si>
  <si>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</si>
  <si>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</si>
  <si>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</si>
  <si>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</si>
  <si>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</si>
  <si>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</si>
  <si>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</si>
  <si>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</si>
  <si>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</si>
  <si>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</si>
  <si>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</si>
  <si>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</si>
  <si>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</si>
  <si>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</si>
  <si>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</si>
  <si>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</si>
  <si>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</si>
  <si>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</si>
  <si>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</si>
  <si>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</si>
  <si>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</si>
  <si>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</si>
  <si>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</si>
  <si>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</si>
  <si>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</si>
  <si>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</si>
  <si>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</si>
  <si>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</si>
  <si>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</si>
  <si>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</si>
  <si>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</si>
  <si>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</si>
  <si>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</si>
  <si>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</si>
  <si>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</si>
  <si>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</si>
  <si>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</si>
  <si>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</si>
  <si>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</si>
  <si>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</si>
  <si>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</si>
  <si>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</si>
  <si>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</si>
  <si>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</si>
  <si>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</si>
  <si>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</si>
  <si>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</si>
  <si>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</si>
  <si>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</si>
  <si>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</si>
  <si>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</si>
  <si>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</si>
  <si>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</si>
  <si>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</si>
  <si>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</si>
  <si>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</si>
  <si>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</si>
  <si>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</si>
  <si>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</si>
  <si>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</si>
  <si>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</si>
  <si>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</si>
  <si>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</si>
  <si>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</si>
  <si>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</si>
  <si>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</si>
  <si>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</si>
  <si>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</si>
  <si>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</si>
  <si>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</si>
  <si>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</si>
  <si>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</si>
  <si>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</si>
  <si>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</si>
  <si>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</si>
  <si>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</si>
  <si>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</si>
  <si>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</si>
  <si>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</si>
  <si>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</si>
  <si>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</si>
  <si>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</si>
  <si>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</si>
  <si>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</si>
  <si>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</si>
  <si>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</si>
  <si>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</si>
  <si>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</si>
  <si>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</si>
  <si>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</si>
  <si>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</si>
  <si>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</si>
  <si>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</si>
  <si>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</si>
  <si>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</si>
  <si>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</si>
  <si>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</si>
  <si>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</si>
  <si>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</si>
  <si>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</si>
  <si>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</si>
  <si>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</si>
  <si>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</si>
  <si>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</si>
  <si>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</si>
  <si>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</si>
  <si>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</si>
  <si>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</si>
  <si>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</si>
  <si>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</si>
  <si>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</si>
  <si>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</si>
  <si>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</si>
  <si>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</si>
  <si>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</si>
  <si>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</si>
  <si>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</si>
  <si>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</si>
  <si>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</si>
  <si>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</si>
  <si>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</si>
  <si>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</si>
  <si>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</si>
  <si>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</si>
  <si>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</si>
  <si>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</si>
  <si>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</si>
  <si>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</si>
  <si>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</si>
  <si>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</si>
  <si>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</si>
  <si>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</si>
  <si>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</si>
  <si>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</si>
  <si>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</si>
  <si>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</si>
  <si>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</si>
  <si>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</si>
  <si>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</si>
  <si>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</si>
  <si>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</si>
  <si>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</si>
  <si>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</si>
  <si>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</si>
  <si>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</si>
  <si>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</si>
  <si>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</si>
  <si>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</si>
  <si>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</si>
  <si>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</si>
  <si>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</si>
  <si>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</si>
  <si>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</si>
  <si>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</si>
  <si>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</si>
  <si>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</si>
  <si>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</si>
  <si>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</si>
  <si>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</si>
  <si>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</si>
  <si>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</si>
  <si>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</si>
  <si>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</si>
  <si>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</si>
  <si>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</si>
  <si>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</si>
  <si>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</si>
  <si>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</si>
  <si>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</si>
  <si>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</si>
  <si>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</si>
  <si>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</si>
  <si>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</si>
  <si>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</si>
  <si>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</si>
  <si>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</si>
  <si>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</si>
  <si>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</si>
  <si>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</si>
  <si>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</si>
  <si>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</si>
  <si>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</si>
  <si>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</si>
  <si>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</si>
  <si>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</si>
  <si>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</si>
  <si>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</si>
  <si>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</si>
  <si>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</si>
  <si>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</si>
  <si>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</si>
  <si>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</si>
  <si>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</si>
  <si>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</si>
  <si>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</si>
  <si>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</si>
  <si>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</si>
  <si>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</si>
  <si>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</si>
  <si>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</si>
  <si>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</si>
  <si>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</si>
  <si>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</si>
  <si>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</si>
  <si>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</si>
  <si>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</si>
  <si>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</si>
  <si>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</si>
  <si>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</si>
  <si>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</si>
  <si>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</si>
  <si>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</si>
  <si>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</si>
  <si>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</si>
  <si>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</si>
  <si>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</si>
  <si>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</si>
  <si>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</si>
  <si>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</si>
  <si>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</si>
  <si>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</si>
  <si>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</si>
  <si>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</si>
  <si>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</si>
  <si>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</si>
  <si>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</si>
  <si>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</si>
  <si>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</si>
  <si>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</si>
  <si>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</si>
  <si>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</si>
  <si>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</si>
  <si>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</si>
  <si>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</si>
  <si>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</si>
  <si>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</si>
  <si>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</si>
  <si>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</si>
  <si>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</si>
  <si>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</si>
  <si>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</si>
  <si>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</si>
  <si>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</si>
  <si>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</si>
  <si>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</si>
  <si>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</si>
  <si>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</si>
  <si>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</si>
  <si>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</si>
  <si>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</si>
  <si>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</si>
  <si>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</si>
  <si>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</si>
  <si>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</si>
  <si>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</si>
  <si>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</si>
  <si>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</si>
  <si>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</si>
  <si>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</si>
  <si>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</si>
  <si>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</si>
  <si>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</si>
  <si>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</si>
  <si>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</si>
  <si>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</si>
  <si>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</si>
  <si>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</si>
  <si>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</si>
  <si>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</si>
  <si>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</si>
  <si>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</si>
  <si>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</si>
  <si>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</si>
  <si>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</si>
  <si>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</si>
  <si>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</si>
  <si>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</si>
  <si>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</si>
  <si>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</si>
  <si>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</si>
  <si>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</si>
  <si>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</si>
  <si>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</si>
  <si>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</si>
  <si>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</si>
  <si>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</si>
  <si>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</si>
  <si>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</si>
  <si>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</si>
  <si>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</si>
  <si>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</si>
  <si>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</si>
  <si>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</si>
  <si>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</si>
  <si>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</si>
  <si>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</si>
  <si>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</si>
  <si>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</si>
  <si>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</si>
  <si>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</si>
  <si>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</si>
  <si>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</si>
  <si>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</si>
  <si>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</si>
  <si>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</si>
  <si>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</si>
  <si>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</si>
  <si>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</si>
  <si>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</si>
  <si>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</si>
  <si>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</si>
  <si>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</si>
  <si>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</si>
  <si>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</si>
  <si>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</si>
  <si>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</si>
  <si>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</si>
  <si>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</si>
  <si>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</si>
  <si>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</si>
  <si>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</si>
  <si>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</si>
  <si>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</si>
  <si>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</si>
  <si>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</si>
  <si>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</si>
  <si>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</si>
  <si>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</si>
  <si>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</si>
  <si>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</si>
  <si>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</si>
  <si>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</si>
  <si>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</si>
  <si>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</si>
  <si>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</si>
  <si>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</si>
  <si>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</si>
  <si>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</si>
  <si>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</si>
  <si>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</si>
  <si>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</si>
  <si>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</si>
  <si>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</si>
  <si>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</si>
  <si>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</si>
  <si>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</si>
  <si>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</si>
  <si>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</si>
  <si>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</si>
  <si>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</si>
  <si>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</si>
  <si>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</si>
  <si>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</si>
  <si>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</si>
  <si>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</si>
  <si>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</si>
  <si>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</si>
  <si>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</si>
  <si>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</si>
  <si>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</si>
  <si>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</si>
  <si>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</si>
  <si>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</si>
  <si>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</si>
  <si>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</si>
  <si>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</si>
  <si>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</si>
  <si>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</si>
  <si>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</si>
  <si>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</si>
  <si>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</si>
  <si>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</si>
  <si>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</si>
  <si>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</si>
  <si>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</si>
  <si>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</si>
  <si>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</si>
  <si>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</si>
  <si>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</si>
  <si>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</si>
  <si>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</si>
  <si>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</si>
  <si>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</si>
  <si>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</si>
  <si>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</si>
  <si>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</si>
  <si>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</si>
  <si>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</si>
  <si>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</si>
  <si>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</si>
  <si>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</si>
  <si>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</si>
  <si>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</si>
  <si>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</si>
  <si>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</si>
  <si>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</si>
  <si>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</si>
  <si>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</si>
  <si>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</si>
  <si>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</si>
  <si>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</si>
  <si>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</si>
  <si>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</si>
  <si>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</si>
  <si>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</si>
  <si>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</si>
  <si>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</si>
  <si>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</si>
  <si>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</si>
  <si>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</si>
  <si>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</si>
  <si>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</si>
  <si>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</si>
  <si>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</si>
  <si>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</si>
  <si>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</si>
  <si>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</si>
  <si>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</si>
  <si>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</si>
  <si>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</si>
  <si>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</si>
  <si>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</si>
  <si>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</si>
  <si>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</si>
  <si>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</si>
  <si>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</si>
  <si>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</si>
  <si>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</si>
  <si>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</si>
  <si>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</si>
  <si>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</si>
  <si>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</si>
  <si>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</si>
  <si>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</si>
  <si>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</si>
  <si>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</si>
  <si>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</si>
  <si>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</si>
  <si>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</si>
  <si>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</si>
  <si>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</si>
  <si>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</si>
  <si>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</si>
  <si>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</si>
  <si>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</si>
  <si>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</si>
  <si>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</si>
  <si>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</si>
  <si>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</si>
  <si>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</si>
  <si>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</si>
  <si>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</si>
  <si>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</si>
  <si>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</si>
  <si>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</si>
  <si>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</si>
  <si>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</si>
  <si>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</si>
  <si>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</si>
  <si>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</si>
  <si>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</si>
  <si>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</si>
  <si>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</si>
  <si>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</si>
  <si>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</si>
  <si>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</si>
  <si>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</si>
  <si>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</si>
  <si>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</si>
  <si>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</si>
  <si>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</si>
  <si>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</si>
  <si>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</si>
  <si>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</si>
  <si>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</si>
  <si>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</si>
  <si>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</si>
  <si>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</si>
  <si>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</si>
  <si>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</si>
  <si>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</si>
  <si>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</si>
  <si>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</si>
  <si>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</si>
  <si>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</si>
  <si>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</si>
  <si>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</si>
  <si>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</si>
  <si>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</si>
  <si>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</si>
  <si>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</si>
  <si>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</si>
  <si>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</si>
  <si>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</si>
  <si>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</si>
  <si>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</si>
  <si>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</si>
  <si>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</si>
  <si>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</si>
  <si>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</si>
  <si>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</si>
  <si>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</si>
  <si>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</si>
  <si>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</si>
  <si>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</si>
  <si>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</si>
  <si>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</si>
  <si>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</si>
  <si>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</si>
  <si>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</si>
  <si>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</si>
  <si>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</si>
  <si>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</si>
  <si>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</si>
  <si>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</si>
  <si>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</si>
  <si>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</si>
  <si>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</si>
  <si>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</si>
  <si>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</si>
  <si>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</si>
  <si>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</si>
  <si>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</si>
  <si>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</si>
  <si>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</si>
  <si>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</si>
  <si>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</si>
  <si>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</si>
  <si>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</si>
  <si>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</si>
  <si>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</si>
  <si>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</si>
  <si>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</si>
  <si>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</si>
  <si>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</si>
  <si>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</si>
  <si>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</si>
  <si>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</si>
  <si>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</si>
  <si>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</si>
  <si>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</si>
  <si>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</si>
  <si>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</si>
  <si>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</si>
  <si>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</si>
  <si>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</si>
  <si>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</si>
  <si>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</si>
  <si>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</si>
  <si>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</si>
  <si>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</si>
  <si>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</si>
  <si>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</si>
  <si>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</si>
  <si>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</si>
  <si>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</si>
  <si>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</si>
  <si>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</si>
  <si>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</si>
  <si>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</si>
  <si>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</si>
  <si>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</si>
  <si>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</si>
  <si>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</si>
  <si>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</si>
  <si>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</si>
  <si>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</si>
  <si>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</si>
  <si>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</si>
  <si>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</si>
  <si>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</si>
  <si>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</si>
  <si>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</si>
  <si>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</si>
  <si>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</si>
  <si>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</si>
  <si>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</si>
  <si>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</si>
  <si>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</si>
  <si>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</si>
  <si>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</si>
  <si>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</si>
  <si>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</si>
  <si>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</si>
  <si>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</si>
  <si>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</si>
  <si>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</si>
  <si>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</si>
  <si>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</si>
  <si>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</si>
  <si>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</si>
  <si>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</si>
  <si>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</si>
  <si>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</si>
  <si>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</si>
  <si>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</si>
  <si>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</si>
  <si>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</si>
  <si>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</si>
  <si>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</si>
  <si>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</si>
  <si>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</si>
  <si>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</si>
  <si>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</si>
  <si>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</si>
  <si>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</si>
  <si>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</si>
  <si>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</si>
  <si>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</si>
  <si>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</si>
  <si>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</si>
  <si>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</si>
  <si>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</si>
  <si>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</si>
  <si>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</si>
  <si>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</si>
  <si>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</si>
  <si>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</si>
  <si>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</si>
  <si>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</si>
  <si>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</si>
  <si>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</si>
  <si>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</si>
  <si>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</si>
  <si>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</si>
  <si>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</si>
  <si>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</si>
  <si>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</si>
  <si>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</si>
  <si>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</si>
  <si>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</si>
  <si>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</si>
  <si>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</si>
  <si>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</si>
  <si>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</si>
  <si>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</si>
  <si>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</si>
  <si>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</si>
  <si>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</si>
  <si>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</si>
  <si>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</si>
  <si>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</si>
  <si>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</si>
  <si>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</si>
  <si>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</si>
  <si>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</si>
  <si>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</si>
  <si>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</si>
  <si>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</si>
  <si>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</si>
  <si>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</si>
  <si>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</si>
  <si>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</si>
  <si>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</si>
  <si>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</si>
  <si>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</si>
  <si>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</si>
  <si>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</si>
  <si>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</si>
  <si>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</si>
  <si>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</si>
  <si>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</si>
  <si>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</si>
  <si>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</si>
  <si>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</si>
  <si>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</si>
  <si>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</si>
  <si>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</si>
  <si>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</si>
  <si>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</si>
  <si>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</si>
  <si>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</si>
  <si>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</si>
  <si>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</si>
  <si>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</si>
  <si>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</si>
  <si>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</si>
  <si>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</si>
  <si>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</si>
  <si>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</si>
  <si>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</si>
  <si>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</si>
  <si>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</si>
  <si>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</si>
  <si>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</si>
  <si>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</si>
  <si>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</si>
  <si>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</si>
  <si>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</si>
  <si>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</si>
  <si>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</si>
  <si>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</si>
  <si>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</si>
  <si>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</si>
  <si>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</si>
  <si>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</si>
  <si>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</si>
  <si>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</si>
  <si>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</si>
  <si>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</si>
  <si>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</si>
  <si>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</si>
  <si>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</si>
  <si>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</si>
  <si>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</si>
  <si>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</si>
  <si>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</si>
  <si>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</si>
  <si>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</si>
  <si>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</si>
  <si>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</si>
  <si>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</si>
  <si>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</si>
  <si>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</si>
  <si>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</si>
  <si>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</si>
  <si>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</si>
  <si>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</si>
  <si>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</si>
  <si>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</si>
  <si>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</si>
  <si>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</si>
  <si>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</si>
  <si>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</si>
  <si>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</si>
  <si>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</si>
  <si>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</si>
  <si>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</si>
  <si>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</si>
  <si>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</si>
  <si>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</si>
  <si>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</si>
  <si>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</si>
  <si>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</si>
  <si>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</si>
  <si>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</si>
  <si>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</si>
  <si>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</si>
  <si>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</si>
  <si>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</si>
  <si>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</si>
  <si>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</si>
  <si>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</si>
  <si>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</si>
  <si>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</si>
  <si>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</si>
  <si>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</si>
  <si>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</si>
  <si>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</si>
  <si>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</si>
  <si>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</si>
  <si>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</si>
  <si>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</si>
  <si>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</si>
  <si>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</si>
  <si>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</si>
  <si>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</si>
  <si>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</si>
  <si>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</si>
  <si>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</si>
  <si>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</si>
  <si>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</si>
  <si>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</si>
  <si>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</si>
  <si>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</si>
  <si>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</si>
  <si>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</si>
  <si>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</si>
  <si>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</si>
  <si>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</si>
  <si>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</si>
  <si>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</si>
  <si>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</si>
  <si>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</si>
  <si>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</si>
  <si>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</si>
  <si>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</si>
  <si>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</si>
  <si>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</si>
  <si>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</si>
  <si>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</si>
  <si>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</si>
  <si>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</si>
  <si>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</si>
  <si>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</si>
  <si>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</si>
  <si>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</si>
  <si>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</si>
  <si>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</si>
  <si>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</si>
  <si>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</si>
  <si>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</si>
  <si>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</si>
  <si>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</si>
  <si>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</si>
  <si>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</si>
  <si>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</si>
  <si>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</si>
  <si>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</si>
  <si>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</si>
  <si>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</si>
  <si>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</si>
  <si>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</si>
  <si>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</si>
  <si>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</si>
  <si>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</si>
  <si>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</si>
  <si>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</si>
  <si>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</si>
  <si>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</si>
  <si>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</si>
  <si>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</si>
  <si>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</si>
  <si>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</si>
  <si>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</si>
  <si>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</si>
  <si>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</si>
  <si>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</si>
  <si>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</si>
  <si>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</si>
  <si>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</si>
  <si>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</si>
  <si>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</si>
  <si>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</si>
  <si>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</si>
  <si>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</si>
  <si>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</si>
  <si>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</si>
  <si>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</si>
  <si>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</si>
  <si>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</si>
  <si>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</si>
  <si>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</si>
  <si>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</si>
  <si>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</si>
  <si>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</si>
  <si>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</si>
  <si>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</si>
  <si>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</si>
  <si>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</si>
  <si>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</si>
  <si>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</si>
  <si>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</si>
  <si>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</si>
  <si>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</si>
  <si>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</si>
  <si>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</si>
  <si>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</si>
  <si>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</si>
  <si>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</si>
  <si>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</si>
  <si>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</si>
  <si>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</si>
  <si>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</si>
  <si>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</si>
  <si>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</si>
  <si>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</si>
  <si>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</si>
  <si>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</si>
  <si>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</si>
  <si>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</si>
  <si>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</si>
  <si>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</si>
  <si>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</si>
  <si>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</si>
  <si>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</si>
  <si>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</si>
  <si>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</si>
  <si>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</si>
  <si>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</si>
  <si>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</si>
  <si>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</si>
  <si>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</si>
  <si>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</si>
  <si>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</si>
  <si>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</si>
  <si>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</si>
  <si>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</si>
  <si>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</si>
  <si>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</si>
  <si>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</si>
  <si>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</si>
  <si>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</si>
  <si>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</si>
  <si>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</si>
  <si>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</si>
  <si>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</si>
  <si>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</si>
  <si>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</si>
  <si>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</si>
  <si>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</si>
  <si>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</si>
  <si>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</si>
  <si>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</si>
  <si>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</si>
  <si>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</si>
  <si>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</si>
  <si>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</si>
  <si>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</si>
  <si>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</si>
  <si>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</si>
  <si>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</si>
  <si>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</si>
  <si>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</si>
  <si>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</si>
  <si>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</si>
  <si>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</si>
  <si>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</si>
  <si>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</si>
  <si>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</si>
  <si>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</si>
  <si>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</si>
  <si>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</si>
  <si>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</si>
  <si>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</si>
  <si>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</si>
  <si>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</si>
  <si>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</si>
  <si>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</si>
  <si>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</si>
  <si>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</si>
  <si>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</si>
  <si>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</si>
  <si>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</si>
  <si>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</si>
  <si>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</si>
  <si>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</si>
  <si>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</si>
  <si>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</si>
  <si>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</si>
  <si>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</si>
  <si>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</si>
  <si>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</si>
  <si>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</si>
  <si>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</si>
  <si>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</si>
  <si>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</si>
  <si>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</si>
  <si>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</si>
  <si>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</si>
  <si>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</si>
  <si>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</si>
  <si>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</si>
  <si>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</si>
  <si>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</si>
  <si>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</si>
  <si>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</si>
  <si>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</si>
  <si>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</si>
  <si>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</si>
  <si>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</si>
  <si>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</si>
  <si>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</si>
  <si>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</si>
  <si>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</si>
  <si>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</si>
  <si>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</si>
  <si>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</si>
  <si>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</si>
  <si>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</si>
  <si>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</si>
  <si>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</si>
  <si>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</si>
  <si>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</si>
  <si>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</si>
  <si>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</si>
  <si>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</si>
  <si>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</si>
  <si>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</si>
  <si>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</si>
  <si>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</si>
  <si>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</si>
  <si>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</si>
  <si>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Distance Horizon Vector</t>
  </si>
  <si>
    <t>DstHrznVect</t>
  </si>
  <si>
    <t>HrznAryCalcn_lDstHrznVect_INT</t>
  </si>
  <si>
    <t>Vehicle Velocity Horizon Vector</t>
  </si>
  <si>
    <t>VehVHrznVect</t>
  </si>
  <si>
    <t>HrznAryCalcn_vVehVHrznVect_INT</t>
  </si>
  <si>
    <t>Distance Horizon Current Value</t>
  </si>
  <si>
    <t>DstHrznCurrVal</t>
  </si>
  <si>
    <t>HrznAryCalcn_lDstHrznCurrVal_INT</t>
  </si>
  <si>
    <t>Vehicle Velocity Current Value</t>
  </si>
  <si>
    <t>Vehicle Velocity Horizon Current Value</t>
  </si>
  <si>
    <t>VehVCurrVal</t>
  </si>
  <si>
    <t>HrznAryCalcn_vVehVHrznCurrVal_INT</t>
  </si>
  <si>
    <t>HrznAryCalcn_lVehPosn_INT</t>
  </si>
  <si>
    <t>Coolant Set Point Time Break Point</t>
  </si>
  <si>
    <t>CooltSetPntTiBreakPnt</t>
  </si>
  <si>
    <t>EgyFlowCoorr_tCooltSetPntTiBreakPnt_INT</t>
  </si>
  <si>
    <t>RealRPU_tCooltSp_INT</t>
  </si>
  <si>
    <t>HrznAryCalcn_lVehPosn_INT/Energy Flow Coordinator</t>
  </si>
  <si>
    <t>HrznAryCalcn_lDstHrznVect_INT/Energy Flow Coordinator</t>
  </si>
  <si>
    <t>HrznAryCalcn_vVehVHrznVect_INT/Energy Flow Coordinator</t>
  </si>
  <si>
    <t>RealRPU_tCooltSp_INT/Energy Flow Coordinator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</si>
</sst>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1226820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365760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topLeftCell="L1" zoomScale="70" zoomScaleNormal="70" zoomScalePageLayoutView="80" workbookViewId="0">
      <pane ySplit="2" topLeftCell="A443" activePane="bottomLeft" state="frozen"/>
      <selection pane="bottomLeft" activeCell="T443" sqref="T443"/>
    </sheetView>
  </sheetViews>
  <sheetFormatPr baseColWidth="10"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3">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3">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3">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3">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3">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3">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3">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3">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3">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3">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3">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3">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3">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3">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3">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3">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3">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3">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3">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3">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3">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3">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3">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3">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3">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3">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3">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3">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3">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3">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3">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3">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3">
      <c r="A462" t="s">
        <v>4219</v>
      </c>
      <c r="B462" t="s">
        <v>4220</v>
      </c>
      <c r="C462" t="s">
        <v>4221</v>
      </c>
      <c r="D462" t="s">
        <v>37</v>
      </c>
      <c r="E462" t="s">
        <v>3843</v>
      </c>
      <c r="F462" t="s">
        <v>35</v>
      </c>
      <c r="G462" t="s">
        <v>2694</v>
      </c>
      <c r="H462" s="8" t="s">
        <v>64</v>
      </c>
      <c r="J462" s="16" t="s">
        <v>4222</v>
      </c>
      <c r="K462" t="s">
        <v>14</v>
      </c>
      <c r="L462" t="s">
        <v>2659</v>
      </c>
      <c r="M462" s="17">
        <v>0</v>
      </c>
      <c r="N462" s="17">
        <v>1000000000</v>
      </c>
      <c r="O462" s="17">
        <v>2.3283064000000002E-3</v>
      </c>
      <c r="P462">
        <v>4294967296</v>
      </c>
      <c r="Q462" t="s">
        <v>2660</v>
      </c>
      <c r="R462" t="s">
        <v>2660</v>
      </c>
    </row>
    <row r="463" spans="1:18" x14ac:dyDescent="0.3">
      <c r="A463" t="s">
        <v>4223</v>
      </c>
      <c r="B463" t="s">
        <v>4223</v>
      </c>
      <c r="C463" t="s">
        <v>4224</v>
      </c>
      <c r="D463" t="s">
        <v>2782</v>
      </c>
      <c r="E463" t="s">
        <v>3535</v>
      </c>
      <c r="F463" t="s">
        <v>34</v>
      </c>
      <c r="G463" t="s">
        <v>2700</v>
      </c>
      <c r="H463" s="8" t="s">
        <v>79</v>
      </c>
      <c r="J463" s="16" t="s">
        <v>4225</v>
      </c>
      <c r="K463" t="s">
        <v>14</v>
      </c>
      <c r="L463" t="s">
        <v>2659</v>
      </c>
      <c r="M463" s="17">
        <v>0</v>
      </c>
      <c r="N463" s="17">
        <v>100</v>
      </c>
      <c r="O463" s="17">
        <v>2.33E-8</v>
      </c>
      <c r="P463">
        <v>4294967296</v>
      </c>
      <c r="Q463" t="s">
        <v>2660</v>
      </c>
      <c r="R463" t="s">
        <v>2660</v>
      </c>
    </row>
    <row r="464" spans="1:18" x14ac:dyDescent="0.3">
      <c r="A464" t="s">
        <v>4226</v>
      </c>
      <c r="B464" t="s">
        <v>4226</v>
      </c>
      <c r="C464" t="s">
        <v>4227</v>
      </c>
      <c r="D464" t="s">
        <v>2782</v>
      </c>
      <c r="E464" t="s">
        <v>3535</v>
      </c>
      <c r="F464" t="s">
        <v>34</v>
      </c>
      <c r="G464" t="s">
        <v>2700</v>
      </c>
      <c r="H464" s="8" t="s">
        <v>79</v>
      </c>
      <c r="J464" s="16" t="s">
        <v>4228</v>
      </c>
      <c r="K464" t="s">
        <v>14</v>
      </c>
      <c r="L464" t="s">
        <v>2659</v>
      </c>
      <c r="M464" s="17">
        <v>0</v>
      </c>
      <c r="N464" s="17">
        <v>100</v>
      </c>
      <c r="O464" s="17">
        <v>2.33E-8</v>
      </c>
      <c r="P464">
        <v>4294967296</v>
      </c>
      <c r="Q464" t="s">
        <v>2660</v>
      </c>
      <c r="R464" t="s">
        <v>2660</v>
      </c>
    </row>
    <row r="465" spans="1:18" x14ac:dyDescent="0.3">
      <c r="A465" t="s">
        <v>4229</v>
      </c>
      <c r="B465" t="s">
        <v>4229</v>
      </c>
      <c r="C465" t="s">
        <v>4230</v>
      </c>
      <c r="D465" t="s">
        <v>2782</v>
      </c>
      <c r="E465" t="s">
        <v>3535</v>
      </c>
      <c r="F465" t="s">
        <v>34</v>
      </c>
      <c r="G465" t="s">
        <v>2700</v>
      </c>
      <c r="H465" s="8" t="s">
        <v>79</v>
      </c>
      <c r="J465" s="16" t="s">
        <v>4231</v>
      </c>
      <c r="K465" t="s">
        <v>14</v>
      </c>
      <c r="L465" t="s">
        <v>2659</v>
      </c>
      <c r="M465" s="17">
        <v>0</v>
      </c>
      <c r="N465" s="17">
        <v>100</v>
      </c>
      <c r="O465" s="17">
        <v>2.33E-8</v>
      </c>
      <c r="P465">
        <v>4294967296</v>
      </c>
      <c r="Q465" t="s">
        <v>2660</v>
      </c>
      <c r="R465" t="s">
        <v>2660</v>
      </c>
    </row>
    <row r="466" spans="1:18" x14ac:dyDescent="0.3">
      <c r="A466" t="s">
        <v>3664</v>
      </c>
      <c r="B466" t="s">
        <v>3664</v>
      </c>
      <c r="C466" t="s">
        <v>4232</v>
      </c>
      <c r="D466" t="s">
        <v>2782</v>
      </c>
      <c r="E466" t="s">
        <v>3535</v>
      </c>
      <c r="F466" t="s">
        <v>34</v>
      </c>
      <c r="G466" t="s">
        <v>2700</v>
      </c>
      <c r="H466" s="8" t="s">
        <v>79</v>
      </c>
      <c r="J466" s="16" t="s">
        <v>4233</v>
      </c>
      <c r="K466" t="s">
        <v>14</v>
      </c>
      <c r="L466" t="s">
        <v>2659</v>
      </c>
      <c r="M466" s="17">
        <v>0</v>
      </c>
      <c r="N466" s="17">
        <v>100</v>
      </c>
      <c r="O466" s="17">
        <v>2.33E-8</v>
      </c>
      <c r="P466">
        <v>4294967296</v>
      </c>
      <c r="Q466" t="s">
        <v>2660</v>
      </c>
      <c r="R466" t="s">
        <v>2660</v>
      </c>
    </row>
    <row r="467" spans="1:18" x14ac:dyDescent="0.3">
      <c r="A467" t="s">
        <v>4234</v>
      </c>
      <c r="B467" t="s">
        <v>4235</v>
      </c>
      <c r="C467" t="s">
        <v>4236</v>
      </c>
      <c r="D467" t="s">
        <v>2789</v>
      </c>
      <c r="E467" t="s">
        <v>2789</v>
      </c>
      <c r="F467" t="s">
        <v>35</v>
      </c>
      <c r="G467" t="s">
        <v>2786</v>
      </c>
      <c r="H467" s="8" t="s">
        <v>96</v>
      </c>
      <c r="J467" s="16" t="s">
        <v>4237</v>
      </c>
      <c r="K467" t="s">
        <v>14</v>
      </c>
      <c r="L467" t="s">
        <v>2659</v>
      </c>
      <c r="M467" s="17">
        <v>-250</v>
      </c>
      <c r="N467" s="17">
        <v>1000</v>
      </c>
      <c r="O467" s="17">
        <v>2.91E-7</v>
      </c>
      <c r="P467">
        <v>4294967296</v>
      </c>
      <c r="Q467" t="s">
        <v>2660</v>
      </c>
      <c r="R467" t="s">
        <v>2660</v>
      </c>
    </row>
    <row r="468" spans="1:18" x14ac:dyDescent="0.3">
      <c r="A468" t="s">
        <v>4238</v>
      </c>
      <c r="B468" t="s">
        <v>4238</v>
      </c>
      <c r="C468" t="s">
        <v>1413</v>
      </c>
      <c r="D468" t="s">
        <v>2674</v>
      </c>
      <c r="E468" t="s">
        <v>2674</v>
      </c>
      <c r="F468" t="s">
        <v>35</v>
      </c>
      <c r="G468" t="s">
        <v>2678</v>
      </c>
      <c r="H468" s="8" t="s">
        <v>76</v>
      </c>
      <c r="J468" s="16" t="s">
        <v>4242</v>
      </c>
      <c r="K468" t="s">
        <v>14</v>
      </c>
      <c r="L468" t="s">
        <v>2659</v>
      </c>
      <c r="M468" s="17">
        <v>-180</v>
      </c>
      <c r="N468" s="17">
        <v>180</v>
      </c>
      <c r="O468" s="17">
        <v>8.3799999999999996E-8</v>
      </c>
      <c r="P468">
        <v>4294967296</v>
      </c>
      <c r="Q468" t="s">
        <v>2660</v>
      </c>
      <c r="R468" t="s">
        <v>2660</v>
      </c>
    </row>
    <row r="469" spans="1:18" x14ac:dyDescent="0.3">
      <c r="A469" t="s">
        <v>4240</v>
      </c>
      <c r="B469" t="s">
        <v>4240</v>
      </c>
      <c r="C469" t="s">
        <v>1356</v>
      </c>
      <c r="D469" t="s">
        <v>2674</v>
      </c>
      <c r="E469" t="s">
        <v>2674</v>
      </c>
      <c r="F469" t="s">
        <v>35</v>
      </c>
      <c r="G469" t="s">
        <v>2678</v>
      </c>
      <c r="H469" s="8" t="s">
        <v>76</v>
      </c>
      <c r="J469" s="16" t="s">
        <v>4241</v>
      </c>
      <c r="K469" t="s">
        <v>14</v>
      </c>
      <c r="L469" t="s">
        <v>2659</v>
      </c>
      <c r="M469" s="17">
        <v>-180</v>
      </c>
      <c r="N469" s="17">
        <v>180</v>
      </c>
      <c r="O469" s="17">
        <v>8.3799999999999996E-8</v>
      </c>
      <c r="P469">
        <v>4294967296</v>
      </c>
      <c r="Q469" t="s">
        <v>2660</v>
      </c>
      <c r="R469" t="s">
        <v>2660</v>
      </c>
    </row>
    <row r="470" spans="1:18" x14ac:dyDescent="0.3">
      <c r="A470" t="s">
        <v>2753</v>
      </c>
      <c r="B470" t="s">
        <v>2754</v>
      </c>
      <c r="C470" t="s">
        <v>2755</v>
      </c>
      <c r="D470" t="s">
        <v>2782</v>
      </c>
      <c r="E470" t="s">
        <v>4020</v>
      </c>
      <c r="F470" t="s">
        <v>35</v>
      </c>
      <c r="G470" t="s">
        <v>2756</v>
      </c>
      <c r="H470" s="8" t="s">
        <v>1679</v>
      </c>
      <c r="J470" s="16" t="s">
        <v>4243</v>
      </c>
      <c r="K470" t="s">
        <v>14</v>
      </c>
      <c r="L470" t="s">
        <v>2659</v>
      </c>
      <c r="M470" s="17">
        <v>0</v>
      </c>
      <c r="N470" s="17">
        <v>400000000</v>
      </c>
      <c r="O470" s="17">
        <v>9.3132257499999996E-2</v>
      </c>
      <c r="P470" s="75">
        <v>4294967296</v>
      </c>
      <c r="Q470" t="s">
        <v>3835</v>
      </c>
      <c r="R470" t="s">
        <v>2660</v>
      </c>
    </row>
    <row r="471" spans="1:18" x14ac:dyDescent="0.3">
      <c r="A471" t="s">
        <v>4264</v>
      </c>
      <c r="B471" t="s">
        <v>4264</v>
      </c>
      <c r="C471" t="s">
        <v>4265</v>
      </c>
      <c r="D471" t="s">
        <v>2782</v>
      </c>
      <c r="E471" t="s">
        <v>4105</v>
      </c>
      <c r="F471" t="s">
        <v>34</v>
      </c>
      <c r="G471" t="s">
        <v>2694</v>
      </c>
      <c r="H471" s="8" t="s">
        <v>64</v>
      </c>
      <c r="J471" s="16" t="s">
        <v>4266</v>
      </c>
      <c r="K471" t="s">
        <v>14</v>
      </c>
      <c r="L471" t="s">
        <v>4033</v>
      </c>
      <c r="M471" s="17">
        <v>-2147483648</v>
      </c>
      <c r="N471" s="17">
        <v>2147483647</v>
      </c>
      <c r="O471" s="17">
        <v>1</v>
      </c>
      <c r="P471">
        <v>4294967296</v>
      </c>
      <c r="Q471" t="s">
        <v>3835</v>
      </c>
      <c r="R471" t="s">
        <v>2660</v>
      </c>
    </row>
    <row r="472" spans="1:18" x14ac:dyDescent="0.3">
      <c r="A472" t="s">
        <v>4267</v>
      </c>
      <c r="B472" t="s">
        <v>4267</v>
      </c>
      <c r="C472" t="s">
        <v>4268</v>
      </c>
      <c r="D472" t="s">
        <v>2782</v>
      </c>
      <c r="E472" t="s">
        <v>4105</v>
      </c>
      <c r="F472" t="s">
        <v>34</v>
      </c>
      <c r="G472" t="s">
        <v>2657</v>
      </c>
      <c r="H472" s="8" t="s">
        <v>3053</v>
      </c>
      <c r="J472" s="16" t="s">
        <v>4269</v>
      </c>
      <c r="K472" t="s">
        <v>14</v>
      </c>
      <c r="L472" t="s">
        <v>4033</v>
      </c>
      <c r="M472" s="17">
        <v>-2147483648</v>
      </c>
      <c r="N472" s="17">
        <v>2147483647</v>
      </c>
      <c r="O472" s="17">
        <v>1</v>
      </c>
      <c r="P472">
        <v>4294967296</v>
      </c>
      <c r="Q472" t="s">
        <v>3835</v>
      </c>
      <c r="R472" t="s">
        <v>2660</v>
      </c>
    </row>
    <row r="473" spans="1:18" x14ac:dyDescent="0.3">
      <c r="A473" t="s">
        <v>4270</v>
      </c>
      <c r="B473" t="s">
        <v>4270</v>
      </c>
      <c r="C473" t="s">
        <v>4271</v>
      </c>
      <c r="D473" t="s">
        <v>2782</v>
      </c>
      <c r="E473" t="s">
        <v>4105</v>
      </c>
      <c r="F473" t="s">
        <v>34</v>
      </c>
      <c r="G473" t="s">
        <v>2694</v>
      </c>
      <c r="H473" s="8" t="s">
        <v>64</v>
      </c>
      <c r="J473" s="16" t="s">
        <v>4272</v>
      </c>
      <c r="K473" t="s">
        <v>14</v>
      </c>
      <c r="L473" t="s">
        <v>2659</v>
      </c>
      <c r="M473" s="17">
        <v>0</v>
      </c>
      <c r="N473" s="17">
        <v>10000000</v>
      </c>
      <c r="O473" s="17">
        <v>2.3283064000000002E-3</v>
      </c>
      <c r="P473">
        <v>4294967296</v>
      </c>
      <c r="Q473" t="s">
        <v>2660</v>
      </c>
      <c r="R473" t="s">
        <v>2660</v>
      </c>
    </row>
    <row r="474" spans="1:18" x14ac:dyDescent="0.3">
      <c r="A474" t="s">
        <v>4273</v>
      </c>
      <c r="B474" t="s">
        <v>4274</v>
      </c>
      <c r="C474" t="s">
        <v>4275</v>
      </c>
      <c r="D474" t="s">
        <v>2782</v>
      </c>
      <c r="E474" t="s">
        <v>4105</v>
      </c>
      <c r="F474" t="s">
        <v>34</v>
      </c>
      <c r="G474" t="s">
        <v>2657</v>
      </c>
      <c r="H474" s="8" t="s">
        <v>3053</v>
      </c>
      <c r="J474" s="16" t="s">
        <v>4276</v>
      </c>
      <c r="K474" t="s">
        <v>14</v>
      </c>
      <c r="L474" t="s">
        <v>2659</v>
      </c>
      <c r="M474" s="17">
        <v>0</v>
      </c>
      <c r="N474" s="17">
        <v>150</v>
      </c>
      <c r="O474" s="17">
        <v>3.4900000000000001E-8</v>
      </c>
      <c r="P474">
        <v>4294967296</v>
      </c>
      <c r="Q474" t="s">
        <v>2660</v>
      </c>
      <c r="R474" t="s">
        <v>2660</v>
      </c>
    </row>
    <row r="475" spans="1:18" x14ac:dyDescent="0.3">
      <c r="A475" t="s">
        <v>3864</v>
      </c>
      <c r="B475" t="s">
        <v>3864</v>
      </c>
      <c r="C475" t="s">
        <v>3865</v>
      </c>
      <c r="D475" t="s">
        <v>2782</v>
      </c>
      <c r="E475" t="s">
        <v>4105</v>
      </c>
      <c r="F475" t="s">
        <v>34</v>
      </c>
      <c r="G475" t="s">
        <v>2694</v>
      </c>
      <c r="H475" s="8" t="s">
        <v>64</v>
      </c>
      <c r="J475" s="16" t="s">
        <v>4277</v>
      </c>
      <c r="K475" t="s">
        <v>14</v>
      </c>
      <c r="L475" t="s">
        <v>2659</v>
      </c>
      <c r="M475" s="17">
        <v>-2147483648</v>
      </c>
      <c r="N475" s="17">
        <v>2147483647</v>
      </c>
      <c r="O475" s="17">
        <v>1</v>
      </c>
      <c r="P475">
        <v>4294967296</v>
      </c>
      <c r="Q475" t="s">
        <v>2660</v>
      </c>
      <c r="R475" t="s">
        <v>2660</v>
      </c>
    </row>
    <row r="476" spans="1:18" x14ac:dyDescent="0.3">
      <c r="A476" t="s">
        <v>4278</v>
      </c>
      <c r="B476" t="s">
        <v>4278</v>
      </c>
      <c r="C476" t="s">
        <v>4279</v>
      </c>
      <c r="D476" t="s">
        <v>2782</v>
      </c>
      <c r="E476" t="s">
        <v>3535</v>
      </c>
      <c r="F476" t="s">
        <v>34</v>
      </c>
      <c r="G476" t="s">
        <v>2786</v>
      </c>
      <c r="H476" s="8" t="s">
        <v>96</v>
      </c>
      <c r="J476" s="16" t="s">
        <v>4280</v>
      </c>
      <c r="K476" t="s">
        <v>14</v>
      </c>
      <c r="L476" t="s">
        <v>2659</v>
      </c>
      <c r="M476" s="17">
        <v>0</v>
      </c>
      <c r="N476" s="17">
        <v>150</v>
      </c>
      <c r="O476" s="17">
        <v>3.4900000000000001E-8</v>
      </c>
      <c r="P476">
        <v>4294967296</v>
      </c>
      <c r="Q476" t="s">
        <v>2660</v>
      </c>
      <c r="R476" t="s">
        <v>2660</v>
      </c>
    </row>
    <row r="477" spans="1:18" x14ac:dyDescent="0.3">
      <c r="A477" t="s">
        <v>3120</v>
      </c>
      <c r="B477" t="s">
        <v>3121</v>
      </c>
      <c r="C477" t="s">
        <v>3122</v>
      </c>
      <c r="D477" t="s">
        <v>2782</v>
      </c>
      <c r="E477" t="s">
        <v>4020</v>
      </c>
      <c r="F477" t="s">
        <v>34</v>
      </c>
      <c r="G477" t="s">
        <v>2786</v>
      </c>
      <c r="H477" s="8" t="s">
        <v>96</v>
      </c>
      <c r="J477" s="16" t="s">
        <v>4281</v>
      </c>
      <c r="K477" t="s">
        <v>14</v>
      </c>
      <c r="L477" t="s">
        <v>2659</v>
      </c>
      <c r="M477" s="17">
        <v>-273.14999999999998</v>
      </c>
      <c r="N477" s="17">
        <v>1500</v>
      </c>
      <c r="O477" s="17">
        <v>4.1279999999999999E-7</v>
      </c>
      <c r="P477">
        <v>4294967296</v>
      </c>
      <c r="Q477" t="s">
        <v>2660</v>
      </c>
      <c r="R477" t="s">
        <v>2660</v>
      </c>
    </row>
    <row r="478" spans="1:18" x14ac:dyDescent="0.3">
      <c r="M478" s="17"/>
      <c r="N478" s="17"/>
      <c r="O478" s="17"/>
    </row>
    <row r="479" spans="1:18" x14ac:dyDescent="0.3">
      <c r="M479" s="17"/>
      <c r="N479" s="17"/>
      <c r="O479" s="17"/>
    </row>
    <row r="480" spans="1:18"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7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1226820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85" zoomScaleNormal="85" zoomScalePageLayoutView="70" workbookViewId="0">
      <pane xSplit="1" ySplit="2" topLeftCell="AN39" activePane="bottomRight" state="frozen"/>
      <selection pane="topRight" activeCell="B1" sqref="B1"/>
      <selection pane="bottomLeft" activeCell="A3" sqref="A3"/>
      <selection pane="bottomRight" activeCell="AM1073" sqref="AM1073"/>
    </sheetView>
  </sheetViews>
  <sheetFormatPr baseColWidth="10"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3320312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7"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7"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7"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7"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7" customHeight="1" x14ac:dyDescent="0.3">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7"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7"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7"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7"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7"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7"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7"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7"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7"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7"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7"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7"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7"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7"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7"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7"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7"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7"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7"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7"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7"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7"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7"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7"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7"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7"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7"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7"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7"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7"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7"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7" customHeight="1" x14ac:dyDescent="0.3">
      <c r="A39" s="9" t="str">
        <f>IF(ISBLANK('Signal Definition'!J39),"",'Signal Definition'!J39)</f>
        <v>ExhATSysMdl_tOxdCatUs_PHY</v>
      </c>
      <c r="B39" s="9">
        <f t="array" ref="B39">COUNT(FIND("input",$D39:$BY39))</f>
        <v>3</v>
      </c>
      <c r="C39" s="9">
        <f t="array" ref="C39">COUNT(FIND("output",$D39:$BY39))</f>
        <v>1</v>
      </c>
      <c r="J39" t="s">
        <v>2670</v>
      </c>
      <c r="L39" t="s">
        <v>2661</v>
      </c>
      <c r="AG39" t="s">
        <v>2670</v>
      </c>
      <c r="AN39" t="s">
        <v>2670</v>
      </c>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7" customHeight="1" x14ac:dyDescent="0.3">
      <c r="A40" s="9" t="str">
        <f>IF(ISBLANK('Signal Definition'!J40),"",'Signal Definition'!J40)</f>
        <v>ExhATSysMdl_tPMFilUs_PHY</v>
      </c>
      <c r="B40" s="9">
        <f t="array" ref="B40">COUNT(FIND("input",$D40:$BY40))</f>
        <v>2</v>
      </c>
      <c r="C40" s="9">
        <f t="array" ref="C40">COUNT(FIND("output",$D40:$BY40))</f>
        <v>1</v>
      </c>
      <c r="L40" t="s">
        <v>2661</v>
      </c>
      <c r="AG40" t="s">
        <v>2670</v>
      </c>
      <c r="AN40" t="s">
        <v>2670</v>
      </c>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7" customHeight="1" x14ac:dyDescent="0.3">
      <c r="A41" s="9" t="str">
        <f>IF(ISBLANK('Signal Definition'!J41),"",'Signal Definition'!J41)</f>
        <v>ExhATSysMdl_tPMFilDs_PHY</v>
      </c>
      <c r="B41" s="9">
        <f t="array" ref="B41">COUNT(FIND("input",$D41:$BY41))</f>
        <v>4</v>
      </c>
      <c r="C41" s="9">
        <f t="array" ref="C41">COUNT(FIND("output",$D41:$BY41))</f>
        <v>1</v>
      </c>
      <c r="J41" t="s">
        <v>2670</v>
      </c>
      <c r="L41" t="s">
        <v>2661</v>
      </c>
      <c r="Y41" t="s">
        <v>2670</v>
      </c>
      <c r="AG41" t="s">
        <v>2670</v>
      </c>
      <c r="AN41" t="s">
        <v>2670</v>
      </c>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7"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7" customHeight="1" x14ac:dyDescent="0.3">
      <c r="A43" s="9" t="str">
        <f>IF(ISBLANK('Signal Definition'!J43),"",'Signal Definition'!J43)</f>
        <v>ExhATSysMdl_tASCDs_PHY</v>
      </c>
      <c r="B43" s="9">
        <f t="array" ref="B43">COUNT(FIND("input",$D43:$BY43))</f>
        <v>1</v>
      </c>
      <c r="C43" s="9">
        <f t="array" ref="C43">COUNT(FIND("output",$D43:$BY43))</f>
        <v>1</v>
      </c>
      <c r="L43" t="s">
        <v>2661</v>
      </c>
      <c r="AN43" t="s">
        <v>2670</v>
      </c>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7"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7"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7"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7"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7"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7"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7"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7"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7"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7"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7"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7"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7"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7"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7"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7"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7"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7"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7"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7"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7"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7"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7"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7"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7"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7"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7"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7"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7"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7"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7"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7"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7"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7"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7"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7"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7"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7"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7"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7"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7"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7"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7"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7"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7"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7"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7"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7"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7"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7"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7"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7"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7"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7"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7"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7"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7"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7"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7"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7"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7"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7"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7"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7"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7"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7"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7"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7"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7"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7"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7"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7"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7"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7"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7"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7"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7"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7"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7"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7"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7"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7"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7"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7"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7"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7"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7"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7"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7"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7"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7"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7"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7"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7"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7" customHeight="1" x14ac:dyDescent="0.3">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7"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7"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7"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7"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7"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7"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7"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7"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7"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7"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7"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7"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7"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7"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7"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7"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7"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7"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7"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7"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7"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7"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7"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7"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7"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7"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7"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7"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7"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7"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7"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7"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7"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7"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7"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7"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7"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7"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7"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7"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7"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7"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7"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7"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7"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7"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7"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7"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7"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7"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7"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7"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7"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7"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7"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7"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7"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7"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7"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7"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7"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7"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7"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41" ht="14.7"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41" ht="14.7"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7"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7"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41" ht="14.7" customHeight="1" x14ac:dyDescent="0.3">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7" customHeight="1" x14ac:dyDescent="0.3">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7"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9" ht="14.7"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9" ht="14.7"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9" ht="14.7"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9" ht="14.7"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9" ht="14.7"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9" ht="14.7"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9" ht="14.7"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9" ht="14.7" customHeight="1" x14ac:dyDescent="0.3">
      <c r="A216" s="9" t="str">
        <f>IF(ISBLANK('Signal Definition'!J216),"",'Signal Definition'!J216)</f>
        <v>TestCfg_mIniNh3LoadUreaCat_PHY</v>
      </c>
      <c r="B216" s="9">
        <f t="array" ref="B216">COUNT(FIND("input",$D216:$BY216))</f>
        <v>3</v>
      </c>
      <c r="C216" s="9">
        <f t="array" ref="C216">COUNT(FIND("output",$D216:$BY216))</f>
        <v>1</v>
      </c>
      <c r="J216" t="s">
        <v>2670</v>
      </c>
      <c r="L216" t="s">
        <v>2670</v>
      </c>
      <c r="AA216" t="s">
        <v>2661</v>
      </c>
      <c r="AM216" t="s">
        <v>2670</v>
      </c>
    </row>
    <row r="217" spans="1:39" ht="14.7"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39" ht="14.7"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39" ht="14.7"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9" ht="14.7"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9" ht="14.7"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39" ht="14.7"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39" ht="14.7"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9" ht="14.7"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7"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7"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7" customHeight="1" x14ac:dyDescent="0.3">
      <c r="A227" s="9" t="str">
        <f>IF(ISBLANK('Signal Definition'!J227),"",'Signal Definition'!J227)</f>
        <v>TestCfg_tIniDOCUs_PHY</v>
      </c>
      <c r="B227" s="9">
        <f t="array" ref="B227">COUNT(FIND("input",$D227:$BY227))</f>
        <v>1</v>
      </c>
      <c r="C227" s="9">
        <f t="array" ref="C227">COUNT(FIND("output",$D227:$BY227))</f>
        <v>1</v>
      </c>
      <c r="L227" t="s">
        <v>2670</v>
      </c>
      <c r="AA227" t="s">
        <v>2661</v>
      </c>
    </row>
    <row r="228" spans="1:40" ht="14.7" customHeight="1" x14ac:dyDescent="0.3">
      <c r="A228" s="9" t="str">
        <f>IF(ISBLANK('Signal Definition'!J228),"",'Signal Definition'!J228)</f>
        <v>TestCfg_tIniDPFUs_PHY</v>
      </c>
      <c r="B228" s="9">
        <f t="array" ref="B228">COUNT(FIND("input",$D228:$BY228))</f>
        <v>1</v>
      </c>
      <c r="C228" s="9">
        <f t="array" ref="C228">COUNT(FIND("output",$D228:$BY228))</f>
        <v>1</v>
      </c>
      <c r="L228" t="s">
        <v>2670</v>
      </c>
      <c r="AA228" t="s">
        <v>2661</v>
      </c>
    </row>
    <row r="229" spans="1:40" ht="14.7" customHeight="1" x14ac:dyDescent="0.3">
      <c r="A229" s="9" t="str">
        <f>IF(ISBLANK('Signal Definition'!J229),"",'Signal Definition'!J229)</f>
        <v>TestCfg_tIniSCRUs_PHY</v>
      </c>
      <c r="B229" s="9">
        <f t="array" ref="B229">COUNT(FIND("input",$D229:$BY229))</f>
        <v>3</v>
      </c>
      <c r="C229" s="9">
        <f t="array" ref="C229">COUNT(FIND("output",$D229:$BY229))</f>
        <v>1</v>
      </c>
      <c r="J229" t="s">
        <v>2670</v>
      </c>
      <c r="L229" t="s">
        <v>2670</v>
      </c>
      <c r="AA229" t="s">
        <v>2661</v>
      </c>
      <c r="AM229" t="s">
        <v>2670</v>
      </c>
    </row>
    <row r="230" spans="1:40" ht="14.7" customHeight="1" x14ac:dyDescent="0.3">
      <c r="A230" s="9" t="str">
        <f>IF(ISBLANK('Signal Definition'!J230),"",'Signal Definition'!J230)</f>
        <v>TestCfg_tIniASCUs_PHY</v>
      </c>
      <c r="B230" s="9">
        <f t="array" ref="B230">COUNT(FIND("input",$D230:$BY230))</f>
        <v>1</v>
      </c>
      <c r="C230" s="9">
        <f t="array" ref="C230">COUNT(FIND("output",$D230:$BY230))</f>
        <v>1</v>
      </c>
      <c r="L230" t="s">
        <v>2670</v>
      </c>
      <c r="AA230" t="s">
        <v>2661</v>
      </c>
    </row>
    <row r="231" spans="1:40" ht="14.7"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7"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7" customHeight="1" x14ac:dyDescent="0.3">
      <c r="A233" s="9" t="str">
        <f>IF(ISBLANK('Signal Definition'!J233),"",'Signal Definition'!J233)</f>
        <v>ExhATSysMdl_mNh3SCR_PHY</v>
      </c>
      <c r="B233" s="9">
        <f t="array" ref="B233">COUNT(FIND("input",$D233:$BY233))</f>
        <v>1</v>
      </c>
      <c r="C233" s="9">
        <f t="array" ref="C233">COUNT(FIND("output",$D233:$BY233))</f>
        <v>1</v>
      </c>
      <c r="L233" t="s">
        <v>2661</v>
      </c>
      <c r="AN233" t="s">
        <v>2670</v>
      </c>
    </row>
    <row r="234" spans="1:40" ht="14.7"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7"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7"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7"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7"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7"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7"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7"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7"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7"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7"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7"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7"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7"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7"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7"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7"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7"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7"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7"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7"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7" customHeight="1" x14ac:dyDescent="0.3">
      <c r="A255" s="9" t="str">
        <f>IF(ISBLANK('Signal Definition'!J255),"",'Signal Definition'!J255)</f>
        <v>PredtnHrznGenr_tiVectHrznSho_PHY</v>
      </c>
      <c r="B255" s="9">
        <f t="array" ref="B255">COUNT(FIND("input",$D255:$BY255))</f>
        <v>0</v>
      </c>
      <c r="C255" s="9">
        <f t="array" ref="C255">COUNT(FIND("output",$D255:$BY255))</f>
        <v>1</v>
      </c>
      <c r="AE255" t="s">
        <v>2661</v>
      </c>
    </row>
    <row r="256" spans="1:31" ht="14.7" customHeight="1" x14ac:dyDescent="0.3">
      <c r="A256" s="9" t="str">
        <f>IF(ISBLANK('Signal Definition'!J256),"",'Signal Definition'!J256)</f>
        <v>PredtnHrznGenr_tiVectHrznLong_PHY</v>
      </c>
      <c r="B256" s="9">
        <f t="array" ref="B256">COUNT(FIND("input",$D256:$BY256))</f>
        <v>0</v>
      </c>
      <c r="C256" s="9">
        <f t="array" ref="C256">COUNT(FIND("output",$D256:$BY256))</f>
        <v>1</v>
      </c>
      <c r="AE256" t="s">
        <v>2661</v>
      </c>
    </row>
    <row r="257" spans="1:41" ht="14.7" customHeight="1" x14ac:dyDescent="0.3">
      <c r="A257" s="9" t="str">
        <f>IF(ISBLANK('Signal Definition'!J257),"",'Signal Definition'!J257)</f>
        <v>PredtnHrznGenr_trqVectHrznLong_PHY</v>
      </c>
      <c r="B257" s="9">
        <f t="array" ref="B257">COUNT(FIND("input",$D257:$BY257))</f>
        <v>0</v>
      </c>
      <c r="C257" s="9">
        <f t="array" ref="C257">COUNT(FIND("output",$D257:$BY257))</f>
        <v>1</v>
      </c>
      <c r="AE257" t="s">
        <v>2661</v>
      </c>
    </row>
    <row r="258" spans="1:41" ht="14.7" customHeight="1" x14ac:dyDescent="0.3">
      <c r="A258" s="9" t="str">
        <f>IF(ISBLANK('Signal Definition'!J258),"",'Signal Definition'!J258)</f>
        <v>PredtnHrznGenr_trqVectHrznSho_PHY</v>
      </c>
      <c r="B258" s="9">
        <f t="array" ref="B258">COUNT(FIND("input",$D258:$BY258))</f>
        <v>0</v>
      </c>
      <c r="C258" s="9">
        <f t="array" ref="C258">COUNT(FIND("output",$D258:$BY258))</f>
        <v>1</v>
      </c>
      <c r="AE258" t="s">
        <v>2661</v>
      </c>
    </row>
    <row r="259" spans="1:41" ht="14.7" customHeight="1" x14ac:dyDescent="0.3">
      <c r="A259" s="9" t="str">
        <f>IF(ISBLANK('Signal Definition'!J259),"",'Signal Definition'!J259)</f>
        <v>PredtnHrznGenr_nVectHrznSho_PHY</v>
      </c>
      <c r="B259" s="9">
        <f t="array" ref="B259">COUNT(FIND("input",$D259:$BY259))</f>
        <v>0</v>
      </c>
      <c r="C259" s="9">
        <f t="array" ref="C259">COUNT(FIND("output",$D259:$BY259))</f>
        <v>1</v>
      </c>
      <c r="AE259" t="s">
        <v>2661</v>
      </c>
    </row>
    <row r="260" spans="1:41" ht="14.7" customHeight="1" x14ac:dyDescent="0.3">
      <c r="A260" s="9" t="str">
        <f>IF(ISBLANK('Signal Definition'!J260),"",'Signal Definition'!J260)</f>
        <v>PredtnHrznGenr_nVectHrznLong_PHY</v>
      </c>
      <c r="B260" s="9">
        <f t="array" ref="B260">COUNT(FIND("input",$D260:$BY260))</f>
        <v>0</v>
      </c>
      <c r="C260" s="9">
        <f t="array" ref="C260">COUNT(FIND("output",$D260:$BY260))</f>
        <v>1</v>
      </c>
      <c r="AE260" t="s">
        <v>2661</v>
      </c>
    </row>
    <row r="261" spans="1:41" ht="14.7" customHeight="1" x14ac:dyDescent="0.3">
      <c r="A261" s="9" t="str">
        <f>IF(ISBLANK('Signal Definition'!J261),"",'Signal Definition'!J261)</f>
        <v>PredtnHrznGenr_idxVectHrznLenLong_PHY</v>
      </c>
      <c r="B261" s="9">
        <f t="array" ref="B261">COUNT(FIND("input",$D261:$BY261))</f>
        <v>0</v>
      </c>
      <c r="C261" s="9">
        <f t="array" ref="C261">COUNT(FIND("output",$D261:$BY261))</f>
        <v>1</v>
      </c>
      <c r="AE261" t="s">
        <v>2661</v>
      </c>
    </row>
    <row r="262" spans="1:41" ht="14.7" customHeight="1" x14ac:dyDescent="0.3">
      <c r="A262" s="9" t="str">
        <f>IF(ISBLANK('Signal Definition'!J262),"",'Signal Definition'!J262)</f>
        <v>PredtnHrznGenr_idxVectHrznLenSho_PHY</v>
      </c>
      <c r="B262" s="9">
        <f t="array" ref="B262">COUNT(FIND("input",$D262:$BY262))</f>
        <v>0</v>
      </c>
      <c r="C262" s="9">
        <f t="array" ref="C262">COUNT(FIND("output",$D262:$BY262))</f>
        <v>1</v>
      </c>
      <c r="AE262" t="s">
        <v>2661</v>
      </c>
    </row>
    <row r="263" spans="1:41" ht="14.7" customHeight="1" x14ac:dyDescent="0.3">
      <c r="A263" s="9" t="str">
        <f>IF(ISBLANK('Signal Definition'!J263),"",'Signal Definition'!J263)</f>
        <v>PredtnHrznGenr_tiHrznLenSho_PHY</v>
      </c>
      <c r="B263" s="9">
        <f t="array" ref="B263">COUNT(FIND("input",$D263:$BY263))</f>
        <v>0</v>
      </c>
      <c r="C263" s="9">
        <f t="array" ref="C263">COUNT(FIND("output",$D263:$BY263))</f>
        <v>1</v>
      </c>
      <c r="AE263" t="s">
        <v>2661</v>
      </c>
    </row>
    <row r="264" spans="1:41" ht="14.7" customHeight="1" x14ac:dyDescent="0.3">
      <c r="A264" s="9" t="str">
        <f>IF(ISBLANK('Signal Definition'!J264),"",'Signal Definition'!J264)</f>
        <v>PredtnHrznGenr_tiHrznLenLong_PHY</v>
      </c>
      <c r="B264" s="9">
        <f t="array" ref="B264">COUNT(FIND("input",$D264:$BY264))</f>
        <v>0</v>
      </c>
      <c r="C264" s="9">
        <f t="array" ref="C264">COUNT(FIND("output",$D264:$BY264))</f>
        <v>1</v>
      </c>
      <c r="AE264" t="s">
        <v>2661</v>
      </c>
    </row>
    <row r="265" spans="1:41" ht="14.7" customHeight="1" x14ac:dyDescent="0.3">
      <c r="A265" s="9" t="str">
        <f>IF(ISBLANK('Signal Definition'!J265),"",'Signal Definition'!J265)</f>
        <v>PredtnHrznGenr_stTrigOptmr_PHY</v>
      </c>
      <c r="B265" s="9">
        <f t="array" ref="B265">COUNT(FIND("input",$D265:$BY265))</f>
        <v>0</v>
      </c>
      <c r="C265" s="9">
        <f t="array" ref="C265">COUNT(FIND("output",$D265:$BY265))</f>
        <v>1</v>
      </c>
      <c r="AE265" t="s">
        <v>2661</v>
      </c>
    </row>
    <row r="266" spans="1:41" ht="14.7" customHeight="1" x14ac:dyDescent="0.3">
      <c r="A266" s="9" t="str">
        <f>IF(ISBLANK('Signal Definition'!J266),"",'Signal Definition'!J266)</f>
        <v>PredtnHrznGenr_swtExtSrcPredtnData_PHY</v>
      </c>
      <c r="B266" s="9">
        <f t="array" ref="B266">COUNT(FIND("input",$D266:$BY266))</f>
        <v>0</v>
      </c>
      <c r="C266" s="9">
        <f t="array" ref="C266">COUNT(FIND("output",$D266:$BY266))</f>
        <v>1</v>
      </c>
      <c r="AE266" t="s">
        <v>2661</v>
      </c>
    </row>
    <row r="267" spans="1:41" ht="14.7" customHeight="1" x14ac:dyDescent="0.3">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7" customHeight="1" x14ac:dyDescent="0.3">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7" customHeight="1" x14ac:dyDescent="0.3">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7" customHeight="1" x14ac:dyDescent="0.3">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7"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7"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7"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7"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7"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7"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7"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7"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7"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7"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7"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7"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7"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7"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7"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7"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7"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7" customHeight="1" x14ac:dyDescent="0.3">
      <c r="A288" s="9" t="str">
        <f>IF(ISBLANK('Signal Definition'!J288),"",'Signal Definition'!J288)</f>
        <v>EngCtrl_numEngOpertgModOvrd_INT</v>
      </c>
      <c r="B288" s="9">
        <f t="array" ref="B288">COUNT(FIND("input",$D288:$BY288))</f>
        <v>0</v>
      </c>
      <c r="C288" s="9">
        <f t="array" ref="C288">COUNT(FIND("output",$D288:$BY288))</f>
        <v>1</v>
      </c>
      <c r="Y288" t="s">
        <v>2661</v>
      </c>
    </row>
    <row r="289" spans="1:41" ht="14.7"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7"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1" ht="14.7"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7" customHeight="1" x14ac:dyDescent="0.3">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7" customHeight="1" x14ac:dyDescent="0.3">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7" customHeight="1" x14ac:dyDescent="0.3">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7" customHeight="1" x14ac:dyDescent="0.3">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7" customHeight="1" x14ac:dyDescent="0.3">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7" customHeight="1" x14ac:dyDescent="0.3">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7" customHeight="1" x14ac:dyDescent="0.3">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7" customHeight="1" x14ac:dyDescent="0.3">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7" customHeight="1" x14ac:dyDescent="0.3">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7" customHeight="1" x14ac:dyDescent="0.3">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7"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7"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7"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7"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7"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7"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7"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7"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7"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7"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7"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7"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7"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7"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7"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7"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7"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7"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7"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7"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7"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7"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7"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7"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7"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7"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7"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7"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7"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7"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7"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7"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7"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7"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7"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7"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7"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7"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7"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7"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7"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7"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7"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7"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7"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7"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7"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7"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7"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7"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7"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7"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7"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7"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7"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7"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7"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7"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7"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7"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7"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7"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7"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7"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7"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7"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7"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7"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7"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7"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7"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7"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7"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7"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7"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7"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7"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7"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7"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7"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7"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7"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7"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7"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7"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7"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7"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7"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7"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7"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7"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7"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7"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7"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7"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7"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7"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7"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7"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7"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7"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7"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7"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7"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7"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7"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7"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7"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7"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7"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7"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7"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7"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7"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1" ht="14.7"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1" ht="14.7"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1"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7"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7"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7"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7"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3">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3">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3">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3">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3">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3">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3">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3">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3">
      <c r="A436" s="9" t="str">
        <f>IF(ISBLANK('Signal Definition'!J436),"",'Signal Definition'!J436)</f>
        <v>HrznAryCalcn_numNrHrznVldElm_INT</v>
      </c>
      <c r="B436" s="9">
        <f t="array" ref="B436">COUNT(FIND("input",$D436:$BY436))</f>
        <v>2</v>
      </c>
      <c r="C436" s="9">
        <f t="array" ref="C436">COUNT(FIND("output",$D436:$BY436))</f>
        <v>1</v>
      </c>
      <c r="Z436" t="s">
        <v>2670</v>
      </c>
      <c r="AN436" t="s">
        <v>2670</v>
      </c>
      <c r="AO436" t="s">
        <v>2661</v>
      </c>
    </row>
    <row r="437" spans="1:41" x14ac:dyDescent="0.3">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3">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3">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3">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3">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3">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3">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3">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3">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3">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3">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3">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3">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3">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3">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3">
      <c r="A452" s="9" t="str">
        <f>IF(ISBLANK('Signal Definition'!J452),"",'Signal Definition'!J452)</f>
        <v>HrznAryCalcn_lDstHrznLst_INT</v>
      </c>
      <c r="B452" s="9">
        <f t="array" ref="B452">COUNT(FIND("input",$D452:$BY452))</f>
        <v>0</v>
      </c>
      <c r="C452" s="9">
        <f t="array" ref="C452">COUNT(FIND("output",$D452:$BY452))</f>
        <v>1</v>
      </c>
      <c r="AO452" t="s">
        <v>2661</v>
      </c>
    </row>
    <row r="453" spans="1:41" x14ac:dyDescent="0.3">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3">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3">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3">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3">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3">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3">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3">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3">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3">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3">
      <c r="A463" s="9" t="str">
        <f>IF(ISBLANK('Signal Definition'!J463),"",'Signal Definition'!J463)</f>
        <v>EgyFlowCoorr_prcDeltaEngLoad_INT</v>
      </c>
      <c r="B463" s="9">
        <f t="array" ref="B463">COUNT(FIND("input",$D463:$BY463))</f>
        <v>0</v>
      </c>
      <c r="C463" s="9">
        <f t="array" ref="C463">COUNT(FIND("output",$D463:$BY463))</f>
        <v>0</v>
      </c>
    </row>
    <row r="464" spans="1:41" x14ac:dyDescent="0.3">
      <c r="A464" s="9" t="str">
        <f>IF(ISBLANK('Signal Definition'!J464),"",'Signal Definition'!J464)</f>
        <v>EgyFlowCoorr_prcEngLoadPrevFlMean_INT</v>
      </c>
      <c r="B464" s="9">
        <f t="array" ref="B464">COUNT(FIND("input",$D464:$BY464))</f>
        <v>0</v>
      </c>
      <c r="C464" s="9">
        <f t="array" ref="C464">COUNT(FIND("output",$D464:$BY464))</f>
        <v>0</v>
      </c>
    </row>
    <row r="465" spans="1:41" x14ac:dyDescent="0.3">
      <c r="A465" s="9" t="str">
        <f>IF(ISBLANK('Signal Definition'!J465),"",'Signal Definition'!J465)</f>
        <v>EgyFlowCoorr_prcEngLoadHrznFlMeanCurrVal_INT</v>
      </c>
      <c r="B465" s="9">
        <f t="array" ref="B465">COUNT(FIND("input",$D465:$BY465))</f>
        <v>0</v>
      </c>
      <c r="C465" s="9">
        <f t="array" ref="C465">COUNT(FIND("output",$D465:$BY465))</f>
        <v>0</v>
      </c>
    </row>
    <row r="466" spans="1:41" x14ac:dyDescent="0.3">
      <c r="A466" s="9" t="str">
        <f>IF(ISBLANK('Signal Definition'!J466),"",'Signal Definition'!J466)</f>
        <v>EgyFlowCoorr_prcEngLoad_INT</v>
      </c>
      <c r="B466" s="9">
        <f t="array" ref="B466">COUNT(FIND("input",$D466:$BY466))</f>
        <v>0</v>
      </c>
      <c r="C466" s="9">
        <f t="array" ref="C466">COUNT(FIND("output",$D466:$BY466))</f>
        <v>0</v>
      </c>
    </row>
    <row r="467" spans="1:41" x14ac:dyDescent="0.3">
      <c r="A467" s="9" t="str">
        <f>IF(ISBLANK('Signal Definition'!J467),"",'Signal Definition'!J467)</f>
        <v>EngMdl_tCmprDs_PHY</v>
      </c>
      <c r="B467" s="9">
        <f t="array" ref="B467">COUNT(FIND("input",$D467:$BY467))</f>
        <v>0</v>
      </c>
      <c r="C467" s="9">
        <f t="array" ref="C467">COUNT(FIND("output",$D467:$BY467))</f>
        <v>1</v>
      </c>
      <c r="K467" t="s">
        <v>2661</v>
      </c>
    </row>
    <row r="468" spans="1:41" x14ac:dyDescent="0.3">
      <c r="A468" s="9" t="str">
        <f>IF(ISBLANK('Signal Definition'!J468),"",'Signal Definition'!J468)</f>
        <v>EnvMdl_phiLon_PHY</v>
      </c>
      <c r="B468" s="9">
        <f t="array" ref="B468">COUNT(FIND("input",$D468:$BY468))</f>
        <v>1</v>
      </c>
      <c r="C468" s="9">
        <f t="array" ref="C468">COUNT(FIND("output",$D468:$BY468))</f>
        <v>1</v>
      </c>
      <c r="F468" t="s">
        <v>2661</v>
      </c>
      <c r="AG468" t="s">
        <v>2670</v>
      </c>
    </row>
    <row r="469" spans="1:41" x14ac:dyDescent="0.3">
      <c r="A469" s="9" t="str">
        <f>IF(ISBLANK('Signal Definition'!J469),"",'Signal Definition'!J469)</f>
        <v>EnvMdl_phiLat_PHY</v>
      </c>
      <c r="B469" s="9">
        <f t="array" ref="B469">COUNT(FIND("input",$D469:$BY469))</f>
        <v>1</v>
      </c>
      <c r="C469" s="9">
        <f t="array" ref="C469">COUNT(FIND("output",$D469:$BY469))</f>
        <v>1</v>
      </c>
      <c r="F469" t="s">
        <v>2661</v>
      </c>
      <c r="AG469" t="s">
        <v>2670</v>
      </c>
    </row>
    <row r="470" spans="1:41" x14ac:dyDescent="0.3">
      <c r="A470" s="9" t="str">
        <f>IF(ISBLANK('Signal Definition'!J470),"",'Signal Definition'!J470)</f>
        <v>RealRPU_pFuRailDes_PHY</v>
      </c>
      <c r="B470" s="9">
        <f t="array" ref="B470">COUNT(FIND("input",$D470:$BY470))</f>
        <v>1</v>
      </c>
      <c r="C470" s="9">
        <f t="array" ref="C470">COUNT(FIND("output",$D470:$BY470))</f>
        <v>1</v>
      </c>
      <c r="AG470" t="s">
        <v>2670</v>
      </c>
      <c r="AL470" t="s">
        <v>2661</v>
      </c>
    </row>
    <row r="471" spans="1:41" x14ac:dyDescent="0.3">
      <c r="A471" s="9" t="str">
        <f>IF(ISBLANK('Signal Definition'!J471),"",'Signal Definition'!J471)</f>
        <v>HrznAryCalcn_lDstHrznVect_INT</v>
      </c>
      <c r="B471" s="9">
        <f t="array" ref="B471">COUNT(FIND("input",$D471:$BY471))</f>
        <v>1</v>
      </c>
      <c r="C471" s="9">
        <f t="array" ref="C471">COUNT(FIND("output",$D471:$BY471))</f>
        <v>1</v>
      </c>
      <c r="Z471" t="s">
        <v>2670</v>
      </c>
      <c r="AO471" t="s">
        <v>2661</v>
      </c>
    </row>
    <row r="472" spans="1:41" x14ac:dyDescent="0.3">
      <c r="A472" s="9" t="str">
        <f>IF(ISBLANK('Signal Definition'!J472),"",'Signal Definition'!J472)</f>
        <v>HrznAryCalcn_vVehVHrznVect_INT</v>
      </c>
      <c r="B472" s="9">
        <f t="array" ref="B472">COUNT(FIND("input",$D472:$BY472))</f>
        <v>1</v>
      </c>
      <c r="C472" s="9">
        <f t="array" ref="C472">COUNT(FIND("output",$D472:$BY472))</f>
        <v>1</v>
      </c>
      <c r="Z472" t="s">
        <v>2670</v>
      </c>
      <c r="AO472" t="s">
        <v>2661</v>
      </c>
    </row>
    <row r="473" spans="1:41" x14ac:dyDescent="0.3">
      <c r="A473" s="9" t="str">
        <f>IF(ISBLANK('Signal Definition'!J473),"",'Signal Definition'!J473)</f>
        <v>HrznAryCalcn_lDstHrznCurrVal_INT</v>
      </c>
      <c r="B473" s="9">
        <f t="array" ref="B473">COUNT(FIND("input",$D473:$BY473))</f>
        <v>0</v>
      </c>
      <c r="C473" s="9">
        <f t="array" ref="C473">COUNT(FIND("output",$D473:$BY473))</f>
        <v>0</v>
      </c>
    </row>
    <row r="474" spans="1:41" x14ac:dyDescent="0.3">
      <c r="A474" s="9" t="str">
        <f>IF(ISBLANK('Signal Definition'!J474),"",'Signal Definition'!J474)</f>
        <v>HrznAryCalcn_vVehVHrznCurrVal_INT</v>
      </c>
      <c r="B474" s="9">
        <f t="array" ref="B474">COUNT(FIND("input",$D474:$BY474))</f>
        <v>0</v>
      </c>
      <c r="C474" s="9">
        <f t="array" ref="C474">COUNT(FIND("output",$D474:$BY474))</f>
        <v>0</v>
      </c>
    </row>
    <row r="475" spans="1:41" x14ac:dyDescent="0.3">
      <c r="A475" s="9" t="str">
        <f>IF(ISBLANK('Signal Definition'!J475),"",'Signal Definition'!J475)</f>
        <v>HrznAryCalcn_lVehPosn_INT</v>
      </c>
      <c r="B475" s="9">
        <f t="array" ref="B475">COUNT(FIND("input",$D475:$BY475))</f>
        <v>1</v>
      </c>
      <c r="C475" s="9">
        <f t="array" ref="C475">COUNT(FIND("output",$D475:$BY475))</f>
        <v>1</v>
      </c>
      <c r="Z475" t="s">
        <v>2670</v>
      </c>
      <c r="AO475" t="s">
        <v>2661</v>
      </c>
    </row>
    <row r="476" spans="1:41" x14ac:dyDescent="0.3">
      <c r="A476" s="9" t="str">
        <f>IF(ISBLANK('Signal Definition'!J476),"",'Signal Definition'!J476)</f>
        <v>EgyFlowCoorr_tCooltSetPntTiBreakPnt_INT</v>
      </c>
      <c r="B476" s="9">
        <f t="array" ref="B476">COUNT(FIND("input",$D476:$BY476))</f>
        <v>0</v>
      </c>
      <c r="C476" s="9">
        <f t="array" ref="C476">COUNT(FIND("output",$D476:$BY476))</f>
        <v>0</v>
      </c>
    </row>
    <row r="477" spans="1:41" x14ac:dyDescent="0.3">
      <c r="A477" s="9" t="str">
        <f>IF(ISBLANK('Signal Definition'!J477),"",'Signal Definition'!J477)</f>
        <v>RealRPU_tCooltSp_INT</v>
      </c>
      <c r="B477" s="9">
        <f t="array" ref="B477">COUNT(FIND("input",$D477:$BY477))</f>
        <v>1</v>
      </c>
      <c r="C477" s="9">
        <f t="array" ref="C477">COUNT(FIND("output",$D477:$BY477))</f>
        <v>1</v>
      </c>
      <c r="Z477" t="s">
        <v>2670</v>
      </c>
      <c r="AL477" t="s">
        <v>2661</v>
      </c>
    </row>
    <row r="478" spans="1:41" x14ac:dyDescent="0.3">
      <c r="A478" s="9" t="str">
        <f>IF(ISBLANK('Signal Definition'!J478),"",'Signal Definition'!J478)</f>
        <v/>
      </c>
      <c r="B478" s="9">
        <f t="array" ref="B478">COUNT(FIND("input",$D478:$BY478))</f>
        <v>0</v>
      </c>
      <c r="C478" s="9">
        <f t="array" ref="C478">COUNT(FIND("output",$D478:$BY478))</f>
        <v>0</v>
      </c>
    </row>
    <row r="479" spans="1:41" x14ac:dyDescent="0.3">
      <c r="A479" s="9" t="str">
        <f>IF(ISBLANK('Signal Definition'!J479),"",'Signal Definition'!J479)</f>
        <v/>
      </c>
      <c r="B479" s="9">
        <f t="array" ref="B479">COUNT(FIND("input",$D479:$BY479))</f>
        <v>0</v>
      </c>
      <c r="C479" s="9">
        <f t="array" ref="C479">COUNT(FIND("output",$D479:$BY479))</f>
        <v>0</v>
      </c>
    </row>
    <row r="480" spans="1:41"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lgorithmName="SHA-512" hashValue="fD5LgIr60mreRTSf2zr6wM39GCYMfY0578nZ7S0bd2G7D3xePMnWLAu32Quz7KEtFDzuI+F1nCXgYgIdJ0chCw==" saltValue="tQ4MR38uqVTGfVXMNoDnsA=="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7"/>
  <sheetViews>
    <sheetView topLeftCell="A27" zoomScale="95" zoomScaleNormal="95" workbookViewId="0">
      <selection activeCell="I57" sqref="I57"/>
    </sheetView>
  </sheetViews>
  <sheetFormatPr baseColWidth="10"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3">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1E-3</v>
      </c>
    </row>
    <row r="52" spans="1:16" x14ac:dyDescent="0.3">
      <c r="A52" t="s">
        <v>4200</v>
      </c>
      <c r="B52" t="s">
        <v>4201</v>
      </c>
      <c r="C52" t="s">
        <v>4202</v>
      </c>
      <c r="D52" t="s">
        <v>3697</v>
      </c>
      <c r="E52" t="s">
        <v>3849</v>
      </c>
      <c r="F52" t="s">
        <v>2701</v>
      </c>
      <c r="G52" t="s">
        <v>113</v>
      </c>
      <c r="H52" t="s">
        <v>2568</v>
      </c>
      <c r="I52" s="68" t="s">
        <v>4203</v>
      </c>
      <c r="J52" t="s">
        <v>14</v>
      </c>
      <c r="K52">
        <v>0</v>
      </c>
      <c r="L52">
        <v>0</v>
      </c>
      <c r="M52">
        <v>1</v>
      </c>
      <c r="N52">
        <v>2.0000000000000001E-10</v>
      </c>
      <c r="O52">
        <v>4294967296</v>
      </c>
      <c r="P52" s="54">
        <v>0</v>
      </c>
    </row>
    <row r="53" spans="1:16" x14ac:dyDescent="0.3">
      <c r="A53" t="s">
        <v>4204</v>
      </c>
      <c r="B53" t="s">
        <v>4205</v>
      </c>
      <c r="C53" t="s">
        <v>4206</v>
      </c>
      <c r="D53" t="s">
        <v>2716</v>
      </c>
      <c r="E53" t="s">
        <v>2717</v>
      </c>
      <c r="F53" t="s">
        <v>2669</v>
      </c>
      <c r="G53" t="s">
        <v>113</v>
      </c>
      <c r="H53" t="s">
        <v>2568</v>
      </c>
      <c r="I53" s="68" t="s">
        <v>4207</v>
      </c>
      <c r="J53" t="s">
        <v>14</v>
      </c>
      <c r="K53">
        <v>0</v>
      </c>
      <c r="L53">
        <v>0</v>
      </c>
      <c r="M53">
        <v>1</v>
      </c>
      <c r="N53">
        <v>2.0000000000000001E-10</v>
      </c>
      <c r="O53">
        <v>4294967296</v>
      </c>
      <c r="P53" s="54">
        <v>1</v>
      </c>
    </row>
    <row r="54" spans="1:16" x14ac:dyDescent="0.3">
      <c r="A54" t="s">
        <v>4208</v>
      </c>
      <c r="B54" t="s">
        <v>4209</v>
      </c>
      <c r="C54" t="s">
        <v>4210</v>
      </c>
      <c r="D54" t="s">
        <v>2716</v>
      </c>
      <c r="E54" t="s">
        <v>2717</v>
      </c>
      <c r="F54" t="s">
        <v>2669</v>
      </c>
      <c r="G54" t="s">
        <v>113</v>
      </c>
      <c r="H54" t="s">
        <v>2637</v>
      </c>
      <c r="I54" s="68" t="s">
        <v>4211</v>
      </c>
      <c r="J54" t="s">
        <v>14</v>
      </c>
      <c r="K54" t="s">
        <v>4212</v>
      </c>
      <c r="L54">
        <v>0</v>
      </c>
      <c r="M54">
        <v>5</v>
      </c>
      <c r="N54">
        <v>1.2E-9</v>
      </c>
      <c r="O54">
        <v>4294967296</v>
      </c>
      <c r="P54" s="54" t="s">
        <v>4213</v>
      </c>
    </row>
    <row r="55" spans="1:16" x14ac:dyDescent="0.3">
      <c r="A55" t="s">
        <v>4214</v>
      </c>
      <c r="B55" t="s">
        <v>4215</v>
      </c>
      <c r="C55" t="s">
        <v>4216</v>
      </c>
      <c r="D55" t="s">
        <v>2716</v>
      </c>
      <c r="E55" t="s">
        <v>2717</v>
      </c>
      <c r="F55" t="s">
        <v>2669</v>
      </c>
      <c r="G55" t="s">
        <v>113</v>
      </c>
      <c r="H55" t="s">
        <v>2638</v>
      </c>
      <c r="I55" s="68" t="s">
        <v>4217</v>
      </c>
      <c r="J55" t="s">
        <v>14</v>
      </c>
      <c r="K55" t="s">
        <v>4212</v>
      </c>
      <c r="L55">
        <v>0</v>
      </c>
      <c r="M55">
        <v>10</v>
      </c>
      <c r="N55">
        <v>2.2999999999999999E-9</v>
      </c>
      <c r="O55">
        <v>4294967296</v>
      </c>
      <c r="P55" s="54" t="s">
        <v>4218</v>
      </c>
    </row>
    <row r="56" spans="1:16" x14ac:dyDescent="0.3">
      <c r="A56" t="s">
        <v>4244</v>
      </c>
      <c r="B56" t="s">
        <v>4245</v>
      </c>
      <c r="C56" t="s">
        <v>4246</v>
      </c>
      <c r="D56" t="s">
        <v>2716</v>
      </c>
      <c r="E56" t="s">
        <v>2717</v>
      </c>
      <c r="F56" t="s">
        <v>2669</v>
      </c>
      <c r="G56" t="s">
        <v>113</v>
      </c>
      <c r="H56" t="s">
        <v>2568</v>
      </c>
      <c r="I56" s="68" t="s">
        <v>4247</v>
      </c>
      <c r="J56" t="s">
        <v>14</v>
      </c>
      <c r="K56">
        <v>0</v>
      </c>
      <c r="L56">
        <v>0</v>
      </c>
      <c r="M56">
        <v>1</v>
      </c>
      <c r="N56">
        <v>2.0000000000000001E-10</v>
      </c>
      <c r="O56">
        <v>4294967296</v>
      </c>
      <c r="P56" s="54">
        <v>0</v>
      </c>
    </row>
    <row r="57" spans="1:16" x14ac:dyDescent="0.3">
      <c r="A57" t="s">
        <v>4259</v>
      </c>
      <c r="B57" t="s">
        <v>4260</v>
      </c>
      <c r="C57" t="s">
        <v>4261</v>
      </c>
      <c r="D57" t="s">
        <v>2782</v>
      </c>
      <c r="E57" t="s">
        <v>4059</v>
      </c>
      <c r="F57" t="s">
        <v>4262</v>
      </c>
      <c r="G57" t="s">
        <v>113</v>
      </c>
      <c r="H57" t="s">
        <v>2568</v>
      </c>
      <c r="I57" s="68" t="s">
        <v>4263</v>
      </c>
      <c r="J57" t="s">
        <v>14</v>
      </c>
      <c r="K57" t="s">
        <v>2659</v>
      </c>
      <c r="L57">
        <v>0</v>
      </c>
      <c r="M57">
        <v>10</v>
      </c>
      <c r="N57">
        <v>2.2999999999999999E-9</v>
      </c>
      <c r="O57">
        <v>4294967296</v>
      </c>
      <c r="P57" s="54">
        <v>0.84</v>
      </c>
    </row>
  </sheetData>
  <sheetProtection algorithmName="SHA-512" hashValue="8pcu6J2wBqdPSdh3lgvekHKkj6KAlzTO4o+QZ8ZhaY5ibRmVhvz17k4c/daw4SjPEPwgbC8CryTcmeO1i8vDnA==" saltValue="e7krZAm1i6CWkRBQ5aT11A=="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625" zoomScale="85" zoomScaleNormal="85" zoomScalePageLayoutView="85" workbookViewId="0">
      <selection activeCell="B663" sqref="B663"/>
    </sheetView>
  </sheetViews>
  <sheetFormatPr baseColWidth="10"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D39" s="19" t="s">
        <v>4105</v>
      </c>
      <c r="E39" s="20" t="s">
        <v>4106</v>
      </c>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waud866dtfeu3FR4VZHiihfh0GbQPCTATdr1qY+woeScrRoxxQYI4KWeS8g6NG3Afh4y5IsmUKYoDxrS+fomKQ==" saltValue="UqbjEUer4i1n82E8y0AT3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workbookViewId="0">
      <selection activeCell="E23" sqref="E23"/>
    </sheetView>
  </sheetViews>
  <sheetFormatPr baseColWidth="10"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row r="40" spans="1:4" x14ac:dyDescent="0.3">
      <c r="A40" t="s">
        <v>2663</v>
      </c>
      <c r="B40" t="s">
        <v>2782</v>
      </c>
      <c r="C40" t="s">
        <v>4105</v>
      </c>
      <c r="D40" t="s">
        <v>1901</v>
      </c>
    </row>
  </sheetData>
  <sheetProtection algorithmName="SHA-512" hashValue="x1iu+EfVjIAcTae433KziLHV/BZUVOLdRgTYQkwLsZP2bByLRQT4sCN4SF5yp1NMGTWu9NwKeFdxheYs2ZqRyA==" saltValue="BBbYmACYFyQB7twZNcg+Z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1"/>
  <sheetViews>
    <sheetView topLeftCell="C1" workbookViewId="0">
      <selection activeCell="N47" sqref="N47"/>
    </sheetView>
  </sheetViews>
  <sheetFormatPr baseColWidth="10"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4237</v>
      </c>
      <c r="D2" t="s">
        <v>4253</v>
      </c>
      <c r="E2" t="s">
        <v>4248</v>
      </c>
    </row>
    <row r="3" spans="1:5" x14ac:dyDescent="0.3">
      <c r="A3" t="s">
        <v>4239</v>
      </c>
      <c r="D3" t="s">
        <v>4254</v>
      </c>
      <c r="E3" t="s">
        <v>4249</v>
      </c>
    </row>
    <row r="4" spans="1:5" x14ac:dyDescent="0.3">
      <c r="A4" t="s">
        <v>4241</v>
      </c>
      <c r="D4" t="s">
        <v>4255</v>
      </c>
      <c r="E4" t="s">
        <v>4250</v>
      </c>
    </row>
    <row r="5" spans="1:5" x14ac:dyDescent="0.3">
      <c r="A5" t="s">
        <v>4247</v>
      </c>
      <c r="D5" t="s">
        <v>4256</v>
      </c>
      <c r="E5" t="s">
        <v>4251</v>
      </c>
    </row>
    <row r="6" spans="1:5" x14ac:dyDescent="0.3">
      <c r="A6" t="s">
        <v>4263</v>
      </c>
      <c r="D6" t="s">
        <v>4257</v>
      </c>
      <c r="E6" t="s">
        <v>4252</v>
      </c>
    </row>
    <row r="7" spans="1:5" x14ac:dyDescent="0.3">
      <c r="D7" t="s">
        <v>4258</v>
      </c>
    </row>
    <row r="8" spans="1:5" x14ac:dyDescent="0.3">
      <c r="D8" t="s">
        <v>4282</v>
      </c>
    </row>
    <row r="9" spans="1:5" x14ac:dyDescent="0.3">
      <c r="D9" t="s">
        <v>4283</v>
      </c>
    </row>
    <row r="10" spans="1:5" x14ac:dyDescent="0.3">
      <c r="D10" t="s">
        <v>4284</v>
      </c>
    </row>
    <row r="11" spans="1:5" x14ac:dyDescent="0.3">
      <c r="D11" t="s">
        <v>4285</v>
      </c>
    </row>
  </sheetData>
  <sheetProtection algorithmName="SHA-512" hashValue="9vu24VE5wea/DRvSQhohkI7c5ETOBWQRXHDE4x8IAScOoJzEW5FtrjQOUrWa/lnpHZVBaDV8qxw7rDSH2Hs1LQ==" saltValue="F3eiHCvyqMWZMqiVjK+Qr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Wolf, Markus (TP-C)</cp:lastModifiedBy>
  <dcterms:created xsi:type="dcterms:W3CDTF">2017-07-19T08:46:20Z</dcterms:created>
  <dcterms:modified xsi:type="dcterms:W3CDTF">2019-04-10T14:39:14Z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