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sevren\Desktop\"/>
    </mc:Choice>
  </mc:AlternateContent>
  <bookViews>
    <workbookView xWindow="0" yWindow="450" windowWidth="28800" windowHeight="13230" tabRatio="73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V2" i="3"/>
  <c r="R2" i="3"/>
  <c r="AF2" i="3"/>
  <c r="AD2" i="3"/>
  <c r="AP2" i="3"/>
  <c r="AX2" i="3"/>
  <c r="BD2" i="3"/>
  <c r="D2" i="3"/>
  <c r="H2" i="3"/>
  <c r="X2" i="3"/>
  <c r="M2" i="3"/>
  <c r="T2" i="3"/>
  <c r="N2" i="3"/>
  <c r="AI2" i="3"/>
  <c r="AQ2" i="3"/>
  <c r="Y2" i="3"/>
  <c r="BE2" i="3"/>
  <c r="BI2" i="3"/>
  <c r="AN2" i="3"/>
  <c r="AR2" i="3"/>
  <c r="BA2" i="3"/>
  <c r="F2" i="3"/>
  <c r="AE2" i="3"/>
  <c r="E2" i="3"/>
  <c r="AU2" i="3"/>
  <c r="AA2" i="3"/>
  <c r="L2" i="3"/>
  <c r="V2" i="3"/>
  <c r="W2" i="3"/>
  <c r="AZ2" i="3"/>
  <c r="AY2" i="3"/>
  <c r="BH2" i="3"/>
  <c r="J2" i="3"/>
  <c r="BC2" i="3"/>
  <c r="AJ2" i="3"/>
  <c r="AH2" i="3"/>
  <c r="AB2" i="3"/>
  <c r="BK2" i="3"/>
  <c r="AM2" i="3"/>
  <c r="S2" i="3"/>
  <c r="O2" i="3"/>
  <c r="G2" i="3"/>
  <c r="AC2" i="3"/>
  <c r="AL2" i="3"/>
  <c r="AG2" i="3"/>
  <c r="BB2" i="3"/>
  <c r="BG2" i="3"/>
  <c r="BF2" i="3"/>
  <c r="K2" i="3"/>
  <c r="AO2" i="3"/>
  <c r="U2" i="3"/>
  <c r="I2" i="3"/>
  <c r="AS2" i="3"/>
  <c r="AK2" i="3"/>
  <c r="Z2" i="3"/>
  <c r="P2" i="3"/>
  <c r="AT2" i="3"/>
  <c r="Q2" i="3"/>
  <c r="AW2" i="3"/>
  <c r="BJ2" i="3"/>
  <c r="F3" i="5" l="1"/>
  <c r="F2" i="5"/>
  <c r="F6" i="5"/>
  <c r="F8" i="5"/>
  <c r="F4" i="5"/>
  <c r="F5" i="5"/>
  <c r="F7" i="5"/>
</calcChain>
</file>

<file path=xl/sharedStrings.xml><?xml version="1.0" encoding="utf-8"?>
<sst xmlns="http://schemas.openxmlformats.org/spreadsheetml/2006/main" count="10166" uniqueCount="4058">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</sst>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xmlns=""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xmlns=""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xmlns=""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xmlns=""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1200150</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xmlns=""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xmlns=""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xmlns=""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tr-TR"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1"/>
  <sheetViews>
    <sheetView tabSelected="1" topLeftCell="D1" zoomScaleNormal="100" zoomScalePageLayoutView="80" workbookViewId="0">
      <pane ySplit="2" topLeftCell="A197" activePane="bottomLeft" state="frozen"/>
      <selection pane="bottomLeft" activeCell="L292" sqref="L292"/>
    </sheetView>
  </sheetViews>
  <sheetFormatPr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5">
      <c r="A4" t="s">
        <v>2676</v>
      </c>
      <c r="B4" t="s">
        <v>2676</v>
      </c>
      <c r="C4" t="s">
        <v>2677</v>
      </c>
      <c r="D4" t="s">
        <v>2674</v>
      </c>
      <c r="E4" t="s">
        <v>2674</v>
      </c>
      <c r="F4" t="s">
        <v>35</v>
      </c>
      <c r="G4" t="s">
        <v>2700</v>
      </c>
      <c r="H4" s="8" t="s">
        <v>79</v>
      </c>
      <c r="J4" s="16" t="s">
        <v>3895</v>
      </c>
      <c r="K4" t="s">
        <v>14</v>
      </c>
      <c r="L4" t="s">
        <v>2659</v>
      </c>
      <c r="M4" s="17">
        <v>-90</v>
      </c>
      <c r="N4" s="17">
        <v>90</v>
      </c>
      <c r="O4" s="17">
        <v>4.1899999999999998E-8</v>
      </c>
      <c r="P4" s="75">
        <v>4294967296</v>
      </c>
      <c r="Q4" t="s">
        <v>2660</v>
      </c>
      <c r="R4" t="s">
        <v>2660</v>
      </c>
    </row>
    <row r="5" spans="1:18"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5">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5">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5">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5">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5">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5">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5">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5">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5">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5">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5">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5">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5">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5">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5">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5">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5">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5">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5">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5">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5">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5">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5">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5">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5">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5">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5">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5">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5">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5">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5">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5">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5">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5">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5">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5">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5">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5">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5">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5">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5">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5">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5">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5">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5">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5">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5">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5">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5">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5">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5">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5">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5">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5">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5">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5">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5">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5">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5">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5">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5">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5">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5">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5">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5">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5">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5">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5">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5">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5">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5">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5">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5">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5">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5">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5">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5">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5">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5">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5">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5">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5">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5">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5">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5">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5">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5">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5">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5">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5">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5">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5">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5">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5">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5">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5">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5">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5">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5">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5">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5">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5">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5">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5">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5">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5">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5">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5">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5">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5">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5">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5">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5">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5">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5">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5">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5">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5">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5">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5">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5">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5">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5">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5">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5">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5">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5">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5">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5">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5">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5">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5">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5">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5">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5">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5">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5">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5">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5">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5">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5">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5">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5">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5">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5">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5">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5">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5">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5">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5">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5">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5">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5">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5">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5">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5">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5">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5">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5">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5">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5">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5">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5">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5">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5">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5">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5">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5">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5">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5">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5">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5">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5">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5">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5">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5">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5">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5">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5">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5">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5">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5">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5">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5">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5">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5">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5">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5">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5">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5">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5">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5">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5">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5">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5">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5">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5">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5">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5">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5">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5">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5">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5">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5">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5">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5">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5">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5">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5">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5">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5">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5">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5">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5">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5">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5">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5">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5">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5">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5">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5">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5">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5">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5">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5">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5">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5">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5">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5">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5">
      <c r="A236" t="s">
        <v>3833</v>
      </c>
      <c r="B236" t="s">
        <v>3288</v>
      </c>
      <c r="C236" t="s">
        <v>3289</v>
      </c>
      <c r="D236" t="s">
        <v>2782</v>
      </c>
      <c r="E236" t="s">
        <v>3625</v>
      </c>
      <c r="F236" t="s">
        <v>34</v>
      </c>
      <c r="G236" t="s">
        <v>2756</v>
      </c>
      <c r="H236" s="8" t="s">
        <v>1679</v>
      </c>
      <c r="J236" s="16" t="s">
        <v>3834</v>
      </c>
      <c r="K236" t="s">
        <v>14</v>
      </c>
      <c r="L236" t="s">
        <v>4034</v>
      </c>
      <c r="M236" s="17">
        <v>0</v>
      </c>
      <c r="N236" s="17">
        <v>500000</v>
      </c>
      <c r="O236" s="17">
        <v>1.164153E-4</v>
      </c>
      <c r="P236" s="75">
        <v>4294967296</v>
      </c>
      <c r="Q236" t="s">
        <v>3836</v>
      </c>
      <c r="R236" t="s">
        <v>3837</v>
      </c>
    </row>
    <row r="237" spans="1:18" x14ac:dyDescent="0.25">
      <c r="A237" t="s">
        <v>3832</v>
      </c>
      <c r="B237" t="s">
        <v>2816</v>
      </c>
      <c r="C237" t="s">
        <v>2817</v>
      </c>
      <c r="D237" t="s">
        <v>2782</v>
      </c>
      <c r="E237" t="s">
        <v>3625</v>
      </c>
      <c r="F237" t="s">
        <v>34</v>
      </c>
      <c r="G237" t="s">
        <v>2785</v>
      </c>
      <c r="H237" s="8" t="s">
        <v>2599</v>
      </c>
      <c r="J237" s="16" t="s">
        <v>3835</v>
      </c>
      <c r="K237" t="s">
        <v>14</v>
      </c>
      <c r="L237" t="s">
        <v>4034</v>
      </c>
      <c r="M237" s="17">
        <v>0</v>
      </c>
      <c r="N237" s="17">
        <v>5</v>
      </c>
      <c r="O237" s="17">
        <v>1.2E-9</v>
      </c>
      <c r="P237" s="75">
        <v>4294967296</v>
      </c>
      <c r="Q237" t="s">
        <v>3836</v>
      </c>
      <c r="R237" t="s">
        <v>3836</v>
      </c>
    </row>
    <row r="238" spans="1:18" x14ac:dyDescent="0.25">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5">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5">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5">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5">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5">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5">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5">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5">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5">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5">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5">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5">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5">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5">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5">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5">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5">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3836</v>
      </c>
      <c r="R255" t="s">
        <v>3836</v>
      </c>
    </row>
    <row r="256" spans="1:18" x14ac:dyDescent="0.25">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3836</v>
      </c>
      <c r="R256" t="s">
        <v>3836</v>
      </c>
    </row>
    <row r="257" spans="1:18" x14ac:dyDescent="0.25">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3836</v>
      </c>
      <c r="R257" t="s">
        <v>3836</v>
      </c>
    </row>
    <row r="258" spans="1:18" x14ac:dyDescent="0.25">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3836</v>
      </c>
      <c r="R258" t="s">
        <v>3836</v>
      </c>
    </row>
    <row r="259" spans="1:18" x14ac:dyDescent="0.25">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3836</v>
      </c>
      <c r="R259" t="s">
        <v>3836</v>
      </c>
    </row>
    <row r="260" spans="1:18" x14ac:dyDescent="0.25">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3836</v>
      </c>
      <c r="R260" t="s">
        <v>3836</v>
      </c>
    </row>
    <row r="261" spans="1:18" x14ac:dyDescent="0.25">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5">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5">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5">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5">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5">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5">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5">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5">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5">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5">
      <c r="A271" t="s">
        <v>3755</v>
      </c>
      <c r="B271" t="s">
        <v>3774</v>
      </c>
      <c r="C271" t="s">
        <v>3756</v>
      </c>
      <c r="D271" t="s">
        <v>2782</v>
      </c>
      <c r="E271" t="s">
        <v>3753</v>
      </c>
      <c r="F271" t="s">
        <v>34</v>
      </c>
      <c r="G271" t="s">
        <v>2724</v>
      </c>
      <c r="H271" s="8" t="s">
        <v>85</v>
      </c>
      <c r="J271" s="16" t="s">
        <v>3813</v>
      </c>
      <c r="K271" t="s">
        <v>14</v>
      </c>
      <c r="L271" t="s">
        <v>4034</v>
      </c>
      <c r="M271" s="17">
        <v>0</v>
      </c>
      <c r="N271" s="17">
        <v>1000</v>
      </c>
      <c r="O271" s="17">
        <v>2.3279999999999999E-7</v>
      </c>
      <c r="P271" s="75">
        <v>4294967296</v>
      </c>
      <c r="Q271" t="s">
        <v>3836</v>
      </c>
      <c r="R271" t="s">
        <v>3836</v>
      </c>
    </row>
    <row r="272" spans="1:18" x14ac:dyDescent="0.25">
      <c r="A272" t="s">
        <v>3763</v>
      </c>
      <c r="B272" t="s">
        <v>3775</v>
      </c>
      <c r="C272" t="s">
        <v>3757</v>
      </c>
      <c r="D272" t="s">
        <v>2782</v>
      </c>
      <c r="E272" t="s">
        <v>3753</v>
      </c>
      <c r="F272" t="s">
        <v>34</v>
      </c>
      <c r="G272" t="s">
        <v>2724</v>
      </c>
      <c r="H272" s="8" t="s">
        <v>85</v>
      </c>
      <c r="J272" s="16" t="s">
        <v>3814</v>
      </c>
      <c r="K272" t="s">
        <v>14</v>
      </c>
      <c r="L272" t="s">
        <v>4034</v>
      </c>
      <c r="M272" s="17">
        <v>0</v>
      </c>
      <c r="N272" s="17">
        <v>1000</v>
      </c>
      <c r="O272" s="17">
        <v>2.3279999999999999E-7</v>
      </c>
      <c r="P272" s="75">
        <v>4294967296</v>
      </c>
      <c r="Q272" t="s">
        <v>3836</v>
      </c>
      <c r="R272" t="s">
        <v>3836</v>
      </c>
    </row>
    <row r="273" spans="1:18" x14ac:dyDescent="0.25">
      <c r="A273" t="s">
        <v>3764</v>
      </c>
      <c r="B273" t="s">
        <v>3776</v>
      </c>
      <c r="C273" t="s">
        <v>3758</v>
      </c>
      <c r="D273" t="s">
        <v>2782</v>
      </c>
      <c r="E273" t="s">
        <v>3753</v>
      </c>
      <c r="F273" t="s">
        <v>34</v>
      </c>
      <c r="G273" t="s">
        <v>2724</v>
      </c>
      <c r="H273" s="8" t="s">
        <v>85</v>
      </c>
      <c r="J273" s="16" t="s">
        <v>3815</v>
      </c>
      <c r="K273" t="s">
        <v>14</v>
      </c>
      <c r="L273" t="s">
        <v>4034</v>
      </c>
      <c r="M273" s="17">
        <v>0</v>
      </c>
      <c r="N273" s="17">
        <v>1000</v>
      </c>
      <c r="O273" s="17">
        <v>2.3279999999999999E-7</v>
      </c>
      <c r="P273" s="75">
        <v>4294967296</v>
      </c>
      <c r="Q273" t="s">
        <v>3836</v>
      </c>
      <c r="R273" t="s">
        <v>3836</v>
      </c>
    </row>
    <row r="274" spans="1:18" x14ac:dyDescent="0.25">
      <c r="A274" t="s">
        <v>3765</v>
      </c>
      <c r="B274" t="s">
        <v>3777</v>
      </c>
      <c r="C274" t="s">
        <v>3759</v>
      </c>
      <c r="D274" t="s">
        <v>2782</v>
      </c>
      <c r="E274" t="s">
        <v>3753</v>
      </c>
      <c r="F274" t="s">
        <v>34</v>
      </c>
      <c r="G274" t="s">
        <v>2724</v>
      </c>
      <c r="H274" s="8" t="s">
        <v>85</v>
      </c>
      <c r="J274" s="16" t="s">
        <v>3816</v>
      </c>
      <c r="K274" t="s">
        <v>14</v>
      </c>
      <c r="L274" t="s">
        <v>4034</v>
      </c>
      <c r="M274" s="17">
        <v>0</v>
      </c>
      <c r="N274" s="17">
        <v>1000</v>
      </c>
      <c r="O274" s="17">
        <v>2.3279999999999999E-7</v>
      </c>
      <c r="P274" s="75">
        <v>4294967296</v>
      </c>
      <c r="Q274" t="s">
        <v>3836</v>
      </c>
      <c r="R274" t="s">
        <v>3836</v>
      </c>
    </row>
    <row r="275" spans="1:18" x14ac:dyDescent="0.25">
      <c r="A275" t="s">
        <v>3766</v>
      </c>
      <c r="B275" t="s">
        <v>3778</v>
      </c>
      <c r="C275" t="s">
        <v>3760</v>
      </c>
      <c r="D275" t="s">
        <v>2782</v>
      </c>
      <c r="E275" t="s">
        <v>3753</v>
      </c>
      <c r="F275" t="s">
        <v>34</v>
      </c>
      <c r="G275" t="s">
        <v>2724</v>
      </c>
      <c r="H275" s="8" t="s">
        <v>85</v>
      </c>
      <c r="J275" s="16" t="s">
        <v>3817</v>
      </c>
      <c r="K275" t="s">
        <v>14</v>
      </c>
      <c r="L275" t="s">
        <v>4034</v>
      </c>
      <c r="M275" s="17">
        <v>0</v>
      </c>
      <c r="N275" s="17">
        <v>1000</v>
      </c>
      <c r="O275" s="17">
        <v>2.3279999999999999E-7</v>
      </c>
      <c r="P275" s="75">
        <v>4294967296</v>
      </c>
      <c r="Q275" t="s">
        <v>3836</v>
      </c>
      <c r="R275" t="s">
        <v>3836</v>
      </c>
    </row>
    <row r="276" spans="1:18" x14ac:dyDescent="0.25">
      <c r="A276" t="s">
        <v>3767</v>
      </c>
      <c r="B276" t="s">
        <v>3779</v>
      </c>
      <c r="C276" t="s">
        <v>3761</v>
      </c>
      <c r="D276" t="s">
        <v>2782</v>
      </c>
      <c r="E276" t="s">
        <v>3753</v>
      </c>
      <c r="F276" t="s">
        <v>34</v>
      </c>
      <c r="G276" t="s">
        <v>2724</v>
      </c>
      <c r="H276" s="8" t="s">
        <v>85</v>
      </c>
      <c r="J276" s="16" t="s">
        <v>3818</v>
      </c>
      <c r="K276" t="s">
        <v>14</v>
      </c>
      <c r="L276" t="s">
        <v>4034</v>
      </c>
      <c r="M276" s="17">
        <v>0</v>
      </c>
      <c r="N276" s="17">
        <v>1000</v>
      </c>
      <c r="O276" s="17">
        <v>2.3279999999999999E-7</v>
      </c>
      <c r="P276" s="75">
        <v>4294967296</v>
      </c>
      <c r="Q276" t="s">
        <v>3836</v>
      </c>
      <c r="R276" t="s">
        <v>3836</v>
      </c>
    </row>
    <row r="277" spans="1:18" x14ac:dyDescent="0.25">
      <c r="A277" t="s">
        <v>3768</v>
      </c>
      <c r="B277" t="s">
        <v>3775</v>
      </c>
      <c r="C277" t="s">
        <v>3757</v>
      </c>
      <c r="D277" t="s">
        <v>2782</v>
      </c>
      <c r="E277" t="s">
        <v>3753</v>
      </c>
      <c r="F277" t="s">
        <v>34</v>
      </c>
      <c r="G277" t="s">
        <v>2678</v>
      </c>
      <c r="H277" s="8" t="s">
        <v>76</v>
      </c>
      <c r="J277" s="16" t="s">
        <v>3819</v>
      </c>
      <c r="K277" t="s">
        <v>14</v>
      </c>
      <c r="L277" t="s">
        <v>4034</v>
      </c>
      <c r="M277" s="17">
        <v>-720</v>
      </c>
      <c r="N277" s="17">
        <v>720</v>
      </c>
      <c r="O277" s="17">
        <v>3.3529999999999999E-7</v>
      </c>
      <c r="P277" s="75">
        <v>4294967296</v>
      </c>
      <c r="Q277" t="s">
        <v>3836</v>
      </c>
      <c r="R277" t="s">
        <v>3836</v>
      </c>
    </row>
    <row r="278" spans="1:18" x14ac:dyDescent="0.25">
      <c r="A278" t="s">
        <v>3769</v>
      </c>
      <c r="B278" t="s">
        <v>3776</v>
      </c>
      <c r="C278" t="s">
        <v>3758</v>
      </c>
      <c r="D278" t="s">
        <v>2782</v>
      </c>
      <c r="E278" t="s">
        <v>3753</v>
      </c>
      <c r="F278" t="s">
        <v>34</v>
      </c>
      <c r="G278" t="s">
        <v>2678</v>
      </c>
      <c r="H278" s="8" t="s">
        <v>76</v>
      </c>
      <c r="J278" s="16" t="s">
        <v>3820</v>
      </c>
      <c r="K278" t="s">
        <v>14</v>
      </c>
      <c r="L278" t="s">
        <v>4034</v>
      </c>
      <c r="M278" s="17">
        <v>-720</v>
      </c>
      <c r="N278" s="17">
        <v>720</v>
      </c>
      <c r="O278" s="17">
        <v>3.3529999999999999E-7</v>
      </c>
      <c r="P278" s="75">
        <v>4294967296</v>
      </c>
      <c r="Q278" t="s">
        <v>3836</v>
      </c>
      <c r="R278" t="s">
        <v>3836</v>
      </c>
    </row>
    <row r="279" spans="1:18" x14ac:dyDescent="0.25">
      <c r="A279" t="s">
        <v>3770</v>
      </c>
      <c r="B279" t="s">
        <v>3777</v>
      </c>
      <c r="C279" t="s">
        <v>3759</v>
      </c>
      <c r="D279" t="s">
        <v>2782</v>
      </c>
      <c r="E279" t="s">
        <v>3753</v>
      </c>
      <c r="F279" t="s">
        <v>34</v>
      </c>
      <c r="G279" t="s">
        <v>2678</v>
      </c>
      <c r="H279" s="8" t="s">
        <v>76</v>
      </c>
      <c r="J279" s="16" t="s">
        <v>3821</v>
      </c>
      <c r="K279" t="s">
        <v>14</v>
      </c>
      <c r="L279" t="s">
        <v>4034</v>
      </c>
      <c r="M279" s="17">
        <v>-720</v>
      </c>
      <c r="N279" s="17">
        <v>720</v>
      </c>
      <c r="O279" s="17">
        <v>3.3529999999999999E-7</v>
      </c>
      <c r="P279" s="75">
        <v>4294967296</v>
      </c>
      <c r="Q279" t="s">
        <v>3836</v>
      </c>
      <c r="R279" t="s">
        <v>3836</v>
      </c>
    </row>
    <row r="280" spans="1:18" x14ac:dyDescent="0.25">
      <c r="A280" t="s">
        <v>3771</v>
      </c>
      <c r="B280" t="s">
        <v>3778</v>
      </c>
      <c r="C280" t="s">
        <v>3760</v>
      </c>
      <c r="D280" t="s">
        <v>2782</v>
      </c>
      <c r="E280" t="s">
        <v>3753</v>
      </c>
      <c r="F280" t="s">
        <v>34</v>
      </c>
      <c r="G280" t="s">
        <v>2678</v>
      </c>
      <c r="H280" s="8" t="s">
        <v>76</v>
      </c>
      <c r="J280" s="16" t="s">
        <v>3822</v>
      </c>
      <c r="K280" t="s">
        <v>14</v>
      </c>
      <c r="L280" t="s">
        <v>4034</v>
      </c>
      <c r="M280" s="17">
        <v>-720</v>
      </c>
      <c r="N280" s="17">
        <v>720</v>
      </c>
      <c r="O280" s="17">
        <v>3.3529999999999999E-7</v>
      </c>
      <c r="P280" s="75">
        <v>4294967296</v>
      </c>
      <c r="Q280" t="s">
        <v>3836</v>
      </c>
      <c r="R280" t="s">
        <v>3836</v>
      </c>
    </row>
    <row r="281" spans="1:18" x14ac:dyDescent="0.25">
      <c r="A281" t="s">
        <v>3772</v>
      </c>
      <c r="B281" t="s">
        <v>3779</v>
      </c>
      <c r="C281" t="s">
        <v>3761</v>
      </c>
      <c r="D281" t="s">
        <v>2782</v>
      </c>
      <c r="E281" t="s">
        <v>3753</v>
      </c>
      <c r="F281" t="s">
        <v>34</v>
      </c>
      <c r="G281" t="s">
        <v>2678</v>
      </c>
      <c r="H281" s="8" t="s">
        <v>76</v>
      </c>
      <c r="J281" s="16" t="s">
        <v>3823</v>
      </c>
      <c r="K281" t="s">
        <v>14</v>
      </c>
      <c r="L281" t="s">
        <v>4034</v>
      </c>
      <c r="M281" s="17">
        <v>-720</v>
      </c>
      <c r="N281" s="17">
        <v>720</v>
      </c>
      <c r="O281" s="17">
        <v>3.3529999999999999E-7</v>
      </c>
      <c r="P281" s="75">
        <v>4294967296</v>
      </c>
      <c r="Q281" t="s">
        <v>3836</v>
      </c>
      <c r="R281" t="s">
        <v>3836</v>
      </c>
    </row>
    <row r="282" spans="1:18" x14ac:dyDescent="0.25">
      <c r="A282" t="s">
        <v>3773</v>
      </c>
      <c r="B282" t="s">
        <v>3780</v>
      </c>
      <c r="C282" t="s">
        <v>3762</v>
      </c>
      <c r="D282" t="s">
        <v>2782</v>
      </c>
      <c r="E282" t="s">
        <v>3753</v>
      </c>
      <c r="F282" t="s">
        <v>34</v>
      </c>
      <c r="G282" t="s">
        <v>2756</v>
      </c>
      <c r="H282" s="8" t="s">
        <v>1679</v>
      </c>
      <c r="J282" s="16" t="s">
        <v>3824</v>
      </c>
      <c r="K282" t="s">
        <v>14</v>
      </c>
      <c r="L282" t="s">
        <v>4034</v>
      </c>
      <c r="M282" s="17">
        <v>0</v>
      </c>
      <c r="N282" s="17">
        <v>400000000</v>
      </c>
      <c r="O282" s="17">
        <v>9.3132257499999996E-2</v>
      </c>
      <c r="P282" s="75">
        <v>4294967296</v>
      </c>
      <c r="Q282" t="s">
        <v>3836</v>
      </c>
      <c r="R282" t="s">
        <v>3836</v>
      </c>
    </row>
    <row r="283" spans="1:18" x14ac:dyDescent="0.25">
      <c r="A283" t="s">
        <v>3785</v>
      </c>
      <c r="B283" t="s">
        <v>3783</v>
      </c>
      <c r="C283" t="s">
        <v>3781</v>
      </c>
      <c r="D283" t="s">
        <v>2782</v>
      </c>
      <c r="E283" t="s">
        <v>3753</v>
      </c>
      <c r="F283" t="s">
        <v>34</v>
      </c>
      <c r="G283" t="s">
        <v>2756</v>
      </c>
      <c r="H283" s="8" t="s">
        <v>1679</v>
      </c>
      <c r="J283" s="16" t="s">
        <v>3825</v>
      </c>
      <c r="K283" t="s">
        <v>14</v>
      </c>
      <c r="L283" t="s">
        <v>4034</v>
      </c>
      <c r="M283" s="17">
        <v>0</v>
      </c>
      <c r="N283" s="17">
        <v>500000</v>
      </c>
      <c r="O283" s="17">
        <v>1.164153E-4</v>
      </c>
      <c r="P283" s="75">
        <v>4294967296</v>
      </c>
      <c r="Q283" t="s">
        <v>3836</v>
      </c>
      <c r="R283" t="s">
        <v>3836</v>
      </c>
    </row>
    <row r="284" spans="1:18" x14ac:dyDescent="0.25">
      <c r="A284" t="s">
        <v>3786</v>
      </c>
      <c r="B284" t="s">
        <v>3784</v>
      </c>
      <c r="C284" t="s">
        <v>3782</v>
      </c>
      <c r="D284" t="s">
        <v>2782</v>
      </c>
      <c r="E284" t="s">
        <v>3753</v>
      </c>
      <c r="F284" t="s">
        <v>34</v>
      </c>
      <c r="G284" t="s">
        <v>2785</v>
      </c>
      <c r="H284" s="8" t="s">
        <v>2599</v>
      </c>
      <c r="J284" s="16" t="s">
        <v>3826</v>
      </c>
      <c r="K284" t="s">
        <v>14</v>
      </c>
      <c r="L284" t="s">
        <v>4034</v>
      </c>
      <c r="M284" s="17">
        <v>0</v>
      </c>
      <c r="N284" s="17">
        <v>5</v>
      </c>
      <c r="O284" s="17">
        <v>1.2E-9</v>
      </c>
      <c r="P284" s="75">
        <v>4294967296</v>
      </c>
      <c r="Q284" t="s">
        <v>3836</v>
      </c>
      <c r="R284" t="s">
        <v>3836</v>
      </c>
    </row>
    <row r="285" spans="1:18" x14ac:dyDescent="0.25">
      <c r="A285" t="s">
        <v>3796</v>
      </c>
      <c r="B285" t="s">
        <v>3797</v>
      </c>
      <c r="C285" t="s">
        <v>3798</v>
      </c>
      <c r="D285" t="s">
        <v>2782</v>
      </c>
      <c r="E285" t="s">
        <v>3624</v>
      </c>
      <c r="F285" t="s">
        <v>34</v>
      </c>
      <c r="G285" t="s">
        <v>2686</v>
      </c>
      <c r="H285" s="8" t="s">
        <v>100</v>
      </c>
      <c r="J285" s="16" t="s">
        <v>3827</v>
      </c>
      <c r="K285" t="s">
        <v>14</v>
      </c>
      <c r="L285" t="s">
        <v>4034</v>
      </c>
      <c r="M285">
        <v>-21470</v>
      </c>
      <c r="N285">
        <v>214748</v>
      </c>
      <c r="O285">
        <v>5.4998799999999999E-5</v>
      </c>
      <c r="P285" s="75">
        <v>4294967296</v>
      </c>
      <c r="Q285" t="s">
        <v>3836</v>
      </c>
      <c r="R285" t="s">
        <v>3836</v>
      </c>
    </row>
    <row r="286" spans="1:18" x14ac:dyDescent="0.25">
      <c r="A286" t="s">
        <v>3799</v>
      </c>
      <c r="B286" t="s">
        <v>3800</v>
      </c>
      <c r="C286" t="s">
        <v>3801</v>
      </c>
      <c r="D286" t="s">
        <v>2782</v>
      </c>
      <c r="E286" t="s">
        <v>3624</v>
      </c>
      <c r="F286" t="s">
        <v>34</v>
      </c>
      <c r="G286" t="s">
        <v>2892</v>
      </c>
      <c r="H286" s="8" t="s">
        <v>2893</v>
      </c>
      <c r="J286" s="16" t="s">
        <v>3828</v>
      </c>
      <c r="K286" t="s">
        <v>14</v>
      </c>
      <c r="L286" t="s">
        <v>4034</v>
      </c>
      <c r="M286">
        <v>0</v>
      </c>
      <c r="N286">
        <v>214700</v>
      </c>
      <c r="O286">
        <v>4.9988699999999998E-5</v>
      </c>
      <c r="P286" s="75">
        <v>4294967296</v>
      </c>
      <c r="Q286" t="s">
        <v>3836</v>
      </c>
      <c r="R286" t="s">
        <v>3836</v>
      </c>
    </row>
    <row r="287" spans="1:18" x14ac:dyDescent="0.25">
      <c r="A287" t="s">
        <v>3802</v>
      </c>
      <c r="B287" t="s">
        <v>3803</v>
      </c>
      <c r="C287" t="s">
        <v>3804</v>
      </c>
      <c r="D287" t="s">
        <v>2782</v>
      </c>
      <c r="E287" t="s">
        <v>3624</v>
      </c>
      <c r="F287" t="s">
        <v>34</v>
      </c>
      <c r="G287" t="s">
        <v>2786</v>
      </c>
      <c r="H287" s="8" t="s">
        <v>96</v>
      </c>
      <c r="J287" s="16" t="s">
        <v>3829</v>
      </c>
      <c r="K287" t="s">
        <v>14</v>
      </c>
      <c r="L287" t="s">
        <v>4034</v>
      </c>
      <c r="M287">
        <v>-100</v>
      </c>
      <c r="N287">
        <v>2000</v>
      </c>
      <c r="O287">
        <v>4.8889999999999999E-7</v>
      </c>
      <c r="P287" s="75">
        <v>4294967296</v>
      </c>
      <c r="Q287" t="s">
        <v>3836</v>
      </c>
      <c r="R287" t="s">
        <v>3836</v>
      </c>
    </row>
    <row r="288" spans="1:18" x14ac:dyDescent="0.25">
      <c r="A288" t="s">
        <v>3831</v>
      </c>
      <c r="B288" t="s">
        <v>3512</v>
      </c>
      <c r="C288" t="s">
        <v>3513</v>
      </c>
      <c r="D288" t="s">
        <v>2782</v>
      </c>
      <c r="E288" t="s">
        <v>3514</v>
      </c>
      <c r="F288" t="s">
        <v>34</v>
      </c>
      <c r="G288" t="s">
        <v>2698</v>
      </c>
      <c r="H288" s="8" t="s">
        <v>113</v>
      </c>
      <c r="J288" s="16" t="s">
        <v>3830</v>
      </c>
      <c r="K288" t="s">
        <v>14</v>
      </c>
      <c r="L288" t="s">
        <v>2659</v>
      </c>
      <c r="M288" s="17">
        <v>0</v>
      </c>
      <c r="N288" s="17">
        <v>20</v>
      </c>
      <c r="O288" s="17">
        <v>4.6999999999999999E-9</v>
      </c>
      <c r="P288" s="75">
        <v>4294967296</v>
      </c>
      <c r="Q288" t="s">
        <v>2660</v>
      </c>
      <c r="R288" t="s">
        <v>2660</v>
      </c>
    </row>
    <row r="289" spans="1:18" x14ac:dyDescent="0.25">
      <c r="A289" t="s">
        <v>3843</v>
      </c>
      <c r="B289" t="s">
        <v>2688</v>
      </c>
      <c r="C289" t="s">
        <v>2689</v>
      </c>
      <c r="D289" t="s">
        <v>37</v>
      </c>
      <c r="E289" t="s">
        <v>3844</v>
      </c>
      <c r="F289" t="s">
        <v>35</v>
      </c>
      <c r="G289" t="s">
        <v>2657</v>
      </c>
      <c r="H289" s="8" t="s">
        <v>3053</v>
      </c>
      <c r="J289" s="16" t="s">
        <v>4043</v>
      </c>
      <c r="K289" t="s">
        <v>14</v>
      </c>
      <c r="L289" t="s">
        <v>4046</v>
      </c>
      <c r="M289" s="17">
        <v>0</v>
      </c>
      <c r="N289" s="17">
        <v>150</v>
      </c>
      <c r="O289" s="17">
        <v>3.4900000000000001E-8</v>
      </c>
      <c r="P289" s="75">
        <v>4294967296</v>
      </c>
      <c r="Q289" t="s">
        <v>3836</v>
      </c>
      <c r="R289" t="s">
        <v>3836</v>
      </c>
    </row>
    <row r="290" spans="1:18" x14ac:dyDescent="0.25">
      <c r="A290" t="s">
        <v>3845</v>
      </c>
      <c r="B290" t="s">
        <v>797</v>
      </c>
      <c r="C290" t="s">
        <v>798</v>
      </c>
      <c r="D290" t="s">
        <v>37</v>
      </c>
      <c r="E290" t="s">
        <v>3844</v>
      </c>
      <c r="F290" t="s">
        <v>35</v>
      </c>
      <c r="G290" t="s">
        <v>2694</v>
      </c>
      <c r="H290" s="8" t="s">
        <v>64</v>
      </c>
      <c r="J290" s="16" t="s">
        <v>4044</v>
      </c>
      <c r="K290" t="s">
        <v>14</v>
      </c>
      <c r="L290" t="s">
        <v>4046</v>
      </c>
      <c r="M290" s="17">
        <v>0</v>
      </c>
      <c r="N290" s="17">
        <v>140000</v>
      </c>
      <c r="O290" s="17">
        <v>3.2596299999999998E-5</v>
      </c>
      <c r="P290" s="75">
        <v>4294967296</v>
      </c>
      <c r="Q290" t="s">
        <v>3836</v>
      </c>
      <c r="R290" t="s">
        <v>3836</v>
      </c>
    </row>
    <row r="291" spans="1:18" x14ac:dyDescent="0.25">
      <c r="A291" t="s">
        <v>3846</v>
      </c>
      <c r="B291" t="s">
        <v>81</v>
      </c>
      <c r="C291" t="s">
        <v>1755</v>
      </c>
      <c r="D291" t="s">
        <v>37</v>
      </c>
      <c r="E291" t="s">
        <v>3844</v>
      </c>
      <c r="F291" t="s">
        <v>35</v>
      </c>
      <c r="G291" t="s">
        <v>3072</v>
      </c>
      <c r="H291" s="8" t="s">
        <v>82</v>
      </c>
      <c r="J291" s="16" t="s">
        <v>4045</v>
      </c>
      <c r="K291" t="s">
        <v>14</v>
      </c>
      <c r="L291" t="s">
        <v>4046</v>
      </c>
      <c r="M291" s="17">
        <v>0</v>
      </c>
      <c r="N291" s="17">
        <v>400000</v>
      </c>
      <c r="O291" s="17">
        <v>9.3132299999999996E-5</v>
      </c>
      <c r="P291" s="75">
        <v>4294967296</v>
      </c>
      <c r="Q291" t="s">
        <v>3836</v>
      </c>
      <c r="R291" t="s">
        <v>3836</v>
      </c>
    </row>
    <row r="292" spans="1:18" x14ac:dyDescent="0.25">
      <c r="A292" t="s">
        <v>3847</v>
      </c>
      <c r="B292" t="s">
        <v>3848</v>
      </c>
      <c r="C292" t="s">
        <v>3849</v>
      </c>
      <c r="D292" t="s">
        <v>3697</v>
      </c>
      <c r="E292" t="s">
        <v>3850</v>
      </c>
      <c r="F292" t="s">
        <v>35</v>
      </c>
      <c r="G292" t="s">
        <v>2657</v>
      </c>
      <c r="H292" s="8" t="s">
        <v>3053</v>
      </c>
      <c r="J292" s="16" t="s">
        <v>4036</v>
      </c>
      <c r="K292" t="s">
        <v>14</v>
      </c>
      <c r="L292" t="s">
        <v>4034</v>
      </c>
      <c r="M292" s="17">
        <v>0</v>
      </c>
      <c r="N292" s="17">
        <v>150</v>
      </c>
      <c r="O292" s="17">
        <v>3.4900000000000001E-8</v>
      </c>
      <c r="P292" s="75">
        <v>4294967296</v>
      </c>
      <c r="Q292" t="s">
        <v>3836</v>
      </c>
      <c r="R292" t="s">
        <v>3836</v>
      </c>
    </row>
    <row r="293" spans="1:18" x14ac:dyDescent="0.25">
      <c r="A293" t="s">
        <v>3851</v>
      </c>
      <c r="B293" t="s">
        <v>3852</v>
      </c>
      <c r="C293" t="s">
        <v>3853</v>
      </c>
      <c r="D293" t="s">
        <v>3697</v>
      </c>
      <c r="E293" t="s">
        <v>3850</v>
      </c>
      <c r="F293" t="s">
        <v>35</v>
      </c>
      <c r="G293" t="s">
        <v>2694</v>
      </c>
      <c r="H293" s="8" t="s">
        <v>64</v>
      </c>
      <c r="J293" s="16" t="s">
        <v>4037</v>
      </c>
      <c r="K293" t="s">
        <v>14</v>
      </c>
      <c r="L293" t="s">
        <v>4034</v>
      </c>
      <c r="M293" s="17">
        <v>0</v>
      </c>
      <c r="N293" s="17">
        <v>140000</v>
      </c>
      <c r="O293" s="17">
        <v>3.2596299999999998E-5</v>
      </c>
      <c r="P293" s="75">
        <v>4294967296</v>
      </c>
      <c r="Q293" t="s">
        <v>3836</v>
      </c>
      <c r="R293" t="s">
        <v>3836</v>
      </c>
    </row>
    <row r="294" spans="1:18" x14ac:dyDescent="0.25">
      <c r="A294" t="s">
        <v>3854</v>
      </c>
      <c r="B294" t="s">
        <v>3855</v>
      </c>
      <c r="C294" t="s">
        <v>3856</v>
      </c>
      <c r="D294" t="s">
        <v>3697</v>
      </c>
      <c r="E294" t="s">
        <v>3850</v>
      </c>
      <c r="F294" t="s">
        <v>35</v>
      </c>
      <c r="G294" t="s">
        <v>3072</v>
      </c>
      <c r="H294" s="8" t="s">
        <v>82</v>
      </c>
      <c r="J294" s="16" t="s">
        <v>4038</v>
      </c>
      <c r="K294" t="s">
        <v>14</v>
      </c>
      <c r="L294" t="s">
        <v>4034</v>
      </c>
      <c r="M294" s="17">
        <v>0</v>
      </c>
      <c r="N294" s="17">
        <v>400000</v>
      </c>
      <c r="O294" s="17">
        <v>9.3132299999999996E-5</v>
      </c>
      <c r="P294" s="75">
        <v>4294967296</v>
      </c>
      <c r="Q294" t="s">
        <v>3836</v>
      </c>
      <c r="R294" t="s">
        <v>3836</v>
      </c>
    </row>
    <row r="295" spans="1:18" x14ac:dyDescent="0.25">
      <c r="A295" t="s">
        <v>3857</v>
      </c>
      <c r="B295" t="s">
        <v>3858</v>
      </c>
      <c r="C295" t="s">
        <v>3859</v>
      </c>
      <c r="D295" t="s">
        <v>3697</v>
      </c>
      <c r="E295" t="s">
        <v>3850</v>
      </c>
      <c r="F295" t="s">
        <v>35</v>
      </c>
      <c r="G295" t="s">
        <v>2698</v>
      </c>
      <c r="H295" s="8" t="s">
        <v>113</v>
      </c>
      <c r="J295" s="16" t="s">
        <v>4039</v>
      </c>
      <c r="K295" t="s">
        <v>14</v>
      </c>
      <c r="L295" t="s">
        <v>2659</v>
      </c>
      <c r="M295" s="17">
        <v>0</v>
      </c>
      <c r="N295" s="17">
        <v>400</v>
      </c>
      <c r="O295" s="17">
        <v>9.3100000000000006E-8</v>
      </c>
      <c r="P295" s="75">
        <v>4294967296</v>
      </c>
      <c r="Q295" t="s">
        <v>3836</v>
      </c>
      <c r="R295" t="s">
        <v>3836</v>
      </c>
    </row>
    <row r="296" spans="1:18" x14ac:dyDescent="0.25">
      <c r="A296" t="s">
        <v>3860</v>
      </c>
      <c r="B296" t="s">
        <v>1946</v>
      </c>
      <c r="C296" t="s">
        <v>1947</v>
      </c>
      <c r="D296" t="s">
        <v>3697</v>
      </c>
      <c r="E296" t="s">
        <v>3850</v>
      </c>
      <c r="F296" t="s">
        <v>35</v>
      </c>
      <c r="G296" t="s">
        <v>2701</v>
      </c>
      <c r="H296" s="8" t="s">
        <v>113</v>
      </c>
      <c r="J296" s="16" t="s">
        <v>4040</v>
      </c>
      <c r="K296" t="s">
        <v>14</v>
      </c>
      <c r="L296" t="s">
        <v>2659</v>
      </c>
      <c r="M296" s="17">
        <v>0</v>
      </c>
      <c r="N296" s="17">
        <v>1</v>
      </c>
      <c r="O296" s="17">
        <v>2.0000000000000001E-10</v>
      </c>
      <c r="P296" s="75">
        <v>4294967296</v>
      </c>
      <c r="Q296" t="s">
        <v>3836</v>
      </c>
      <c r="R296" t="s">
        <v>3836</v>
      </c>
    </row>
    <row r="297" spans="1:18" x14ac:dyDescent="0.25">
      <c r="A297" t="s">
        <v>3861</v>
      </c>
      <c r="B297" t="s">
        <v>3862</v>
      </c>
      <c r="C297" t="s">
        <v>3863</v>
      </c>
      <c r="D297" t="s">
        <v>3697</v>
      </c>
      <c r="E297" t="s">
        <v>3850</v>
      </c>
      <c r="F297" t="s">
        <v>35</v>
      </c>
      <c r="G297" t="s">
        <v>2701</v>
      </c>
      <c r="H297" s="8" t="s">
        <v>113</v>
      </c>
      <c r="J297" s="16" t="s">
        <v>4041</v>
      </c>
      <c r="K297" t="s">
        <v>14</v>
      </c>
      <c r="L297" t="s">
        <v>2659</v>
      </c>
      <c r="M297" s="17">
        <v>0</v>
      </c>
      <c r="N297" s="17">
        <v>1</v>
      </c>
      <c r="O297" s="17">
        <v>2.0000000000000001E-10</v>
      </c>
      <c r="P297" s="75">
        <v>4294967296</v>
      </c>
      <c r="Q297" t="s">
        <v>3836</v>
      </c>
      <c r="R297" t="s">
        <v>3836</v>
      </c>
    </row>
    <row r="298" spans="1:18" x14ac:dyDescent="0.25">
      <c r="A298" t="s">
        <v>3864</v>
      </c>
      <c r="B298" t="s">
        <v>3865</v>
      </c>
      <c r="C298" t="s">
        <v>3866</v>
      </c>
      <c r="D298" t="s">
        <v>3697</v>
      </c>
      <c r="E298" t="s">
        <v>3850</v>
      </c>
      <c r="F298" t="s">
        <v>35</v>
      </c>
      <c r="G298" t="s">
        <v>2694</v>
      </c>
      <c r="H298" s="8" t="s">
        <v>64</v>
      </c>
      <c r="J298" s="16" t="s">
        <v>4042</v>
      </c>
      <c r="K298" t="s">
        <v>14</v>
      </c>
      <c r="L298" t="s">
        <v>2659</v>
      </c>
      <c r="M298" s="17">
        <v>0</v>
      </c>
      <c r="N298" s="17">
        <v>140000</v>
      </c>
      <c r="O298" s="17">
        <v>3.2596299999999998E-5</v>
      </c>
      <c r="P298" s="75">
        <v>4294967296</v>
      </c>
      <c r="Q298" t="s">
        <v>3836</v>
      </c>
      <c r="R298" t="s">
        <v>3836</v>
      </c>
    </row>
    <row r="299" spans="1:18" x14ac:dyDescent="0.25">
      <c r="A299" t="s">
        <v>3867</v>
      </c>
      <c r="B299" t="s">
        <v>3868</v>
      </c>
      <c r="C299" t="s">
        <v>3869</v>
      </c>
      <c r="D299" t="s">
        <v>2782</v>
      </c>
      <c r="E299" t="s">
        <v>3870</v>
      </c>
      <c r="F299" t="s">
        <v>34</v>
      </c>
      <c r="G299" t="s">
        <v>2698</v>
      </c>
      <c r="H299" s="8" t="s">
        <v>113</v>
      </c>
      <c r="J299" s="16" t="s">
        <v>4030</v>
      </c>
      <c r="K299" t="s">
        <v>14</v>
      </c>
      <c r="L299" t="s">
        <v>4034</v>
      </c>
      <c r="M299" s="17">
        <v>0</v>
      </c>
      <c r="N299" s="17">
        <v>12</v>
      </c>
      <c r="O299" s="17">
        <v>2.7999999999999998E-9</v>
      </c>
      <c r="P299" s="75">
        <v>4294967296</v>
      </c>
      <c r="Q299" t="s">
        <v>3836</v>
      </c>
      <c r="R299" t="s">
        <v>3836</v>
      </c>
    </row>
    <row r="300" spans="1:18" x14ac:dyDescent="0.25">
      <c r="A300" t="s">
        <v>3871</v>
      </c>
      <c r="B300" t="s">
        <v>3872</v>
      </c>
      <c r="C300" t="s">
        <v>3873</v>
      </c>
      <c r="D300" t="s">
        <v>2782</v>
      </c>
      <c r="E300" t="s">
        <v>3870</v>
      </c>
      <c r="F300" t="s">
        <v>34</v>
      </c>
      <c r="G300" t="s">
        <v>2702</v>
      </c>
      <c r="H300" s="8" t="s">
        <v>71</v>
      </c>
      <c r="J300" s="16" t="s">
        <v>4031</v>
      </c>
      <c r="K300" t="s">
        <v>14</v>
      </c>
      <c r="L300" t="s">
        <v>4034</v>
      </c>
      <c r="M300" s="17">
        <v>550</v>
      </c>
      <c r="N300" s="17">
        <v>2100</v>
      </c>
      <c r="O300" s="17">
        <v>3.6090000000000001E-7</v>
      </c>
      <c r="P300" s="75">
        <v>4294967296</v>
      </c>
      <c r="Q300" t="s">
        <v>3836</v>
      </c>
      <c r="R300" t="s">
        <v>3836</v>
      </c>
    </row>
    <row r="301" spans="1:18" x14ac:dyDescent="0.25">
      <c r="A301" t="s">
        <v>3874</v>
      </c>
      <c r="B301" t="s">
        <v>3875</v>
      </c>
      <c r="C301" t="s">
        <v>3876</v>
      </c>
      <c r="D301" t="s">
        <v>2782</v>
      </c>
      <c r="E301" t="s">
        <v>3870</v>
      </c>
      <c r="F301" t="s">
        <v>34</v>
      </c>
      <c r="G301" t="s">
        <v>2686</v>
      </c>
      <c r="H301" s="8" t="s">
        <v>100</v>
      </c>
      <c r="J301" s="16" t="s">
        <v>4032</v>
      </c>
      <c r="K301" t="s">
        <v>14</v>
      </c>
      <c r="L301" t="s">
        <v>4034</v>
      </c>
      <c r="M301" s="17">
        <v>-500</v>
      </c>
      <c r="N301" s="17">
        <v>2750</v>
      </c>
      <c r="O301" s="17">
        <v>7.5669999999999999E-7</v>
      </c>
      <c r="P301" s="75">
        <v>4294967296</v>
      </c>
      <c r="Q301" t="s">
        <v>3836</v>
      </c>
      <c r="R301" t="s">
        <v>3836</v>
      </c>
    </row>
    <row r="302" spans="1:18" x14ac:dyDescent="0.25">
      <c r="A302" s="77" t="s">
        <v>2718</v>
      </c>
      <c r="B302" t="s">
        <v>2719</v>
      </c>
      <c r="C302" t="s">
        <v>2720</v>
      </c>
      <c r="D302" s="17" t="s">
        <v>3838</v>
      </c>
      <c r="E302" t="s">
        <v>3839</v>
      </c>
      <c r="F302" t="s">
        <v>35</v>
      </c>
      <c r="G302" t="s">
        <v>2698</v>
      </c>
      <c r="H302" s="8" t="s">
        <v>113</v>
      </c>
      <c r="J302" s="16" t="s">
        <v>3896</v>
      </c>
      <c r="K302" t="s">
        <v>14</v>
      </c>
      <c r="L302" t="s">
        <v>2659</v>
      </c>
      <c r="M302" s="17">
        <v>0</v>
      </c>
      <c r="N302" s="17">
        <v>10</v>
      </c>
      <c r="O302" s="17">
        <v>2.2999999999999999E-9</v>
      </c>
      <c r="P302" s="75">
        <v>4294967296</v>
      </c>
      <c r="Q302" t="s">
        <v>3836</v>
      </c>
      <c r="R302" t="s">
        <v>3836</v>
      </c>
    </row>
    <row r="303" spans="1:18" x14ac:dyDescent="0.25">
      <c r="A303" t="s">
        <v>2721</v>
      </c>
      <c r="B303" t="s">
        <v>2722</v>
      </c>
      <c r="C303" t="s">
        <v>2723</v>
      </c>
      <c r="D303" s="17" t="s">
        <v>3838</v>
      </c>
      <c r="E303" t="s">
        <v>3839</v>
      </c>
      <c r="F303" t="s">
        <v>35</v>
      </c>
      <c r="G303" t="s">
        <v>2724</v>
      </c>
      <c r="H303" s="8" t="s">
        <v>85</v>
      </c>
      <c r="J303" s="16" t="s">
        <v>3840</v>
      </c>
      <c r="K303" t="s">
        <v>14</v>
      </c>
      <c r="L303" t="s">
        <v>2659</v>
      </c>
      <c r="M303" s="17">
        <v>0</v>
      </c>
      <c r="N303" s="17">
        <v>1000</v>
      </c>
      <c r="O303" s="17">
        <v>2.3279999999999999E-7</v>
      </c>
      <c r="P303" s="75">
        <v>4294967296</v>
      </c>
      <c r="Q303" t="s">
        <v>3836</v>
      </c>
      <c r="R303" t="s">
        <v>3836</v>
      </c>
    </row>
    <row r="304" spans="1:18" x14ac:dyDescent="0.25">
      <c r="A304" t="s">
        <v>2726</v>
      </c>
      <c r="B304" t="s">
        <v>2727</v>
      </c>
      <c r="C304" t="s">
        <v>3051</v>
      </c>
      <c r="D304" s="17" t="s">
        <v>3838</v>
      </c>
      <c r="E304" t="s">
        <v>3839</v>
      </c>
      <c r="F304" t="s">
        <v>35</v>
      </c>
      <c r="G304" t="s">
        <v>2724</v>
      </c>
      <c r="H304" s="8" t="s">
        <v>85</v>
      </c>
      <c r="J304" s="16" t="s">
        <v>3897</v>
      </c>
      <c r="K304" t="s">
        <v>14</v>
      </c>
      <c r="L304" t="s">
        <v>2659</v>
      </c>
      <c r="M304" s="17">
        <v>0</v>
      </c>
      <c r="N304" s="17">
        <v>1000</v>
      </c>
      <c r="O304" s="17">
        <v>2.3279999999999999E-7</v>
      </c>
      <c r="P304" s="75">
        <v>4294967296</v>
      </c>
      <c r="Q304" t="s">
        <v>3836</v>
      </c>
      <c r="R304" t="s">
        <v>3836</v>
      </c>
    </row>
    <row r="305" spans="1:18" x14ac:dyDescent="0.25">
      <c r="A305" t="s">
        <v>2728</v>
      </c>
      <c r="B305" t="s">
        <v>2729</v>
      </c>
      <c r="C305" t="s">
        <v>2730</v>
      </c>
      <c r="D305" s="17" t="s">
        <v>3838</v>
      </c>
      <c r="E305" t="s">
        <v>3839</v>
      </c>
      <c r="F305" t="s">
        <v>35</v>
      </c>
      <c r="G305" t="s">
        <v>2724</v>
      </c>
      <c r="H305" s="8" t="s">
        <v>85</v>
      </c>
      <c r="J305" s="16" t="s">
        <v>3898</v>
      </c>
      <c r="K305" t="s">
        <v>14</v>
      </c>
      <c r="L305" t="s">
        <v>2659</v>
      </c>
      <c r="M305" s="17">
        <v>0</v>
      </c>
      <c r="N305" s="17">
        <v>1000</v>
      </c>
      <c r="O305" s="17">
        <v>2.3279999999999999E-7</v>
      </c>
      <c r="P305" s="75">
        <v>4294967296</v>
      </c>
      <c r="Q305" t="s">
        <v>3836</v>
      </c>
      <c r="R305" t="s">
        <v>3836</v>
      </c>
    </row>
    <row r="306" spans="1:18" x14ac:dyDescent="0.25">
      <c r="A306" t="s">
        <v>2732</v>
      </c>
      <c r="B306" t="s">
        <v>2733</v>
      </c>
      <c r="C306" t="s">
        <v>2734</v>
      </c>
      <c r="D306" s="17" t="s">
        <v>3838</v>
      </c>
      <c r="E306" t="s">
        <v>3839</v>
      </c>
      <c r="F306" t="s">
        <v>35</v>
      </c>
      <c r="G306" t="s">
        <v>2724</v>
      </c>
      <c r="H306" s="8" t="s">
        <v>85</v>
      </c>
      <c r="J306" s="16" t="s">
        <v>3899</v>
      </c>
      <c r="K306" t="s">
        <v>14</v>
      </c>
      <c r="L306" t="s">
        <v>2659</v>
      </c>
      <c r="M306" s="17">
        <v>0</v>
      </c>
      <c r="N306" s="17">
        <v>1000</v>
      </c>
      <c r="O306" s="17">
        <v>2.3279999999999999E-7</v>
      </c>
      <c r="P306" s="75">
        <v>4294967296</v>
      </c>
      <c r="Q306" t="s">
        <v>3836</v>
      </c>
      <c r="R306" t="s">
        <v>3836</v>
      </c>
    </row>
    <row r="307" spans="1:18" x14ac:dyDescent="0.25">
      <c r="A307" t="s">
        <v>2736</v>
      </c>
      <c r="B307" t="s">
        <v>2737</v>
      </c>
      <c r="C307" t="s">
        <v>2738</v>
      </c>
      <c r="D307" s="17" t="s">
        <v>3838</v>
      </c>
      <c r="E307" t="s">
        <v>3839</v>
      </c>
      <c r="F307" t="s">
        <v>35</v>
      </c>
      <c r="G307" t="s">
        <v>2724</v>
      </c>
      <c r="H307" s="8" t="s">
        <v>85</v>
      </c>
      <c r="J307" s="16" t="s">
        <v>3900</v>
      </c>
      <c r="K307" t="s">
        <v>14</v>
      </c>
      <c r="L307" t="s">
        <v>2659</v>
      </c>
      <c r="M307" s="17">
        <v>0</v>
      </c>
      <c r="N307" s="17">
        <v>1000</v>
      </c>
      <c r="O307" s="17">
        <v>2.3279999999999999E-7</v>
      </c>
      <c r="P307" s="75">
        <v>4294967296</v>
      </c>
      <c r="Q307" t="s">
        <v>3836</v>
      </c>
      <c r="R307" t="s">
        <v>3836</v>
      </c>
    </row>
    <row r="308" spans="1:18" x14ac:dyDescent="0.25">
      <c r="A308" t="s">
        <v>2740</v>
      </c>
      <c r="B308" t="s">
        <v>2741</v>
      </c>
      <c r="C308" t="s">
        <v>2742</v>
      </c>
      <c r="D308" s="17" t="s">
        <v>3838</v>
      </c>
      <c r="E308" t="s">
        <v>3839</v>
      </c>
      <c r="F308" t="s">
        <v>35</v>
      </c>
      <c r="G308" t="s">
        <v>2724</v>
      </c>
      <c r="H308" s="8" t="s">
        <v>85</v>
      </c>
      <c r="J308" s="16" t="s">
        <v>3901</v>
      </c>
      <c r="K308" t="s">
        <v>14</v>
      </c>
      <c r="L308" t="s">
        <v>2659</v>
      </c>
      <c r="M308" s="17">
        <v>0</v>
      </c>
      <c r="N308" s="17">
        <v>1000</v>
      </c>
      <c r="O308" s="17">
        <v>2.3279999999999999E-7</v>
      </c>
      <c r="P308" s="75">
        <v>4294967296</v>
      </c>
      <c r="Q308" t="s">
        <v>3836</v>
      </c>
      <c r="R308" t="s">
        <v>3836</v>
      </c>
    </row>
    <row r="309" spans="1:18" x14ac:dyDescent="0.25">
      <c r="A309" t="s">
        <v>2744</v>
      </c>
      <c r="B309" t="s">
        <v>2727</v>
      </c>
      <c r="C309" t="s">
        <v>3051</v>
      </c>
      <c r="D309" s="17" t="s">
        <v>3838</v>
      </c>
      <c r="E309" t="s">
        <v>3839</v>
      </c>
      <c r="F309" t="s">
        <v>35</v>
      </c>
      <c r="G309" t="s">
        <v>2678</v>
      </c>
      <c r="H309" s="8" t="s">
        <v>76</v>
      </c>
      <c r="J309" s="16" t="s">
        <v>3902</v>
      </c>
      <c r="K309" t="s">
        <v>14</v>
      </c>
      <c r="L309" t="s">
        <v>2659</v>
      </c>
      <c r="M309" s="17">
        <v>-720</v>
      </c>
      <c r="N309" s="17">
        <v>720</v>
      </c>
      <c r="O309" s="17">
        <v>3.3529999999999999E-7</v>
      </c>
      <c r="P309" s="75">
        <v>4294967296</v>
      </c>
      <c r="Q309" t="s">
        <v>3836</v>
      </c>
      <c r="R309" t="s">
        <v>3836</v>
      </c>
    </row>
    <row r="310" spans="1:18" x14ac:dyDescent="0.25">
      <c r="A310" t="s">
        <v>2745</v>
      </c>
      <c r="B310" t="s">
        <v>2729</v>
      </c>
      <c r="C310" t="s">
        <v>2730</v>
      </c>
      <c r="D310" s="17" t="s">
        <v>3838</v>
      </c>
      <c r="E310" t="s">
        <v>3839</v>
      </c>
      <c r="F310" t="s">
        <v>35</v>
      </c>
      <c r="G310" t="s">
        <v>2678</v>
      </c>
      <c r="H310" s="8" t="s">
        <v>76</v>
      </c>
      <c r="J310" s="16" t="s">
        <v>3903</v>
      </c>
      <c r="K310" t="s">
        <v>14</v>
      </c>
      <c r="L310" t="s">
        <v>2659</v>
      </c>
      <c r="M310" s="17">
        <v>-720</v>
      </c>
      <c r="N310" s="17">
        <v>720</v>
      </c>
      <c r="O310" s="17">
        <v>3.3529999999999999E-7</v>
      </c>
      <c r="P310" s="75">
        <v>4294967296</v>
      </c>
      <c r="Q310" t="s">
        <v>3836</v>
      </c>
      <c r="R310" t="s">
        <v>3836</v>
      </c>
    </row>
    <row r="311" spans="1:18" x14ac:dyDescent="0.25">
      <c r="A311" t="s">
        <v>2747</v>
      </c>
      <c r="B311" t="s">
        <v>2733</v>
      </c>
      <c r="C311" t="s">
        <v>2734</v>
      </c>
      <c r="D311" s="17" t="s">
        <v>3838</v>
      </c>
      <c r="E311" t="s">
        <v>3839</v>
      </c>
      <c r="F311" t="s">
        <v>35</v>
      </c>
      <c r="G311" t="s">
        <v>2678</v>
      </c>
      <c r="H311" s="8" t="s">
        <v>76</v>
      </c>
      <c r="J311" s="16" t="s">
        <v>3904</v>
      </c>
      <c r="K311" t="s">
        <v>14</v>
      </c>
      <c r="L311" t="s">
        <v>2659</v>
      </c>
      <c r="M311" s="17">
        <v>-720</v>
      </c>
      <c r="N311" s="17">
        <v>720</v>
      </c>
      <c r="O311" s="17">
        <v>3.3529999999999999E-7</v>
      </c>
      <c r="P311" s="75">
        <v>4294967296</v>
      </c>
      <c r="Q311" t="s">
        <v>3836</v>
      </c>
      <c r="R311" t="s">
        <v>3836</v>
      </c>
    </row>
    <row r="312" spans="1:18" x14ac:dyDescent="0.25">
      <c r="A312" t="s">
        <v>2749</v>
      </c>
      <c r="B312" t="s">
        <v>2737</v>
      </c>
      <c r="C312" t="s">
        <v>2738</v>
      </c>
      <c r="D312" s="17" t="s">
        <v>3838</v>
      </c>
      <c r="E312" t="s">
        <v>3839</v>
      </c>
      <c r="F312" t="s">
        <v>35</v>
      </c>
      <c r="G312" t="s">
        <v>2678</v>
      </c>
      <c r="H312" s="8" t="s">
        <v>76</v>
      </c>
      <c r="J312" s="16" t="s">
        <v>3905</v>
      </c>
      <c r="K312" t="s">
        <v>14</v>
      </c>
      <c r="L312" t="s">
        <v>2659</v>
      </c>
      <c r="M312" s="17">
        <v>-720</v>
      </c>
      <c r="N312" s="17">
        <v>720</v>
      </c>
      <c r="O312" s="17">
        <v>3.3529999999999999E-7</v>
      </c>
      <c r="P312" s="75">
        <v>4294967296</v>
      </c>
      <c r="Q312" t="s">
        <v>3836</v>
      </c>
      <c r="R312" t="s">
        <v>3836</v>
      </c>
    </row>
    <row r="313" spans="1:18" x14ac:dyDescent="0.25">
      <c r="A313" t="s">
        <v>2751</v>
      </c>
      <c r="B313" t="s">
        <v>2741</v>
      </c>
      <c r="C313" t="s">
        <v>2742</v>
      </c>
      <c r="D313" s="17" t="s">
        <v>3838</v>
      </c>
      <c r="E313" t="s">
        <v>3839</v>
      </c>
      <c r="F313" t="s">
        <v>35</v>
      </c>
      <c r="G313" t="s">
        <v>2678</v>
      </c>
      <c r="H313" s="8" t="s">
        <v>76</v>
      </c>
      <c r="J313" s="16" t="s">
        <v>3906</v>
      </c>
      <c r="K313" t="s">
        <v>14</v>
      </c>
      <c r="L313" t="s">
        <v>2659</v>
      </c>
      <c r="M313" s="17">
        <v>-720</v>
      </c>
      <c r="N313" s="17">
        <v>720</v>
      </c>
      <c r="O313" s="17">
        <v>3.3529999999999999E-7</v>
      </c>
      <c r="P313" s="75">
        <v>4294967296</v>
      </c>
      <c r="Q313" t="s">
        <v>3836</v>
      </c>
      <c r="R313" t="s">
        <v>3836</v>
      </c>
    </row>
    <row r="314" spans="1:18" x14ac:dyDescent="0.25">
      <c r="A314" t="s">
        <v>2753</v>
      </c>
      <c r="B314" t="s">
        <v>2754</v>
      </c>
      <c r="C314" t="s">
        <v>2755</v>
      </c>
      <c r="D314" s="17" t="s">
        <v>3838</v>
      </c>
      <c r="E314" t="s">
        <v>3839</v>
      </c>
      <c r="F314" t="s">
        <v>35</v>
      </c>
      <c r="G314" t="s">
        <v>2756</v>
      </c>
      <c r="H314" s="8" t="s">
        <v>1679</v>
      </c>
      <c r="J314" s="16" t="s">
        <v>3907</v>
      </c>
      <c r="K314" t="s">
        <v>14</v>
      </c>
      <c r="L314" t="s">
        <v>2659</v>
      </c>
      <c r="M314" s="17">
        <v>0</v>
      </c>
      <c r="N314" s="17">
        <v>400000000</v>
      </c>
      <c r="O314" s="17">
        <v>9.3132257499999996E-2</v>
      </c>
      <c r="P314" s="75">
        <v>4294967296</v>
      </c>
      <c r="Q314" t="s">
        <v>3836</v>
      </c>
      <c r="R314" t="s">
        <v>3836</v>
      </c>
    </row>
    <row r="315" spans="1:18" x14ac:dyDescent="0.25">
      <c r="A315" t="s">
        <v>3022</v>
      </c>
      <c r="B315" t="s">
        <v>3023</v>
      </c>
      <c r="C315" t="s">
        <v>3024</v>
      </c>
      <c r="D315" s="17" t="s">
        <v>3838</v>
      </c>
      <c r="E315" t="s">
        <v>3839</v>
      </c>
      <c r="F315" t="s">
        <v>35</v>
      </c>
      <c r="G315" t="s">
        <v>2702</v>
      </c>
      <c r="H315" s="8" t="s">
        <v>71</v>
      </c>
      <c r="J315" s="16" t="s">
        <v>3908</v>
      </c>
      <c r="K315" t="s">
        <v>14</v>
      </c>
      <c r="L315" t="s">
        <v>2659</v>
      </c>
      <c r="M315" s="17">
        <v>0</v>
      </c>
      <c r="N315" s="17">
        <v>10000</v>
      </c>
      <c r="O315" s="17">
        <v>2.3282999999999998E-6</v>
      </c>
      <c r="P315" s="75">
        <v>4294967296</v>
      </c>
      <c r="Q315" t="s">
        <v>3836</v>
      </c>
      <c r="R315" t="s">
        <v>3836</v>
      </c>
    </row>
    <row r="316" spans="1:18" x14ac:dyDescent="0.25">
      <c r="A316" t="s">
        <v>3025</v>
      </c>
      <c r="B316" t="s">
        <v>3026</v>
      </c>
      <c r="C316" t="s">
        <v>3027</v>
      </c>
      <c r="D316" s="17" t="s">
        <v>3838</v>
      </c>
      <c r="E316" t="s">
        <v>3839</v>
      </c>
      <c r="F316" t="s">
        <v>35</v>
      </c>
      <c r="G316" t="s">
        <v>2686</v>
      </c>
      <c r="H316" s="8" t="s">
        <v>100</v>
      </c>
      <c r="J316" s="16" t="s">
        <v>3909</v>
      </c>
      <c r="K316" t="s">
        <v>14</v>
      </c>
      <c r="L316" t="s">
        <v>2659</v>
      </c>
      <c r="M316" s="17">
        <v>0</v>
      </c>
      <c r="N316" s="17">
        <v>10000</v>
      </c>
      <c r="O316" s="17">
        <v>2.3282999999999998E-6</v>
      </c>
      <c r="P316" s="75">
        <v>4294967296</v>
      </c>
      <c r="Q316" t="s">
        <v>3836</v>
      </c>
      <c r="R316" t="s">
        <v>3836</v>
      </c>
    </row>
    <row r="317" spans="1:18" x14ac:dyDescent="0.25">
      <c r="A317" t="s">
        <v>3028</v>
      </c>
      <c r="B317" t="s">
        <v>3029</v>
      </c>
      <c r="C317" t="s">
        <v>3030</v>
      </c>
      <c r="D317" s="17" t="s">
        <v>3838</v>
      </c>
      <c r="E317" t="s">
        <v>3839</v>
      </c>
      <c r="F317" t="s">
        <v>35</v>
      </c>
      <c r="G317" t="s">
        <v>2700</v>
      </c>
      <c r="H317" s="8" t="s">
        <v>79</v>
      </c>
      <c r="J317" s="16" t="s">
        <v>3910</v>
      </c>
      <c r="K317" t="s">
        <v>14</v>
      </c>
      <c r="L317" t="s">
        <v>2659</v>
      </c>
      <c r="M317" s="17">
        <v>0</v>
      </c>
      <c r="N317" s="17">
        <v>150</v>
      </c>
      <c r="O317" s="17">
        <v>3.4900000000000001E-8</v>
      </c>
      <c r="P317" s="75">
        <v>4294967296</v>
      </c>
      <c r="Q317" t="s">
        <v>3836</v>
      </c>
      <c r="R317" t="s">
        <v>3836</v>
      </c>
    </row>
    <row r="318" spans="1:18" x14ac:dyDescent="0.25">
      <c r="A318" t="s">
        <v>3033</v>
      </c>
      <c r="B318" t="s">
        <v>3034</v>
      </c>
      <c r="C318" t="s">
        <v>3035</v>
      </c>
      <c r="D318" s="17" t="s">
        <v>3838</v>
      </c>
      <c r="E318" t="s">
        <v>3839</v>
      </c>
      <c r="F318" t="s">
        <v>35</v>
      </c>
      <c r="G318" t="s">
        <v>2700</v>
      </c>
      <c r="H318" s="8" t="s">
        <v>79</v>
      </c>
      <c r="J318" s="16" t="s">
        <v>3911</v>
      </c>
      <c r="K318" t="s">
        <v>14</v>
      </c>
      <c r="L318" t="s">
        <v>2659</v>
      </c>
      <c r="M318" s="17">
        <v>0</v>
      </c>
      <c r="N318" s="17">
        <v>150</v>
      </c>
      <c r="O318" s="17">
        <v>3.4900000000000001E-8</v>
      </c>
      <c r="P318" s="75">
        <v>4294967296</v>
      </c>
      <c r="Q318" t="s">
        <v>3836</v>
      </c>
      <c r="R318" t="s">
        <v>3836</v>
      </c>
    </row>
    <row r="319" spans="1:18" x14ac:dyDescent="0.25">
      <c r="A319" t="s">
        <v>3036</v>
      </c>
      <c r="B319" t="s">
        <v>3037</v>
      </c>
      <c r="C319" t="s">
        <v>3038</v>
      </c>
      <c r="D319" s="17" t="s">
        <v>3838</v>
      </c>
      <c r="E319" t="s">
        <v>3839</v>
      </c>
      <c r="F319" t="s">
        <v>35</v>
      </c>
      <c r="G319" t="s">
        <v>2700</v>
      </c>
      <c r="H319" s="8" t="s">
        <v>79</v>
      </c>
      <c r="J319" s="16" t="s">
        <v>3912</v>
      </c>
      <c r="K319" t="s">
        <v>14</v>
      </c>
      <c r="L319" t="s">
        <v>2659</v>
      </c>
      <c r="M319" s="17">
        <v>0</v>
      </c>
      <c r="N319" s="17">
        <v>150</v>
      </c>
      <c r="O319" s="17">
        <v>3.4900000000000001E-8</v>
      </c>
      <c r="P319" s="75">
        <v>4294967296</v>
      </c>
      <c r="Q319" t="s">
        <v>3836</v>
      </c>
      <c r="R319" t="s">
        <v>3836</v>
      </c>
    </row>
    <row r="320" spans="1:18" x14ac:dyDescent="0.25">
      <c r="A320" t="s">
        <v>3041</v>
      </c>
      <c r="B320" t="s">
        <v>3042</v>
      </c>
      <c r="C320" t="s">
        <v>3043</v>
      </c>
      <c r="D320" s="17" t="s">
        <v>3838</v>
      </c>
      <c r="E320" t="s">
        <v>3839</v>
      </c>
      <c r="F320" t="s">
        <v>35</v>
      </c>
      <c r="G320" t="s">
        <v>2785</v>
      </c>
      <c r="H320" s="8" t="s">
        <v>2599</v>
      </c>
      <c r="J320" s="16" t="s">
        <v>3913</v>
      </c>
      <c r="K320" t="s">
        <v>14</v>
      </c>
      <c r="L320" t="s">
        <v>2659</v>
      </c>
      <c r="M320" s="17">
        <v>0</v>
      </c>
      <c r="N320" s="17">
        <v>1000</v>
      </c>
      <c r="O320" s="17">
        <v>2.3279999999999999E-7</v>
      </c>
      <c r="P320" s="75">
        <v>4294967296</v>
      </c>
      <c r="Q320" t="s">
        <v>3836</v>
      </c>
      <c r="R320" t="s">
        <v>3836</v>
      </c>
    </row>
    <row r="321" spans="1:18" x14ac:dyDescent="0.25">
      <c r="A321" t="s">
        <v>3045</v>
      </c>
      <c r="B321" t="s">
        <v>3046</v>
      </c>
      <c r="C321" t="s">
        <v>3047</v>
      </c>
      <c r="D321" s="17" t="s">
        <v>3838</v>
      </c>
      <c r="E321" t="s">
        <v>3839</v>
      </c>
      <c r="F321" t="s">
        <v>35</v>
      </c>
      <c r="G321" t="s">
        <v>2702</v>
      </c>
      <c r="H321" s="8" t="s">
        <v>71</v>
      </c>
      <c r="J321" s="16" t="s">
        <v>3914</v>
      </c>
      <c r="K321" t="s">
        <v>14</v>
      </c>
      <c r="L321" t="s">
        <v>2659</v>
      </c>
      <c r="M321" s="17">
        <v>0</v>
      </c>
      <c r="N321" s="17">
        <v>10000</v>
      </c>
      <c r="O321" s="17">
        <v>2.3282999999999998E-6</v>
      </c>
      <c r="P321" s="75">
        <v>4294967296</v>
      </c>
      <c r="Q321" t="s">
        <v>3836</v>
      </c>
      <c r="R321" t="s">
        <v>3836</v>
      </c>
    </row>
    <row r="322" spans="1:18" x14ac:dyDescent="0.25">
      <c r="A322" t="s">
        <v>3039</v>
      </c>
      <c r="B322" t="s">
        <v>3055</v>
      </c>
      <c r="C322" t="s">
        <v>3056</v>
      </c>
      <c r="D322" s="17" t="s">
        <v>3838</v>
      </c>
      <c r="E322" t="s">
        <v>3839</v>
      </c>
      <c r="F322" t="s">
        <v>35</v>
      </c>
      <c r="G322" t="s">
        <v>2700</v>
      </c>
      <c r="H322" s="8" t="s">
        <v>79</v>
      </c>
      <c r="J322" s="16" t="s">
        <v>3915</v>
      </c>
      <c r="K322" t="s">
        <v>14</v>
      </c>
      <c r="L322" t="s">
        <v>2659</v>
      </c>
      <c r="M322" s="17">
        <v>0</v>
      </c>
      <c r="N322" s="17">
        <v>150</v>
      </c>
      <c r="O322" s="17">
        <v>3.4900000000000001E-8</v>
      </c>
      <c r="P322" s="75">
        <v>4294967296</v>
      </c>
      <c r="Q322" t="s">
        <v>3836</v>
      </c>
      <c r="R322" t="s">
        <v>3836</v>
      </c>
    </row>
    <row r="323" spans="1:18" x14ac:dyDescent="0.25">
      <c r="A323" t="s">
        <v>2715</v>
      </c>
      <c r="B323" t="s">
        <v>3057</v>
      </c>
      <c r="C323" t="s">
        <v>3058</v>
      </c>
      <c r="D323" s="17" t="s">
        <v>3838</v>
      </c>
      <c r="E323" t="s">
        <v>3839</v>
      </c>
      <c r="F323" t="s">
        <v>35</v>
      </c>
      <c r="G323" t="s">
        <v>2686</v>
      </c>
      <c r="H323" s="8" t="s">
        <v>100</v>
      </c>
      <c r="J323" s="16" t="s">
        <v>3916</v>
      </c>
      <c r="K323" t="s">
        <v>14</v>
      </c>
      <c r="L323" t="s">
        <v>2659</v>
      </c>
      <c r="M323" s="17">
        <v>0</v>
      </c>
      <c r="N323" s="17">
        <v>10000</v>
      </c>
      <c r="O323" s="17">
        <v>2.3282999999999998E-6</v>
      </c>
      <c r="P323" s="75">
        <v>4294967296</v>
      </c>
      <c r="Q323" t="s">
        <v>3836</v>
      </c>
      <c r="R323" t="s">
        <v>3836</v>
      </c>
    </row>
    <row r="324" spans="1:18" x14ac:dyDescent="0.25">
      <c r="A324" t="s">
        <v>3068</v>
      </c>
      <c r="B324" t="s">
        <v>2758</v>
      </c>
      <c r="C324" t="s">
        <v>2759</v>
      </c>
      <c r="D324" s="17" t="s">
        <v>3838</v>
      </c>
      <c r="E324" t="s">
        <v>3839</v>
      </c>
      <c r="F324" t="s">
        <v>35</v>
      </c>
      <c r="G324" t="s">
        <v>2700</v>
      </c>
      <c r="H324" s="8" t="s">
        <v>79</v>
      </c>
      <c r="J324" s="16" t="s">
        <v>3917</v>
      </c>
      <c r="K324" t="s">
        <v>14</v>
      </c>
      <c r="L324" t="s">
        <v>2659</v>
      </c>
      <c r="M324" s="17">
        <v>0</v>
      </c>
      <c r="N324" s="17">
        <v>150</v>
      </c>
      <c r="O324" s="17">
        <v>3.4900000000000001E-8</v>
      </c>
      <c r="P324" s="75">
        <v>4294967296</v>
      </c>
      <c r="Q324" t="s">
        <v>3836</v>
      </c>
      <c r="R324" t="s">
        <v>3836</v>
      </c>
    </row>
    <row r="325" spans="1:18" x14ac:dyDescent="0.25">
      <c r="A325" t="s">
        <v>3064</v>
      </c>
      <c r="B325" t="s">
        <v>2760</v>
      </c>
      <c r="C325" t="s">
        <v>2761</v>
      </c>
      <c r="D325" s="17" t="s">
        <v>3838</v>
      </c>
      <c r="E325" t="s">
        <v>3839</v>
      </c>
      <c r="F325" t="s">
        <v>35</v>
      </c>
      <c r="G325" t="s">
        <v>2700</v>
      </c>
      <c r="H325" s="8" t="s">
        <v>79</v>
      </c>
      <c r="J325" s="16" t="s">
        <v>3918</v>
      </c>
      <c r="K325" t="s">
        <v>14</v>
      </c>
      <c r="L325" t="s">
        <v>2659</v>
      </c>
      <c r="M325" s="17">
        <v>0</v>
      </c>
      <c r="N325" s="17">
        <v>150</v>
      </c>
      <c r="O325" s="17">
        <v>3.4900000000000001E-8</v>
      </c>
      <c r="P325" s="75">
        <v>4294967296</v>
      </c>
      <c r="Q325" t="s">
        <v>3836</v>
      </c>
      <c r="R325" t="s">
        <v>3836</v>
      </c>
    </row>
    <row r="326" spans="1:18" x14ac:dyDescent="0.25">
      <c r="A326" t="s">
        <v>3066</v>
      </c>
      <c r="B326" t="s">
        <v>2762</v>
      </c>
      <c r="C326" t="s">
        <v>2763</v>
      </c>
      <c r="D326" s="17" t="s">
        <v>3838</v>
      </c>
      <c r="E326" t="s">
        <v>3839</v>
      </c>
      <c r="F326" t="s">
        <v>35</v>
      </c>
      <c r="G326" t="s">
        <v>2700</v>
      </c>
      <c r="H326" s="8" t="s">
        <v>79</v>
      </c>
      <c r="J326" s="16" t="s">
        <v>3919</v>
      </c>
      <c r="K326" t="s">
        <v>14</v>
      </c>
      <c r="L326" t="s">
        <v>2659</v>
      </c>
      <c r="M326" s="17">
        <v>0</v>
      </c>
      <c r="N326" s="17">
        <v>150</v>
      </c>
      <c r="O326" s="17">
        <v>3.4900000000000001E-8</v>
      </c>
      <c r="P326" s="75">
        <v>4294967296</v>
      </c>
      <c r="Q326" t="s">
        <v>3836</v>
      </c>
      <c r="R326" t="s">
        <v>3836</v>
      </c>
    </row>
    <row r="327" spans="1:18" x14ac:dyDescent="0.25">
      <c r="A327" t="s">
        <v>3238</v>
      </c>
      <c r="B327" t="s">
        <v>3239</v>
      </c>
      <c r="C327" t="s">
        <v>3240</v>
      </c>
      <c r="D327" s="17" t="s">
        <v>3838</v>
      </c>
      <c r="E327" t="s">
        <v>3839</v>
      </c>
      <c r="F327" t="s">
        <v>35</v>
      </c>
      <c r="G327" t="s">
        <v>2701</v>
      </c>
      <c r="H327" s="8" t="s">
        <v>113</v>
      </c>
      <c r="J327" s="16" t="s">
        <v>3920</v>
      </c>
      <c r="K327" t="s">
        <v>14</v>
      </c>
      <c r="L327" t="s">
        <v>2659</v>
      </c>
      <c r="M327" s="17">
        <v>0</v>
      </c>
      <c r="N327" s="17">
        <v>10</v>
      </c>
      <c r="O327" s="17">
        <v>2.2999999999999999E-9</v>
      </c>
      <c r="P327" s="75">
        <v>4294967296</v>
      </c>
      <c r="Q327" t="s">
        <v>3836</v>
      </c>
      <c r="R327" t="s">
        <v>3836</v>
      </c>
    </row>
    <row r="328" spans="1:18" x14ac:dyDescent="0.25">
      <c r="A328" t="s">
        <v>3242</v>
      </c>
      <c r="B328" t="s">
        <v>3243</v>
      </c>
      <c r="C328" t="s">
        <v>3244</v>
      </c>
      <c r="D328" s="17" t="s">
        <v>3838</v>
      </c>
      <c r="E328" t="s">
        <v>3839</v>
      </c>
      <c r="F328" t="s">
        <v>35</v>
      </c>
      <c r="G328" t="s">
        <v>2657</v>
      </c>
      <c r="H328" s="8" t="s">
        <v>3053</v>
      </c>
      <c r="J328" s="16" t="s">
        <v>3921</v>
      </c>
      <c r="K328" t="s">
        <v>14</v>
      </c>
      <c r="L328" t="s">
        <v>2659</v>
      </c>
      <c r="M328" s="17">
        <v>0</v>
      </c>
      <c r="N328" s="17">
        <v>500</v>
      </c>
      <c r="O328" s="17">
        <v>1.164E-7</v>
      </c>
      <c r="P328" s="75">
        <v>4294967296</v>
      </c>
      <c r="Q328" t="s">
        <v>3836</v>
      </c>
      <c r="R328" t="s">
        <v>3836</v>
      </c>
    </row>
    <row r="329" spans="1:18" x14ac:dyDescent="0.25">
      <c r="A329" t="s">
        <v>3246</v>
      </c>
      <c r="B329" t="s">
        <v>3247</v>
      </c>
      <c r="C329" t="s">
        <v>3248</v>
      </c>
      <c r="D329" s="17" t="s">
        <v>3838</v>
      </c>
      <c r="E329" t="s">
        <v>3839</v>
      </c>
      <c r="F329" t="s">
        <v>35</v>
      </c>
      <c r="G329" t="s">
        <v>2657</v>
      </c>
      <c r="H329" s="8" t="s">
        <v>3053</v>
      </c>
      <c r="J329" s="16" t="s">
        <v>3922</v>
      </c>
      <c r="K329" t="s">
        <v>14</v>
      </c>
      <c r="L329" t="s">
        <v>2659</v>
      </c>
      <c r="M329" s="17">
        <v>0</v>
      </c>
      <c r="N329" s="17">
        <v>500</v>
      </c>
      <c r="O329" s="17">
        <v>1.164E-7</v>
      </c>
      <c r="P329" s="75">
        <v>4294967296</v>
      </c>
      <c r="Q329" t="s">
        <v>3836</v>
      </c>
      <c r="R329" t="s">
        <v>3836</v>
      </c>
    </row>
    <row r="330" spans="1:18" x14ac:dyDescent="0.25">
      <c r="A330" t="s">
        <v>3480</v>
      </c>
      <c r="B330" t="s">
        <v>3481</v>
      </c>
      <c r="C330" t="s">
        <v>3482</v>
      </c>
      <c r="D330" s="17" t="s">
        <v>3838</v>
      </c>
      <c r="E330" t="s">
        <v>3839</v>
      </c>
      <c r="F330" t="s">
        <v>35</v>
      </c>
      <c r="G330" t="s">
        <v>2756</v>
      </c>
      <c r="H330" s="8" t="s">
        <v>1679</v>
      </c>
      <c r="J330" s="16" t="s">
        <v>3923</v>
      </c>
      <c r="K330" t="s">
        <v>14</v>
      </c>
      <c r="L330" t="s">
        <v>2659</v>
      </c>
      <c r="M330" s="17">
        <v>0</v>
      </c>
      <c r="N330" s="17">
        <v>500000</v>
      </c>
      <c r="O330" s="17">
        <v>1.164153E-4</v>
      </c>
      <c r="P330" s="75">
        <v>4294967296</v>
      </c>
      <c r="Q330" t="s">
        <v>3836</v>
      </c>
      <c r="R330" t="s">
        <v>3836</v>
      </c>
    </row>
    <row r="331" spans="1:18" x14ac:dyDescent="0.25">
      <c r="A331" t="s">
        <v>3484</v>
      </c>
      <c r="B331" t="s">
        <v>3485</v>
      </c>
      <c r="C331" t="s">
        <v>3486</v>
      </c>
      <c r="D331" s="17" t="s">
        <v>3838</v>
      </c>
      <c r="E331" t="s">
        <v>3839</v>
      </c>
      <c r="F331" t="s">
        <v>35</v>
      </c>
      <c r="G331" t="s">
        <v>2785</v>
      </c>
      <c r="H331" s="8" t="s">
        <v>2599</v>
      </c>
      <c r="J331" s="16" t="s">
        <v>3924</v>
      </c>
      <c r="K331" t="s">
        <v>14</v>
      </c>
      <c r="L331" t="s">
        <v>2659</v>
      </c>
      <c r="M331" s="17">
        <v>0</v>
      </c>
      <c r="N331" s="17">
        <v>5</v>
      </c>
      <c r="O331" s="17">
        <v>1.2E-9</v>
      </c>
      <c r="P331" s="75">
        <v>4294967296</v>
      </c>
      <c r="Q331" t="s">
        <v>3836</v>
      </c>
      <c r="R331" t="s">
        <v>3836</v>
      </c>
    </row>
    <row r="332" spans="1:18" x14ac:dyDescent="0.25">
      <c r="A332" t="s">
        <v>3518</v>
      </c>
      <c r="B332" t="s">
        <v>3519</v>
      </c>
      <c r="C332" t="s">
        <v>3520</v>
      </c>
      <c r="D332" s="17" t="s">
        <v>3838</v>
      </c>
      <c r="E332" t="s">
        <v>3839</v>
      </c>
      <c r="F332" t="s">
        <v>35</v>
      </c>
      <c r="G332" t="s">
        <v>2686</v>
      </c>
      <c r="H332" s="8" t="s">
        <v>100</v>
      </c>
      <c r="J332" s="16" t="s">
        <v>3925</v>
      </c>
      <c r="K332" t="s">
        <v>14</v>
      </c>
      <c r="L332" t="s">
        <v>2659</v>
      </c>
      <c r="M332" s="17">
        <v>-2147483648</v>
      </c>
      <c r="N332" s="17">
        <v>2147483647</v>
      </c>
      <c r="O332" s="17">
        <v>1</v>
      </c>
      <c r="P332" s="75">
        <v>4294967296</v>
      </c>
      <c r="Q332" t="s">
        <v>3836</v>
      </c>
      <c r="R332" t="s">
        <v>3836</v>
      </c>
    </row>
    <row r="333" spans="1:18" x14ac:dyDescent="0.25">
      <c r="A333" s="77" t="s">
        <v>3197</v>
      </c>
      <c r="B333" t="s">
        <v>3107</v>
      </c>
      <c r="C333" t="s">
        <v>3108</v>
      </c>
      <c r="D333" s="17" t="s">
        <v>3838</v>
      </c>
      <c r="E333" t="s">
        <v>3839</v>
      </c>
      <c r="F333" t="s">
        <v>35</v>
      </c>
      <c r="G333" t="s">
        <v>2669</v>
      </c>
      <c r="H333" s="8" t="s">
        <v>113</v>
      </c>
      <c r="J333" s="16" t="s">
        <v>3926</v>
      </c>
      <c r="K333" t="s">
        <v>14</v>
      </c>
      <c r="L333" t="s">
        <v>2659</v>
      </c>
      <c r="M333" s="17">
        <v>-2147483648</v>
      </c>
      <c r="N333" s="17">
        <v>2147483647</v>
      </c>
      <c r="O333" s="17">
        <v>1</v>
      </c>
      <c r="P333" s="75">
        <v>4294967296</v>
      </c>
      <c r="Q333" t="s">
        <v>3836</v>
      </c>
      <c r="R333" t="s">
        <v>3836</v>
      </c>
    </row>
    <row r="334" spans="1:18" x14ac:dyDescent="0.25">
      <c r="A334" t="s">
        <v>3193</v>
      </c>
      <c r="B334" t="s">
        <v>3194</v>
      </c>
      <c r="C334" t="s">
        <v>3195</v>
      </c>
      <c r="D334" s="17" t="s">
        <v>3838</v>
      </c>
      <c r="E334" t="s">
        <v>3839</v>
      </c>
      <c r="F334" t="s">
        <v>35</v>
      </c>
      <c r="G334" t="s">
        <v>2756</v>
      </c>
      <c r="H334" s="8" t="s">
        <v>1679</v>
      </c>
      <c r="J334" s="16" t="s">
        <v>3927</v>
      </c>
      <c r="K334" t="s">
        <v>14</v>
      </c>
      <c r="L334" t="s">
        <v>2659</v>
      </c>
      <c r="M334" s="17">
        <v>-2147483648</v>
      </c>
      <c r="N334" s="17">
        <v>2147483647</v>
      </c>
      <c r="O334" s="17">
        <v>1</v>
      </c>
      <c r="P334" s="75">
        <v>4294967296</v>
      </c>
      <c r="Q334" t="s">
        <v>3836</v>
      </c>
      <c r="R334" t="s">
        <v>3836</v>
      </c>
    </row>
    <row r="335" spans="1:18" x14ac:dyDescent="0.25">
      <c r="A335" t="s">
        <v>3199</v>
      </c>
      <c r="B335" t="s">
        <v>3200</v>
      </c>
      <c r="C335" t="s">
        <v>3201</v>
      </c>
      <c r="D335" s="17" t="s">
        <v>3838</v>
      </c>
      <c r="E335" t="s">
        <v>3839</v>
      </c>
      <c r="F335" t="s">
        <v>35</v>
      </c>
      <c r="G335" t="s">
        <v>2669</v>
      </c>
      <c r="H335" s="8" t="s">
        <v>113</v>
      </c>
      <c r="J335" s="16" t="s">
        <v>3928</v>
      </c>
      <c r="K335" t="s">
        <v>14</v>
      </c>
      <c r="L335" t="s">
        <v>2659</v>
      </c>
      <c r="M335" s="17">
        <v>-2147483648</v>
      </c>
      <c r="N335" s="17">
        <v>2147483647</v>
      </c>
      <c r="O335" s="17">
        <v>1</v>
      </c>
      <c r="P335" s="75">
        <v>4294967296</v>
      </c>
      <c r="Q335" t="s">
        <v>3836</v>
      </c>
      <c r="R335" t="s">
        <v>3836</v>
      </c>
    </row>
    <row r="336" spans="1:18" x14ac:dyDescent="0.25">
      <c r="A336" t="s">
        <v>3367</v>
      </c>
      <c r="B336" t="s">
        <v>3368</v>
      </c>
      <c r="C336" t="s">
        <v>3369</v>
      </c>
      <c r="D336" s="17" t="s">
        <v>3838</v>
      </c>
      <c r="E336" t="s">
        <v>3839</v>
      </c>
      <c r="F336" t="s">
        <v>35</v>
      </c>
      <c r="G336" t="s">
        <v>2701</v>
      </c>
      <c r="H336" s="8" t="s">
        <v>113</v>
      </c>
      <c r="J336" s="16" t="s">
        <v>3929</v>
      </c>
      <c r="K336" t="s">
        <v>14</v>
      </c>
      <c r="L336" t="s">
        <v>2659</v>
      </c>
      <c r="M336" s="17">
        <v>-100</v>
      </c>
      <c r="N336" s="17">
        <v>100</v>
      </c>
      <c r="O336" s="17">
        <v>4.66E-8</v>
      </c>
      <c r="P336" s="75">
        <v>4294967296</v>
      </c>
      <c r="Q336" t="s">
        <v>3836</v>
      </c>
      <c r="R336" t="s">
        <v>3836</v>
      </c>
    </row>
    <row r="337" spans="1:18" x14ac:dyDescent="0.25">
      <c r="A337" t="s">
        <v>3372</v>
      </c>
      <c r="B337" t="s">
        <v>1075</v>
      </c>
      <c r="C337" t="s">
        <v>1076</v>
      </c>
      <c r="D337" s="17" t="s">
        <v>3838</v>
      </c>
      <c r="E337" t="s">
        <v>3839</v>
      </c>
      <c r="F337" t="s">
        <v>35</v>
      </c>
      <c r="G337" t="s">
        <v>2686</v>
      </c>
      <c r="H337" s="8" t="s">
        <v>100</v>
      </c>
      <c r="J337" s="16" t="s">
        <v>3930</v>
      </c>
      <c r="K337" t="s">
        <v>14</v>
      </c>
      <c r="L337" t="s">
        <v>2659</v>
      </c>
      <c r="M337" s="17">
        <v>-100</v>
      </c>
      <c r="N337" s="17">
        <v>100</v>
      </c>
      <c r="O337" s="17">
        <v>4.66E-8</v>
      </c>
      <c r="P337" s="75">
        <v>4294967296</v>
      </c>
      <c r="Q337" t="s">
        <v>3836</v>
      </c>
      <c r="R337" t="s">
        <v>3836</v>
      </c>
    </row>
    <row r="338" spans="1:18" x14ac:dyDescent="0.25">
      <c r="A338" t="s">
        <v>3374</v>
      </c>
      <c r="B338" t="s">
        <v>1075</v>
      </c>
      <c r="C338" t="s">
        <v>1076</v>
      </c>
      <c r="D338" s="17" t="s">
        <v>3838</v>
      </c>
      <c r="E338" t="s">
        <v>3839</v>
      </c>
      <c r="F338" t="s">
        <v>35</v>
      </c>
      <c r="G338" t="s">
        <v>2702</v>
      </c>
      <c r="H338" s="8" t="s">
        <v>71</v>
      </c>
      <c r="J338" s="16" t="s">
        <v>3931</v>
      </c>
      <c r="K338" t="s">
        <v>14</v>
      </c>
      <c r="L338" t="s">
        <v>2659</v>
      </c>
      <c r="M338" s="17">
        <v>-5000</v>
      </c>
      <c r="N338" s="17">
        <v>5000</v>
      </c>
      <c r="O338" s="17">
        <v>2.3282999999999998E-6</v>
      </c>
      <c r="P338" s="75">
        <v>4294967296</v>
      </c>
      <c r="Q338" t="s">
        <v>3836</v>
      </c>
      <c r="R338" t="s">
        <v>3836</v>
      </c>
    </row>
    <row r="339" spans="1:18" x14ac:dyDescent="0.25">
      <c r="A339" t="s">
        <v>3120</v>
      </c>
      <c r="B339" t="s">
        <v>3121</v>
      </c>
      <c r="C339" t="s">
        <v>3122</v>
      </c>
      <c r="D339" s="17" t="s">
        <v>3838</v>
      </c>
      <c r="E339" t="s">
        <v>3839</v>
      </c>
      <c r="F339" t="s">
        <v>35</v>
      </c>
      <c r="G339" t="s">
        <v>2786</v>
      </c>
      <c r="H339" s="8" t="s">
        <v>96</v>
      </c>
      <c r="J339" s="16" t="s">
        <v>3932</v>
      </c>
      <c r="K339" t="s">
        <v>14</v>
      </c>
      <c r="L339" t="s">
        <v>2659</v>
      </c>
      <c r="M339" s="17">
        <v>-273.14999999999998</v>
      </c>
      <c r="N339" s="17">
        <v>1500</v>
      </c>
      <c r="O339" s="17">
        <v>4.1279999999999999E-7</v>
      </c>
      <c r="P339" s="75">
        <v>4294967296</v>
      </c>
      <c r="Q339" t="s">
        <v>3836</v>
      </c>
      <c r="R339" t="s">
        <v>3836</v>
      </c>
    </row>
    <row r="340" spans="1:18" x14ac:dyDescent="0.25">
      <c r="A340" t="s">
        <v>3528</v>
      </c>
      <c r="B340" t="s">
        <v>3528</v>
      </c>
      <c r="C340" t="s">
        <v>3529</v>
      </c>
      <c r="D340" s="17" t="s">
        <v>3838</v>
      </c>
      <c r="E340" t="s">
        <v>3839</v>
      </c>
      <c r="F340" t="s">
        <v>35</v>
      </c>
      <c r="G340" t="s">
        <v>2786</v>
      </c>
      <c r="H340" s="8" t="s">
        <v>96</v>
      </c>
      <c r="J340" s="16" t="s">
        <v>3933</v>
      </c>
      <c r="K340" t="s">
        <v>14</v>
      </c>
      <c r="L340" t="s">
        <v>2659</v>
      </c>
      <c r="M340" s="17">
        <v>0</v>
      </c>
      <c r="N340" s="17">
        <v>50</v>
      </c>
      <c r="O340" s="17">
        <v>1.16E-8</v>
      </c>
      <c r="P340" s="75">
        <v>4294967296</v>
      </c>
      <c r="Q340" t="s">
        <v>3836</v>
      </c>
      <c r="R340" t="s">
        <v>3836</v>
      </c>
    </row>
    <row r="341" spans="1:18" x14ac:dyDescent="0.25">
      <c r="A341" t="s">
        <v>3006</v>
      </c>
      <c r="B341" t="s">
        <v>640</v>
      </c>
      <c r="C341" t="s">
        <v>641</v>
      </c>
      <c r="D341" s="17" t="s">
        <v>3838</v>
      </c>
      <c r="E341" t="s">
        <v>3839</v>
      </c>
      <c r="F341" t="s">
        <v>35</v>
      </c>
      <c r="G341" t="s">
        <v>2702</v>
      </c>
      <c r="H341" s="8" t="s">
        <v>71</v>
      </c>
      <c r="J341" s="16" t="s">
        <v>3934</v>
      </c>
      <c r="K341" t="s">
        <v>14</v>
      </c>
      <c r="L341" t="s">
        <v>2659</v>
      </c>
      <c r="M341" s="17">
        <v>-1000000</v>
      </c>
      <c r="N341" s="17">
        <v>1000000</v>
      </c>
      <c r="O341" s="17">
        <v>4.6566130000000002E-4</v>
      </c>
      <c r="P341" s="75">
        <v>4294967296</v>
      </c>
      <c r="Q341" t="s">
        <v>3836</v>
      </c>
      <c r="R341" t="s">
        <v>3836</v>
      </c>
    </row>
    <row r="342" spans="1:18" x14ac:dyDescent="0.25">
      <c r="A342" t="s">
        <v>3085</v>
      </c>
      <c r="B342" t="s">
        <v>3086</v>
      </c>
      <c r="C342" t="s">
        <v>3087</v>
      </c>
      <c r="D342" s="17" t="s">
        <v>3838</v>
      </c>
      <c r="E342" t="s">
        <v>3839</v>
      </c>
      <c r="F342" t="s">
        <v>35</v>
      </c>
      <c r="G342" t="s">
        <v>2686</v>
      </c>
      <c r="H342" s="8" t="s">
        <v>100</v>
      </c>
      <c r="J342" s="16" t="s">
        <v>3935</v>
      </c>
      <c r="K342" t="s">
        <v>14</v>
      </c>
      <c r="L342" t="s">
        <v>2659</v>
      </c>
      <c r="M342" s="17">
        <v>-21470</v>
      </c>
      <c r="N342" s="17">
        <v>214748</v>
      </c>
      <c r="O342" s="17">
        <v>5.4998799999999999E-5</v>
      </c>
      <c r="P342" s="75">
        <v>4294967296</v>
      </c>
      <c r="Q342" t="s">
        <v>3836</v>
      </c>
      <c r="R342" t="s">
        <v>3836</v>
      </c>
    </row>
    <row r="343" spans="1:18" x14ac:dyDescent="0.25">
      <c r="A343" t="s">
        <v>3470</v>
      </c>
      <c r="B343" t="s">
        <v>3538</v>
      </c>
      <c r="C343" t="s">
        <v>3539</v>
      </c>
      <c r="D343" s="17" t="s">
        <v>3838</v>
      </c>
      <c r="E343" t="s">
        <v>3839</v>
      </c>
      <c r="F343" t="s">
        <v>35</v>
      </c>
      <c r="G343" t="s">
        <v>3072</v>
      </c>
      <c r="H343" s="8" t="s">
        <v>82</v>
      </c>
      <c r="J343" s="16" t="s">
        <v>3936</v>
      </c>
      <c r="K343" t="s">
        <v>14</v>
      </c>
      <c r="L343" t="s">
        <v>2659</v>
      </c>
      <c r="M343" s="17">
        <v>0</v>
      </c>
      <c r="N343" s="17">
        <v>500000</v>
      </c>
      <c r="O343" s="17">
        <v>1.164153E-4</v>
      </c>
      <c r="P343" s="75">
        <v>4294967296</v>
      </c>
      <c r="Q343" t="s">
        <v>3836</v>
      </c>
      <c r="R343" t="s">
        <v>3836</v>
      </c>
    </row>
    <row r="344" spans="1:18" x14ac:dyDescent="0.25">
      <c r="A344" t="s">
        <v>3380</v>
      </c>
      <c r="B344" t="s">
        <v>3542</v>
      </c>
      <c r="C344" t="s">
        <v>3543</v>
      </c>
      <c r="D344" s="17" t="s">
        <v>3838</v>
      </c>
      <c r="E344" t="s">
        <v>3839</v>
      </c>
      <c r="F344" t="s">
        <v>35</v>
      </c>
      <c r="G344" t="s">
        <v>3072</v>
      </c>
      <c r="H344" s="8" t="s">
        <v>82</v>
      </c>
      <c r="J344" s="16" t="s">
        <v>3937</v>
      </c>
      <c r="K344" t="s">
        <v>14</v>
      </c>
      <c r="L344" t="s">
        <v>2659</v>
      </c>
      <c r="M344" s="17">
        <v>-10000</v>
      </c>
      <c r="N344" s="17">
        <v>10000</v>
      </c>
      <c r="O344" s="17">
        <v>4.6565999999999996E-6</v>
      </c>
      <c r="P344" s="75">
        <v>4294967296</v>
      </c>
      <c r="Q344" t="s">
        <v>3836</v>
      </c>
      <c r="R344" t="s">
        <v>3836</v>
      </c>
    </row>
    <row r="345" spans="1:18" x14ac:dyDescent="0.25">
      <c r="A345" t="s">
        <v>3462</v>
      </c>
      <c r="B345" t="s">
        <v>3463</v>
      </c>
      <c r="C345" t="s">
        <v>3464</v>
      </c>
      <c r="D345" s="17" t="s">
        <v>3838</v>
      </c>
      <c r="E345" t="s">
        <v>3839</v>
      </c>
      <c r="F345" t="s">
        <v>35</v>
      </c>
      <c r="G345" t="s">
        <v>3072</v>
      </c>
      <c r="H345" s="8" t="s">
        <v>82</v>
      </c>
      <c r="J345" s="16" t="s">
        <v>3938</v>
      </c>
      <c r="K345" t="s">
        <v>14</v>
      </c>
      <c r="L345" t="s">
        <v>2659</v>
      </c>
      <c r="M345" s="17">
        <v>0</v>
      </c>
      <c r="N345" s="17">
        <v>500000</v>
      </c>
      <c r="O345" s="17">
        <v>1.164153E-4</v>
      </c>
      <c r="P345" s="75">
        <v>4294967296</v>
      </c>
      <c r="Q345" t="s">
        <v>3836</v>
      </c>
      <c r="R345" t="s">
        <v>3836</v>
      </c>
    </row>
    <row r="346" spans="1:18" x14ac:dyDescent="0.25">
      <c r="A346" t="s">
        <v>3466</v>
      </c>
      <c r="B346" t="s">
        <v>3467</v>
      </c>
      <c r="C346" t="s">
        <v>3468</v>
      </c>
      <c r="D346" s="17" t="s">
        <v>3838</v>
      </c>
      <c r="E346" t="s">
        <v>3839</v>
      </c>
      <c r="F346" t="s">
        <v>35</v>
      </c>
      <c r="G346" t="s">
        <v>3072</v>
      </c>
      <c r="H346" s="8" t="s">
        <v>82</v>
      </c>
      <c r="J346" s="16" t="s">
        <v>3939</v>
      </c>
      <c r="K346" t="s">
        <v>14</v>
      </c>
      <c r="L346" t="s">
        <v>2659</v>
      </c>
      <c r="M346" s="17">
        <v>-500000</v>
      </c>
      <c r="N346" s="17">
        <v>0</v>
      </c>
      <c r="O346" s="17">
        <v>1.164153E-4</v>
      </c>
      <c r="P346" s="75">
        <v>4294967296</v>
      </c>
      <c r="Q346" t="s">
        <v>3836</v>
      </c>
      <c r="R346" t="s">
        <v>3836</v>
      </c>
    </row>
    <row r="347" spans="1:18" x14ac:dyDescent="0.25">
      <c r="A347" t="s">
        <v>3548</v>
      </c>
      <c r="B347" t="s">
        <v>3455</v>
      </c>
      <c r="C347" t="s">
        <v>3456</v>
      </c>
      <c r="D347" s="17" t="s">
        <v>3838</v>
      </c>
      <c r="E347" t="s">
        <v>3839</v>
      </c>
      <c r="F347" t="s">
        <v>35</v>
      </c>
      <c r="G347" t="s">
        <v>3072</v>
      </c>
      <c r="H347" s="8" t="s">
        <v>82</v>
      </c>
      <c r="J347" s="16" t="s">
        <v>3940</v>
      </c>
      <c r="K347" t="s">
        <v>14</v>
      </c>
      <c r="L347" t="s">
        <v>2659</v>
      </c>
      <c r="M347" s="17">
        <v>0</v>
      </c>
      <c r="N347" s="17">
        <v>500000</v>
      </c>
      <c r="O347" s="17">
        <v>1.164153E-4</v>
      </c>
      <c r="P347" s="75">
        <v>4294967296</v>
      </c>
      <c r="Q347" t="s">
        <v>3836</v>
      </c>
      <c r="R347" t="s">
        <v>3836</v>
      </c>
    </row>
    <row r="348" spans="1:18" x14ac:dyDescent="0.25">
      <c r="A348" t="s">
        <v>3550</v>
      </c>
      <c r="B348" t="s">
        <v>3459</v>
      </c>
      <c r="C348" t="s">
        <v>3460</v>
      </c>
      <c r="D348" s="17" t="s">
        <v>3838</v>
      </c>
      <c r="E348" t="s">
        <v>3839</v>
      </c>
      <c r="F348" t="s">
        <v>35</v>
      </c>
      <c r="G348" t="s">
        <v>3072</v>
      </c>
      <c r="H348" s="8" t="s">
        <v>82</v>
      </c>
      <c r="J348" s="16" t="s">
        <v>3941</v>
      </c>
      <c r="K348" t="s">
        <v>14</v>
      </c>
      <c r="L348" t="s">
        <v>2659</v>
      </c>
      <c r="M348" s="17">
        <v>-500000</v>
      </c>
      <c r="N348" s="17">
        <v>0</v>
      </c>
      <c r="O348" s="17">
        <v>1.164153E-4</v>
      </c>
      <c r="P348" s="75">
        <v>4294967296</v>
      </c>
      <c r="Q348" t="s">
        <v>3836</v>
      </c>
      <c r="R348" t="s">
        <v>3836</v>
      </c>
    </row>
    <row r="349" spans="1:18" x14ac:dyDescent="0.25">
      <c r="A349" t="s">
        <v>2688</v>
      </c>
      <c r="B349" t="s">
        <v>2688</v>
      </c>
      <c r="C349" t="s">
        <v>2689</v>
      </c>
      <c r="D349" s="17" t="s">
        <v>3838</v>
      </c>
      <c r="E349" t="s">
        <v>3839</v>
      </c>
      <c r="F349" t="s">
        <v>35</v>
      </c>
      <c r="G349" t="s">
        <v>2657</v>
      </c>
      <c r="H349" s="8" t="s">
        <v>3053</v>
      </c>
      <c r="J349" s="16" t="s">
        <v>3942</v>
      </c>
      <c r="K349" t="s">
        <v>14</v>
      </c>
      <c r="L349" t="s">
        <v>2659</v>
      </c>
      <c r="M349" s="17">
        <v>-1000</v>
      </c>
      <c r="N349" s="17">
        <v>1000</v>
      </c>
      <c r="O349" s="17">
        <v>4.6569999999999999E-7</v>
      </c>
      <c r="P349" s="75">
        <v>4294967296</v>
      </c>
      <c r="Q349" t="s">
        <v>3836</v>
      </c>
      <c r="R349" t="s">
        <v>3836</v>
      </c>
    </row>
    <row r="350" spans="1:18" x14ac:dyDescent="0.25">
      <c r="A350" t="s">
        <v>2692</v>
      </c>
      <c r="B350" t="s">
        <v>2692</v>
      </c>
      <c r="C350" t="s">
        <v>2693</v>
      </c>
      <c r="D350" s="17" t="s">
        <v>3838</v>
      </c>
      <c r="E350" t="s">
        <v>3839</v>
      </c>
      <c r="F350" t="s">
        <v>35</v>
      </c>
      <c r="G350" t="s">
        <v>2694</v>
      </c>
      <c r="H350" s="8" t="s">
        <v>64</v>
      </c>
      <c r="J350" s="16" t="s">
        <v>3943</v>
      </c>
      <c r="K350" t="s">
        <v>14</v>
      </c>
      <c r="L350" t="s">
        <v>2659</v>
      </c>
      <c r="M350" s="17">
        <v>0</v>
      </c>
      <c r="N350" s="17">
        <v>10000000</v>
      </c>
      <c r="O350" s="17">
        <v>2.3283064000000002E-3</v>
      </c>
      <c r="P350" s="75">
        <v>4294967296</v>
      </c>
      <c r="Q350" t="s">
        <v>3836</v>
      </c>
      <c r="R350" t="s">
        <v>3836</v>
      </c>
    </row>
    <row r="351" spans="1:18" x14ac:dyDescent="0.25">
      <c r="A351" t="s">
        <v>3741</v>
      </c>
      <c r="B351" t="s">
        <v>2475</v>
      </c>
      <c r="C351" t="s">
        <v>2476</v>
      </c>
      <c r="D351" s="17" t="s">
        <v>3838</v>
      </c>
      <c r="E351" t="s">
        <v>3839</v>
      </c>
      <c r="F351" t="s">
        <v>35</v>
      </c>
      <c r="G351" t="s">
        <v>3303</v>
      </c>
      <c r="H351" s="8" t="s">
        <v>2602</v>
      </c>
      <c r="J351" s="16" t="s">
        <v>3944</v>
      </c>
      <c r="K351" t="s">
        <v>14</v>
      </c>
      <c r="L351" t="s">
        <v>2659</v>
      </c>
      <c r="M351" s="17">
        <v>-2000</v>
      </c>
      <c r="N351" s="17">
        <v>2000</v>
      </c>
      <c r="O351" s="17">
        <v>9.3129999999999998E-7</v>
      </c>
      <c r="P351" s="75">
        <v>4294967296</v>
      </c>
      <c r="Q351" t="s">
        <v>3836</v>
      </c>
      <c r="R351" t="s">
        <v>3836</v>
      </c>
    </row>
    <row r="352" spans="1:18" x14ac:dyDescent="0.25">
      <c r="A352" t="s">
        <v>3743</v>
      </c>
      <c r="B352" t="s">
        <v>2680</v>
      </c>
      <c r="C352" t="s">
        <v>2681</v>
      </c>
      <c r="D352" s="17" t="s">
        <v>3838</v>
      </c>
      <c r="E352" t="s">
        <v>3839</v>
      </c>
      <c r="F352" t="s">
        <v>35</v>
      </c>
      <c r="G352" t="s">
        <v>2684</v>
      </c>
      <c r="H352" s="8" t="s">
        <v>2600</v>
      </c>
      <c r="J352" s="16" t="s">
        <v>3945</v>
      </c>
      <c r="K352" t="s">
        <v>14</v>
      </c>
      <c r="L352" t="s">
        <v>2659</v>
      </c>
      <c r="M352" s="17">
        <v>-100</v>
      </c>
      <c r="N352" s="17">
        <v>100</v>
      </c>
      <c r="O352" s="17">
        <v>4.66E-8</v>
      </c>
      <c r="P352" s="75">
        <v>4294967296</v>
      </c>
      <c r="Q352" t="s">
        <v>3836</v>
      </c>
      <c r="R352" t="s">
        <v>3836</v>
      </c>
    </row>
    <row r="353" spans="1:18" x14ac:dyDescent="0.25">
      <c r="A353" t="s">
        <v>3946</v>
      </c>
      <c r="B353" t="s">
        <v>636</v>
      </c>
      <c r="C353" t="s">
        <v>637</v>
      </c>
      <c r="D353" t="s">
        <v>2664</v>
      </c>
      <c r="E353" t="s">
        <v>2664</v>
      </c>
      <c r="F353" t="s">
        <v>35</v>
      </c>
      <c r="G353" t="s">
        <v>2669</v>
      </c>
      <c r="H353" s="8" t="s">
        <v>113</v>
      </c>
      <c r="J353" s="16" t="s">
        <v>3947</v>
      </c>
      <c r="K353" t="s">
        <v>14</v>
      </c>
      <c r="L353" t="s">
        <v>2659</v>
      </c>
      <c r="M353" s="17">
        <v>0</v>
      </c>
      <c r="N353" s="17">
        <v>1</v>
      </c>
      <c r="O353" s="17">
        <v>2.0000000000000001E-10</v>
      </c>
      <c r="P353" s="75">
        <v>4294967296</v>
      </c>
      <c r="Q353" t="s">
        <v>2660</v>
      </c>
      <c r="R353" t="s">
        <v>2660</v>
      </c>
    </row>
    <row r="354" spans="1:18" x14ac:dyDescent="0.25">
      <c r="A354" t="s">
        <v>3948</v>
      </c>
      <c r="B354" t="s">
        <v>3951</v>
      </c>
      <c r="C354" t="s">
        <v>3950</v>
      </c>
      <c r="D354" t="s">
        <v>2664</v>
      </c>
      <c r="E354" t="s">
        <v>2664</v>
      </c>
      <c r="F354" t="s">
        <v>35</v>
      </c>
      <c r="G354" t="s">
        <v>2669</v>
      </c>
      <c r="H354" s="8" t="s">
        <v>113</v>
      </c>
      <c r="J354" s="16" t="s">
        <v>3949</v>
      </c>
      <c r="K354" t="s">
        <v>14</v>
      </c>
      <c r="L354" t="s">
        <v>2659</v>
      </c>
      <c r="M354" s="17">
        <v>0</v>
      </c>
      <c r="N354" s="17">
        <v>1</v>
      </c>
      <c r="O354" s="17">
        <v>2.0000000000000001E-10</v>
      </c>
      <c r="P354" s="75">
        <v>4294967296</v>
      </c>
      <c r="Q354" t="s">
        <v>2660</v>
      </c>
      <c r="R354" t="s">
        <v>2660</v>
      </c>
    </row>
    <row r="355" spans="1:18" x14ac:dyDescent="0.25">
      <c r="A355" t="s">
        <v>3953</v>
      </c>
      <c r="B355" t="s">
        <v>3953</v>
      </c>
      <c r="C355" t="s">
        <v>3954</v>
      </c>
      <c r="D355" t="s">
        <v>2664</v>
      </c>
      <c r="E355" t="s">
        <v>2664</v>
      </c>
      <c r="F355" t="s">
        <v>35</v>
      </c>
      <c r="G355" t="s">
        <v>2669</v>
      </c>
      <c r="H355" s="8" t="s">
        <v>113</v>
      </c>
      <c r="J355" s="16" t="s">
        <v>3952</v>
      </c>
      <c r="K355" t="s">
        <v>14</v>
      </c>
      <c r="L355" t="s">
        <v>2659</v>
      </c>
      <c r="M355" s="17">
        <v>0</v>
      </c>
      <c r="N355" s="17">
        <v>1</v>
      </c>
      <c r="O355" s="17">
        <v>2.0000000000000001E-10</v>
      </c>
      <c r="P355" s="75">
        <v>4294967296</v>
      </c>
      <c r="Q355" t="s">
        <v>2660</v>
      </c>
      <c r="R355" t="s">
        <v>2660</v>
      </c>
    </row>
    <row r="356" spans="1:18" x14ac:dyDescent="0.25">
      <c r="A356" t="s">
        <v>3957</v>
      </c>
      <c r="B356" t="s">
        <v>3957</v>
      </c>
      <c r="C356" t="s">
        <v>3956</v>
      </c>
      <c r="D356" t="s">
        <v>2664</v>
      </c>
      <c r="E356" t="s">
        <v>2664</v>
      </c>
      <c r="F356" t="s">
        <v>35</v>
      </c>
      <c r="G356" t="s">
        <v>2669</v>
      </c>
      <c r="H356" s="8" t="s">
        <v>113</v>
      </c>
      <c r="J356" s="16" t="s">
        <v>3955</v>
      </c>
      <c r="K356" t="s">
        <v>14</v>
      </c>
      <c r="L356" t="s">
        <v>2659</v>
      </c>
      <c r="M356" s="17">
        <v>0</v>
      </c>
      <c r="N356" s="17">
        <v>1</v>
      </c>
      <c r="O356" s="17">
        <v>2.0000000000000001E-10</v>
      </c>
      <c r="P356" s="75">
        <v>4294967296</v>
      </c>
      <c r="Q356" t="s">
        <v>2660</v>
      </c>
      <c r="R356" t="s">
        <v>2660</v>
      </c>
    </row>
    <row r="357" spans="1:18" x14ac:dyDescent="0.25">
      <c r="A357" t="s">
        <v>3958</v>
      </c>
      <c r="B357" t="s">
        <v>3958</v>
      </c>
      <c r="C357" t="s">
        <v>3960</v>
      </c>
      <c r="D357" t="s">
        <v>2664</v>
      </c>
      <c r="E357" t="s">
        <v>2664</v>
      </c>
      <c r="F357" t="s">
        <v>35</v>
      </c>
      <c r="G357" t="s">
        <v>2669</v>
      </c>
      <c r="H357" s="8" t="s">
        <v>113</v>
      </c>
      <c r="J357" s="16" t="s">
        <v>3962</v>
      </c>
      <c r="K357" t="s">
        <v>14</v>
      </c>
      <c r="L357" t="s">
        <v>2659</v>
      </c>
      <c r="M357" s="17">
        <v>0</v>
      </c>
      <c r="N357" s="17">
        <v>1</v>
      </c>
      <c r="O357" s="17">
        <v>2.0000000000000001E-10</v>
      </c>
      <c r="P357" s="75">
        <v>4294967296</v>
      </c>
      <c r="Q357" t="s">
        <v>2660</v>
      </c>
      <c r="R357" t="s">
        <v>2660</v>
      </c>
    </row>
    <row r="358" spans="1:18" x14ac:dyDescent="0.25">
      <c r="A358" t="s">
        <v>3959</v>
      </c>
      <c r="B358" t="s">
        <v>3959</v>
      </c>
      <c r="C358" t="s">
        <v>3961</v>
      </c>
      <c r="D358" t="s">
        <v>2664</v>
      </c>
      <c r="E358" t="s">
        <v>2664</v>
      </c>
      <c r="F358" t="s">
        <v>35</v>
      </c>
      <c r="G358" t="s">
        <v>2669</v>
      </c>
      <c r="H358" s="8" t="s">
        <v>113</v>
      </c>
      <c r="J358" s="16" t="s">
        <v>3963</v>
      </c>
      <c r="K358" t="s">
        <v>14</v>
      </c>
      <c r="L358" t="s">
        <v>2659</v>
      </c>
      <c r="M358" s="17">
        <v>0</v>
      </c>
      <c r="N358" s="17">
        <v>1</v>
      </c>
      <c r="O358" s="17">
        <v>2.0000000000000001E-10</v>
      </c>
      <c r="P358" s="75">
        <v>4294967296</v>
      </c>
      <c r="Q358" t="s">
        <v>2660</v>
      </c>
      <c r="R358" t="s">
        <v>2660</v>
      </c>
    </row>
    <row r="359" spans="1:18" x14ac:dyDescent="0.25">
      <c r="A359" t="s">
        <v>3964</v>
      </c>
      <c r="B359" t="s">
        <v>3965</v>
      </c>
      <c r="C359" t="s">
        <v>3966</v>
      </c>
      <c r="D359" t="s">
        <v>2789</v>
      </c>
      <c r="E359" t="s">
        <v>2789</v>
      </c>
      <c r="F359" t="s">
        <v>35</v>
      </c>
      <c r="G359" t="s">
        <v>2756</v>
      </c>
      <c r="H359" s="8" t="s">
        <v>1679</v>
      </c>
      <c r="J359" s="16" t="s">
        <v>3967</v>
      </c>
      <c r="K359" t="s">
        <v>14</v>
      </c>
      <c r="L359" t="s">
        <v>2659</v>
      </c>
      <c r="M359" s="17">
        <v>0</v>
      </c>
      <c r="N359" s="17">
        <v>1000000</v>
      </c>
      <c r="O359" s="17">
        <v>2.3283059999999999E-4</v>
      </c>
      <c r="P359" s="75">
        <v>4294967296</v>
      </c>
      <c r="Q359" t="s">
        <v>2660</v>
      </c>
      <c r="R359" t="s">
        <v>2660</v>
      </c>
    </row>
    <row r="360" spans="1:18" x14ac:dyDescent="0.25">
      <c r="A360" t="s">
        <v>3969</v>
      </c>
      <c r="B360" t="s">
        <v>3969</v>
      </c>
      <c r="C360" t="s">
        <v>3970</v>
      </c>
      <c r="D360" t="s">
        <v>2789</v>
      </c>
      <c r="E360" t="s">
        <v>2789</v>
      </c>
      <c r="F360" t="s">
        <v>35</v>
      </c>
      <c r="G360" t="s">
        <v>2786</v>
      </c>
      <c r="H360" s="8" t="s">
        <v>96</v>
      </c>
      <c r="J360" s="16" t="s">
        <v>3968</v>
      </c>
      <c r="K360" t="s">
        <v>14</v>
      </c>
      <c r="L360" t="s">
        <v>2659</v>
      </c>
      <c r="M360" s="17">
        <v>-273.14999999999998</v>
      </c>
      <c r="N360" s="17">
        <v>1500</v>
      </c>
      <c r="O360" s="17">
        <v>4.1279999999999999E-7</v>
      </c>
      <c r="P360" s="75">
        <v>4294967296</v>
      </c>
      <c r="Q360" t="s">
        <v>2660</v>
      </c>
      <c r="R360" t="s">
        <v>2660</v>
      </c>
    </row>
    <row r="361" spans="1:18" x14ac:dyDescent="0.25">
      <c r="A361" s="77" t="s">
        <v>2718</v>
      </c>
      <c r="B361" t="s">
        <v>2719</v>
      </c>
      <c r="C361" t="s">
        <v>2720</v>
      </c>
      <c r="D361" t="s">
        <v>2716</v>
      </c>
      <c r="E361" t="s">
        <v>3841</v>
      </c>
      <c r="F361" t="s">
        <v>35</v>
      </c>
      <c r="G361" t="s">
        <v>2698</v>
      </c>
      <c r="H361" s="8" t="s">
        <v>113</v>
      </c>
      <c r="J361" s="16" t="s">
        <v>3971</v>
      </c>
      <c r="K361" t="s">
        <v>14</v>
      </c>
      <c r="L361" t="s">
        <v>2659</v>
      </c>
      <c r="M361" s="17">
        <v>0</v>
      </c>
      <c r="N361" s="17">
        <v>10</v>
      </c>
      <c r="O361" s="17">
        <v>2.2999999999999999E-9</v>
      </c>
      <c r="P361" s="75">
        <v>4294967296</v>
      </c>
      <c r="Q361" t="s">
        <v>3836</v>
      </c>
      <c r="R361" t="s">
        <v>3836</v>
      </c>
    </row>
    <row r="362" spans="1:18" x14ac:dyDescent="0.25">
      <c r="A362" t="s">
        <v>2721</v>
      </c>
      <c r="B362" t="s">
        <v>2722</v>
      </c>
      <c r="C362" t="s">
        <v>2723</v>
      </c>
      <c r="D362" t="s">
        <v>2716</v>
      </c>
      <c r="E362" t="s">
        <v>3841</v>
      </c>
      <c r="F362" t="s">
        <v>35</v>
      </c>
      <c r="G362" t="s">
        <v>2724</v>
      </c>
      <c r="H362" s="8" t="s">
        <v>85</v>
      </c>
      <c r="J362" s="16" t="s">
        <v>3842</v>
      </c>
      <c r="K362" t="s">
        <v>14</v>
      </c>
      <c r="L362" t="s">
        <v>2659</v>
      </c>
      <c r="M362" s="17">
        <v>0</v>
      </c>
      <c r="N362" s="17">
        <v>1000</v>
      </c>
      <c r="O362" s="17">
        <v>2.3279999999999999E-7</v>
      </c>
      <c r="P362" s="75">
        <v>4294967296</v>
      </c>
      <c r="Q362" t="s">
        <v>3836</v>
      </c>
      <c r="R362" t="s">
        <v>3836</v>
      </c>
    </row>
    <row r="363" spans="1:18" x14ac:dyDescent="0.25">
      <c r="A363" t="s">
        <v>2726</v>
      </c>
      <c r="B363" t="s">
        <v>2727</v>
      </c>
      <c r="C363" t="s">
        <v>3051</v>
      </c>
      <c r="D363" t="s">
        <v>2716</v>
      </c>
      <c r="E363" t="s">
        <v>3841</v>
      </c>
      <c r="F363" t="s">
        <v>35</v>
      </c>
      <c r="G363" t="s">
        <v>2724</v>
      </c>
      <c r="H363" s="8" t="s">
        <v>85</v>
      </c>
      <c r="J363" s="16" t="s">
        <v>3972</v>
      </c>
      <c r="K363" t="s">
        <v>14</v>
      </c>
      <c r="L363" t="s">
        <v>2659</v>
      </c>
      <c r="M363" s="17">
        <v>0</v>
      </c>
      <c r="N363" s="17">
        <v>1000</v>
      </c>
      <c r="O363" s="17">
        <v>2.3279999999999999E-7</v>
      </c>
      <c r="P363" s="75">
        <v>4294967296</v>
      </c>
      <c r="Q363" t="s">
        <v>3836</v>
      </c>
      <c r="R363" t="s">
        <v>3836</v>
      </c>
    </row>
    <row r="364" spans="1:18" x14ac:dyDescent="0.25">
      <c r="A364" t="s">
        <v>2728</v>
      </c>
      <c r="B364" t="s">
        <v>2729</v>
      </c>
      <c r="C364" t="s">
        <v>2730</v>
      </c>
      <c r="D364" t="s">
        <v>2716</v>
      </c>
      <c r="E364" t="s">
        <v>3841</v>
      </c>
      <c r="F364" t="s">
        <v>35</v>
      </c>
      <c r="G364" t="s">
        <v>2724</v>
      </c>
      <c r="H364" s="8" t="s">
        <v>85</v>
      </c>
      <c r="J364" s="16" t="s">
        <v>3973</v>
      </c>
      <c r="K364" t="s">
        <v>14</v>
      </c>
      <c r="L364" t="s">
        <v>2659</v>
      </c>
      <c r="M364" s="17">
        <v>0</v>
      </c>
      <c r="N364" s="17">
        <v>1000</v>
      </c>
      <c r="O364" s="17">
        <v>2.3279999999999999E-7</v>
      </c>
      <c r="P364" s="75">
        <v>4294967296</v>
      </c>
      <c r="Q364" t="s">
        <v>3836</v>
      </c>
      <c r="R364" t="s">
        <v>3836</v>
      </c>
    </row>
    <row r="365" spans="1:18" x14ac:dyDescent="0.25">
      <c r="A365" t="s">
        <v>2732</v>
      </c>
      <c r="B365" t="s">
        <v>2733</v>
      </c>
      <c r="C365" t="s">
        <v>2734</v>
      </c>
      <c r="D365" t="s">
        <v>2716</v>
      </c>
      <c r="E365" t="s">
        <v>3841</v>
      </c>
      <c r="F365" t="s">
        <v>35</v>
      </c>
      <c r="G365" t="s">
        <v>2724</v>
      </c>
      <c r="H365" s="8" t="s">
        <v>85</v>
      </c>
      <c r="J365" s="16" t="s">
        <v>3974</v>
      </c>
      <c r="K365" t="s">
        <v>14</v>
      </c>
      <c r="L365" t="s">
        <v>2659</v>
      </c>
      <c r="M365" s="17">
        <v>0</v>
      </c>
      <c r="N365" s="17">
        <v>1000</v>
      </c>
      <c r="O365" s="17">
        <v>2.3279999999999999E-7</v>
      </c>
      <c r="P365" s="75">
        <v>4294967296</v>
      </c>
      <c r="Q365" t="s">
        <v>3836</v>
      </c>
      <c r="R365" t="s">
        <v>3836</v>
      </c>
    </row>
    <row r="366" spans="1:18" x14ac:dyDescent="0.25">
      <c r="A366" t="s">
        <v>2736</v>
      </c>
      <c r="B366" t="s">
        <v>2737</v>
      </c>
      <c r="C366" t="s">
        <v>2738</v>
      </c>
      <c r="D366" t="s">
        <v>2716</v>
      </c>
      <c r="E366" t="s">
        <v>3841</v>
      </c>
      <c r="F366" t="s">
        <v>35</v>
      </c>
      <c r="G366" t="s">
        <v>2724</v>
      </c>
      <c r="H366" s="8" t="s">
        <v>85</v>
      </c>
      <c r="J366" s="16" t="s">
        <v>3975</v>
      </c>
      <c r="K366" t="s">
        <v>14</v>
      </c>
      <c r="L366" t="s">
        <v>2659</v>
      </c>
      <c r="M366" s="17">
        <v>0</v>
      </c>
      <c r="N366" s="17">
        <v>1000</v>
      </c>
      <c r="O366" s="17">
        <v>2.3279999999999999E-7</v>
      </c>
      <c r="P366" s="75">
        <v>4294967296</v>
      </c>
      <c r="Q366" t="s">
        <v>3836</v>
      </c>
      <c r="R366" t="s">
        <v>3836</v>
      </c>
    </row>
    <row r="367" spans="1:18" x14ac:dyDescent="0.25">
      <c r="A367" t="s">
        <v>2740</v>
      </c>
      <c r="B367" t="s">
        <v>2741</v>
      </c>
      <c r="C367" t="s">
        <v>2742</v>
      </c>
      <c r="D367" t="s">
        <v>2716</v>
      </c>
      <c r="E367" t="s">
        <v>3841</v>
      </c>
      <c r="F367" t="s">
        <v>35</v>
      </c>
      <c r="G367" t="s">
        <v>2724</v>
      </c>
      <c r="H367" s="8" t="s">
        <v>85</v>
      </c>
      <c r="J367" s="16" t="s">
        <v>3976</v>
      </c>
      <c r="K367" t="s">
        <v>14</v>
      </c>
      <c r="L367" t="s">
        <v>2659</v>
      </c>
      <c r="M367" s="17">
        <v>0</v>
      </c>
      <c r="N367" s="17">
        <v>1000</v>
      </c>
      <c r="O367" s="17">
        <v>2.3279999999999999E-7</v>
      </c>
      <c r="P367" s="75">
        <v>4294967296</v>
      </c>
      <c r="Q367" t="s">
        <v>3836</v>
      </c>
      <c r="R367" t="s">
        <v>3836</v>
      </c>
    </row>
    <row r="368" spans="1:18" x14ac:dyDescent="0.25">
      <c r="A368" t="s">
        <v>2744</v>
      </c>
      <c r="B368" t="s">
        <v>2727</v>
      </c>
      <c r="C368" t="s">
        <v>3051</v>
      </c>
      <c r="D368" t="s">
        <v>2716</v>
      </c>
      <c r="E368" t="s">
        <v>3841</v>
      </c>
      <c r="F368" t="s">
        <v>35</v>
      </c>
      <c r="G368" t="s">
        <v>2678</v>
      </c>
      <c r="H368" s="8" t="s">
        <v>76</v>
      </c>
      <c r="J368" s="16" t="s">
        <v>3977</v>
      </c>
      <c r="K368" t="s">
        <v>14</v>
      </c>
      <c r="L368" t="s">
        <v>2659</v>
      </c>
      <c r="M368" s="17">
        <v>-720</v>
      </c>
      <c r="N368" s="17">
        <v>720</v>
      </c>
      <c r="O368" s="17">
        <v>3.3529999999999999E-7</v>
      </c>
      <c r="P368" s="75">
        <v>4294967296</v>
      </c>
      <c r="Q368" t="s">
        <v>3836</v>
      </c>
      <c r="R368" t="s">
        <v>3836</v>
      </c>
    </row>
    <row r="369" spans="1:18" x14ac:dyDescent="0.25">
      <c r="A369" t="s">
        <v>2745</v>
      </c>
      <c r="B369" t="s">
        <v>2729</v>
      </c>
      <c r="C369" t="s">
        <v>2730</v>
      </c>
      <c r="D369" t="s">
        <v>2716</v>
      </c>
      <c r="E369" t="s">
        <v>3841</v>
      </c>
      <c r="F369" t="s">
        <v>35</v>
      </c>
      <c r="G369" t="s">
        <v>2678</v>
      </c>
      <c r="H369" s="8" t="s">
        <v>76</v>
      </c>
      <c r="J369" s="16" t="s">
        <v>3978</v>
      </c>
      <c r="K369" t="s">
        <v>14</v>
      </c>
      <c r="L369" t="s">
        <v>2659</v>
      </c>
      <c r="M369" s="17">
        <v>-720</v>
      </c>
      <c r="N369" s="17">
        <v>720</v>
      </c>
      <c r="O369" s="17">
        <v>3.3529999999999999E-7</v>
      </c>
      <c r="P369" s="75">
        <v>4294967296</v>
      </c>
      <c r="Q369" t="s">
        <v>3836</v>
      </c>
      <c r="R369" t="s">
        <v>3836</v>
      </c>
    </row>
    <row r="370" spans="1:18" x14ac:dyDescent="0.25">
      <c r="A370" t="s">
        <v>2747</v>
      </c>
      <c r="B370" t="s">
        <v>2733</v>
      </c>
      <c r="C370" t="s">
        <v>2734</v>
      </c>
      <c r="D370" t="s">
        <v>2716</v>
      </c>
      <c r="E370" t="s">
        <v>3841</v>
      </c>
      <c r="F370" t="s">
        <v>35</v>
      </c>
      <c r="G370" t="s">
        <v>2678</v>
      </c>
      <c r="H370" s="8" t="s">
        <v>76</v>
      </c>
      <c r="J370" s="16" t="s">
        <v>3979</v>
      </c>
      <c r="K370" t="s">
        <v>14</v>
      </c>
      <c r="L370" t="s">
        <v>2659</v>
      </c>
      <c r="M370" s="17">
        <v>-720</v>
      </c>
      <c r="N370" s="17">
        <v>720</v>
      </c>
      <c r="O370" s="17">
        <v>3.3529999999999999E-7</v>
      </c>
      <c r="P370" s="75">
        <v>4294967296</v>
      </c>
      <c r="Q370" t="s">
        <v>3836</v>
      </c>
      <c r="R370" t="s">
        <v>3836</v>
      </c>
    </row>
    <row r="371" spans="1:18" x14ac:dyDescent="0.25">
      <c r="A371" t="s">
        <v>2749</v>
      </c>
      <c r="B371" t="s">
        <v>2737</v>
      </c>
      <c r="C371" t="s">
        <v>2738</v>
      </c>
      <c r="D371" t="s">
        <v>2716</v>
      </c>
      <c r="E371" t="s">
        <v>3841</v>
      </c>
      <c r="F371" t="s">
        <v>35</v>
      </c>
      <c r="G371" t="s">
        <v>2678</v>
      </c>
      <c r="H371" s="8" t="s">
        <v>76</v>
      </c>
      <c r="J371" s="16" t="s">
        <v>3980</v>
      </c>
      <c r="K371" t="s">
        <v>14</v>
      </c>
      <c r="L371" t="s">
        <v>2659</v>
      </c>
      <c r="M371" s="17">
        <v>-720</v>
      </c>
      <c r="N371" s="17">
        <v>720</v>
      </c>
      <c r="O371" s="17">
        <v>3.3529999999999999E-7</v>
      </c>
      <c r="P371" s="75">
        <v>4294967296</v>
      </c>
      <c r="Q371" t="s">
        <v>3836</v>
      </c>
      <c r="R371" t="s">
        <v>3836</v>
      </c>
    </row>
    <row r="372" spans="1:18" x14ac:dyDescent="0.25">
      <c r="A372" t="s">
        <v>2751</v>
      </c>
      <c r="B372" t="s">
        <v>2741</v>
      </c>
      <c r="C372" t="s">
        <v>2742</v>
      </c>
      <c r="D372" t="s">
        <v>2716</v>
      </c>
      <c r="E372" t="s">
        <v>3841</v>
      </c>
      <c r="F372" t="s">
        <v>35</v>
      </c>
      <c r="G372" t="s">
        <v>2678</v>
      </c>
      <c r="H372" s="8" t="s">
        <v>76</v>
      </c>
      <c r="J372" s="16" t="s">
        <v>3981</v>
      </c>
      <c r="K372" t="s">
        <v>14</v>
      </c>
      <c r="L372" t="s">
        <v>2659</v>
      </c>
      <c r="M372" s="17">
        <v>-720</v>
      </c>
      <c r="N372" s="17">
        <v>720</v>
      </c>
      <c r="O372" s="17">
        <v>3.3529999999999999E-7</v>
      </c>
      <c r="P372" s="75">
        <v>4294967296</v>
      </c>
      <c r="Q372" t="s">
        <v>3836</v>
      </c>
      <c r="R372" t="s">
        <v>3836</v>
      </c>
    </row>
    <row r="373" spans="1:18" x14ac:dyDescent="0.25">
      <c r="A373" t="s">
        <v>2753</v>
      </c>
      <c r="B373" t="s">
        <v>2754</v>
      </c>
      <c r="C373" t="s">
        <v>2755</v>
      </c>
      <c r="D373" t="s">
        <v>2716</v>
      </c>
      <c r="E373" t="s">
        <v>3841</v>
      </c>
      <c r="F373" t="s">
        <v>35</v>
      </c>
      <c r="G373" t="s">
        <v>2756</v>
      </c>
      <c r="H373" s="8" t="s">
        <v>1679</v>
      </c>
      <c r="J373" s="16" t="s">
        <v>3982</v>
      </c>
      <c r="K373" t="s">
        <v>14</v>
      </c>
      <c r="L373" t="s">
        <v>2659</v>
      </c>
      <c r="M373" s="17">
        <v>0</v>
      </c>
      <c r="N373" s="17">
        <v>400000000</v>
      </c>
      <c r="O373" s="17">
        <v>9.3132257499999996E-2</v>
      </c>
      <c r="P373" s="75">
        <v>4294967296</v>
      </c>
      <c r="Q373" t="s">
        <v>3836</v>
      </c>
      <c r="R373" t="s">
        <v>3836</v>
      </c>
    </row>
    <row r="374" spans="1:18" x14ac:dyDescent="0.25">
      <c r="A374" t="s">
        <v>3022</v>
      </c>
      <c r="B374" t="s">
        <v>3023</v>
      </c>
      <c r="C374" t="s">
        <v>3024</v>
      </c>
      <c r="D374" t="s">
        <v>2716</v>
      </c>
      <c r="E374" t="s">
        <v>3841</v>
      </c>
      <c r="F374" t="s">
        <v>35</v>
      </c>
      <c r="G374" t="s">
        <v>2702</v>
      </c>
      <c r="H374" s="8" t="s">
        <v>71</v>
      </c>
      <c r="J374" s="16" t="s">
        <v>3983</v>
      </c>
      <c r="K374" t="s">
        <v>14</v>
      </c>
      <c r="L374" t="s">
        <v>2659</v>
      </c>
      <c r="M374" s="17">
        <v>0</v>
      </c>
      <c r="N374" s="17">
        <v>10000</v>
      </c>
      <c r="O374" s="17">
        <v>2.3282999999999998E-6</v>
      </c>
      <c r="P374" s="75">
        <v>4294967296</v>
      </c>
      <c r="Q374" t="s">
        <v>3836</v>
      </c>
      <c r="R374" t="s">
        <v>3836</v>
      </c>
    </row>
    <row r="375" spans="1:18" x14ac:dyDescent="0.25">
      <c r="A375" t="s">
        <v>3025</v>
      </c>
      <c r="B375" t="s">
        <v>3026</v>
      </c>
      <c r="C375" t="s">
        <v>3027</v>
      </c>
      <c r="D375" t="s">
        <v>2716</v>
      </c>
      <c r="E375" t="s">
        <v>3841</v>
      </c>
      <c r="F375" t="s">
        <v>35</v>
      </c>
      <c r="G375" t="s">
        <v>2686</v>
      </c>
      <c r="H375" s="8" t="s">
        <v>100</v>
      </c>
      <c r="J375" s="16" t="s">
        <v>3984</v>
      </c>
      <c r="K375" t="s">
        <v>14</v>
      </c>
      <c r="L375" t="s">
        <v>2659</v>
      </c>
      <c r="M375" s="17">
        <v>0</v>
      </c>
      <c r="N375" s="17">
        <v>10000</v>
      </c>
      <c r="O375" s="17">
        <v>2.3282999999999998E-6</v>
      </c>
      <c r="P375" s="75">
        <v>4294967296</v>
      </c>
      <c r="Q375" t="s">
        <v>3836</v>
      </c>
      <c r="R375" t="s">
        <v>3836</v>
      </c>
    </row>
    <row r="376" spans="1:18" x14ac:dyDescent="0.25">
      <c r="A376" t="s">
        <v>3028</v>
      </c>
      <c r="B376" t="s">
        <v>3029</v>
      </c>
      <c r="C376" t="s">
        <v>3030</v>
      </c>
      <c r="D376" t="s">
        <v>2716</v>
      </c>
      <c r="E376" t="s">
        <v>3841</v>
      </c>
      <c r="F376" t="s">
        <v>35</v>
      </c>
      <c r="G376" t="s">
        <v>2700</v>
      </c>
      <c r="H376" s="8" t="s">
        <v>79</v>
      </c>
      <c r="J376" s="16" t="s">
        <v>3985</v>
      </c>
      <c r="K376" t="s">
        <v>14</v>
      </c>
      <c r="L376" t="s">
        <v>2659</v>
      </c>
      <c r="M376" s="17">
        <v>0</v>
      </c>
      <c r="N376" s="17">
        <v>150</v>
      </c>
      <c r="O376" s="17">
        <v>3.4900000000000001E-8</v>
      </c>
      <c r="P376" s="75">
        <v>4294967296</v>
      </c>
      <c r="Q376" t="s">
        <v>3836</v>
      </c>
      <c r="R376" t="s">
        <v>3836</v>
      </c>
    </row>
    <row r="377" spans="1:18" x14ac:dyDescent="0.25">
      <c r="A377" t="s">
        <v>3033</v>
      </c>
      <c r="B377" t="s">
        <v>3034</v>
      </c>
      <c r="C377" t="s">
        <v>3035</v>
      </c>
      <c r="D377" t="s">
        <v>2716</v>
      </c>
      <c r="E377" t="s">
        <v>3841</v>
      </c>
      <c r="F377" t="s">
        <v>35</v>
      </c>
      <c r="G377" t="s">
        <v>2700</v>
      </c>
      <c r="H377" s="8" t="s">
        <v>79</v>
      </c>
      <c r="J377" s="16" t="s">
        <v>3986</v>
      </c>
      <c r="K377" t="s">
        <v>14</v>
      </c>
      <c r="L377" t="s">
        <v>2659</v>
      </c>
      <c r="M377" s="17">
        <v>0</v>
      </c>
      <c r="N377" s="17">
        <v>150</v>
      </c>
      <c r="O377" s="17">
        <v>3.4900000000000001E-8</v>
      </c>
      <c r="P377" s="75">
        <v>4294967296</v>
      </c>
      <c r="Q377" t="s">
        <v>3836</v>
      </c>
      <c r="R377" t="s">
        <v>3836</v>
      </c>
    </row>
    <row r="378" spans="1:18" x14ac:dyDescent="0.25">
      <c r="A378" t="s">
        <v>3036</v>
      </c>
      <c r="B378" t="s">
        <v>3037</v>
      </c>
      <c r="C378" t="s">
        <v>3038</v>
      </c>
      <c r="D378" t="s">
        <v>2716</v>
      </c>
      <c r="E378" t="s">
        <v>3841</v>
      </c>
      <c r="F378" t="s">
        <v>35</v>
      </c>
      <c r="G378" t="s">
        <v>2700</v>
      </c>
      <c r="H378" s="8" t="s">
        <v>79</v>
      </c>
      <c r="J378" s="16" t="s">
        <v>3987</v>
      </c>
      <c r="K378" t="s">
        <v>14</v>
      </c>
      <c r="L378" t="s">
        <v>2659</v>
      </c>
      <c r="M378" s="17">
        <v>0</v>
      </c>
      <c r="N378" s="17">
        <v>150</v>
      </c>
      <c r="O378" s="17">
        <v>3.4900000000000001E-8</v>
      </c>
      <c r="P378" s="75">
        <v>4294967296</v>
      </c>
      <c r="Q378" t="s">
        <v>3836</v>
      </c>
      <c r="R378" t="s">
        <v>3836</v>
      </c>
    </row>
    <row r="379" spans="1:18" x14ac:dyDescent="0.25">
      <c r="A379" t="s">
        <v>3041</v>
      </c>
      <c r="B379" t="s">
        <v>3042</v>
      </c>
      <c r="C379" t="s">
        <v>3043</v>
      </c>
      <c r="D379" t="s">
        <v>2716</v>
      </c>
      <c r="E379" t="s">
        <v>3841</v>
      </c>
      <c r="F379" t="s">
        <v>35</v>
      </c>
      <c r="G379" t="s">
        <v>2785</v>
      </c>
      <c r="H379" s="8" t="s">
        <v>2599</v>
      </c>
      <c r="J379" s="16" t="s">
        <v>3988</v>
      </c>
      <c r="K379" t="s">
        <v>14</v>
      </c>
      <c r="L379" t="s">
        <v>2659</v>
      </c>
      <c r="M379" s="17">
        <v>0</v>
      </c>
      <c r="N379" s="17">
        <v>1000</v>
      </c>
      <c r="O379" s="17">
        <v>2.3279999999999999E-7</v>
      </c>
      <c r="P379" s="75">
        <v>4294967296</v>
      </c>
      <c r="Q379" t="s">
        <v>3836</v>
      </c>
      <c r="R379" t="s">
        <v>3836</v>
      </c>
    </row>
    <row r="380" spans="1:18" x14ac:dyDescent="0.25">
      <c r="A380" t="s">
        <v>3045</v>
      </c>
      <c r="B380" t="s">
        <v>3046</v>
      </c>
      <c r="C380" t="s">
        <v>3047</v>
      </c>
      <c r="D380" t="s">
        <v>2716</v>
      </c>
      <c r="E380" t="s">
        <v>3841</v>
      </c>
      <c r="F380" t="s">
        <v>35</v>
      </c>
      <c r="G380" t="s">
        <v>2702</v>
      </c>
      <c r="H380" s="8" t="s">
        <v>71</v>
      </c>
      <c r="J380" s="16" t="s">
        <v>3989</v>
      </c>
      <c r="K380" t="s">
        <v>14</v>
      </c>
      <c r="L380" t="s">
        <v>2659</v>
      </c>
      <c r="M380" s="17">
        <v>0</v>
      </c>
      <c r="N380" s="17">
        <v>10000</v>
      </c>
      <c r="O380" s="17">
        <v>2.3282999999999998E-6</v>
      </c>
      <c r="P380" s="75">
        <v>4294967296</v>
      </c>
      <c r="Q380" t="s">
        <v>3836</v>
      </c>
      <c r="R380" t="s">
        <v>3836</v>
      </c>
    </row>
    <row r="381" spans="1:18" x14ac:dyDescent="0.25">
      <c r="A381" t="s">
        <v>3039</v>
      </c>
      <c r="B381" t="s">
        <v>3055</v>
      </c>
      <c r="C381" t="s">
        <v>3056</v>
      </c>
      <c r="D381" t="s">
        <v>2716</v>
      </c>
      <c r="E381" t="s">
        <v>3841</v>
      </c>
      <c r="F381" t="s">
        <v>35</v>
      </c>
      <c r="G381" t="s">
        <v>2700</v>
      </c>
      <c r="H381" s="8" t="s">
        <v>79</v>
      </c>
      <c r="J381" s="16" t="s">
        <v>3990</v>
      </c>
      <c r="K381" t="s">
        <v>14</v>
      </c>
      <c r="L381" t="s">
        <v>2659</v>
      </c>
      <c r="M381" s="17">
        <v>0</v>
      </c>
      <c r="N381" s="17">
        <v>150</v>
      </c>
      <c r="O381" s="17">
        <v>3.4900000000000001E-8</v>
      </c>
      <c r="P381" s="75">
        <v>4294967296</v>
      </c>
      <c r="Q381" t="s">
        <v>3836</v>
      </c>
      <c r="R381" t="s">
        <v>3836</v>
      </c>
    </row>
    <row r="382" spans="1:18" x14ac:dyDescent="0.25">
      <c r="A382" t="s">
        <v>2715</v>
      </c>
      <c r="B382" t="s">
        <v>3057</v>
      </c>
      <c r="C382" t="s">
        <v>3058</v>
      </c>
      <c r="D382" t="s">
        <v>2716</v>
      </c>
      <c r="E382" t="s">
        <v>3841</v>
      </c>
      <c r="F382" t="s">
        <v>35</v>
      </c>
      <c r="G382" t="s">
        <v>2686</v>
      </c>
      <c r="H382" s="8" t="s">
        <v>100</v>
      </c>
      <c r="J382" s="16" t="s">
        <v>3991</v>
      </c>
      <c r="K382" t="s">
        <v>14</v>
      </c>
      <c r="L382" t="s">
        <v>2659</v>
      </c>
      <c r="M382" s="17">
        <v>0</v>
      </c>
      <c r="N382" s="17">
        <v>10000</v>
      </c>
      <c r="O382" s="17">
        <v>2.3282999999999998E-6</v>
      </c>
      <c r="P382" s="75">
        <v>4294967296</v>
      </c>
      <c r="Q382" t="s">
        <v>3836</v>
      </c>
      <c r="R382" t="s">
        <v>3836</v>
      </c>
    </row>
    <row r="383" spans="1:18" x14ac:dyDescent="0.25">
      <c r="A383" t="s">
        <v>3068</v>
      </c>
      <c r="B383" t="s">
        <v>2758</v>
      </c>
      <c r="C383" t="s">
        <v>2759</v>
      </c>
      <c r="D383" t="s">
        <v>2716</v>
      </c>
      <c r="E383" t="s">
        <v>3841</v>
      </c>
      <c r="F383" t="s">
        <v>35</v>
      </c>
      <c r="G383" t="s">
        <v>2700</v>
      </c>
      <c r="H383" s="8" t="s">
        <v>79</v>
      </c>
      <c r="J383" s="16" t="s">
        <v>3992</v>
      </c>
      <c r="K383" t="s">
        <v>14</v>
      </c>
      <c r="L383" t="s">
        <v>2659</v>
      </c>
      <c r="M383" s="17">
        <v>0</v>
      </c>
      <c r="N383" s="17">
        <v>150</v>
      </c>
      <c r="O383" s="17">
        <v>3.4900000000000001E-8</v>
      </c>
      <c r="P383" s="75">
        <v>4294967296</v>
      </c>
      <c r="Q383" t="s">
        <v>3836</v>
      </c>
      <c r="R383" t="s">
        <v>3836</v>
      </c>
    </row>
    <row r="384" spans="1:18" x14ac:dyDescent="0.25">
      <c r="A384" t="s">
        <v>3064</v>
      </c>
      <c r="B384" t="s">
        <v>2760</v>
      </c>
      <c r="C384" t="s">
        <v>2761</v>
      </c>
      <c r="D384" t="s">
        <v>2716</v>
      </c>
      <c r="E384" t="s">
        <v>3841</v>
      </c>
      <c r="F384" t="s">
        <v>35</v>
      </c>
      <c r="G384" t="s">
        <v>2700</v>
      </c>
      <c r="H384" s="8" t="s">
        <v>79</v>
      </c>
      <c r="J384" s="16" t="s">
        <v>3993</v>
      </c>
      <c r="K384" t="s">
        <v>14</v>
      </c>
      <c r="L384" t="s">
        <v>2659</v>
      </c>
      <c r="M384" s="17">
        <v>0</v>
      </c>
      <c r="N384" s="17">
        <v>150</v>
      </c>
      <c r="O384" s="17">
        <v>3.4900000000000001E-8</v>
      </c>
      <c r="P384" s="75">
        <v>4294967296</v>
      </c>
      <c r="Q384" t="s">
        <v>3836</v>
      </c>
      <c r="R384" t="s">
        <v>3836</v>
      </c>
    </row>
    <row r="385" spans="1:18" x14ac:dyDescent="0.25">
      <c r="A385" t="s">
        <v>3066</v>
      </c>
      <c r="B385" t="s">
        <v>2762</v>
      </c>
      <c r="C385" t="s">
        <v>2763</v>
      </c>
      <c r="D385" t="s">
        <v>2716</v>
      </c>
      <c r="E385" t="s">
        <v>3841</v>
      </c>
      <c r="F385" t="s">
        <v>35</v>
      </c>
      <c r="G385" t="s">
        <v>2700</v>
      </c>
      <c r="H385" s="8" t="s">
        <v>79</v>
      </c>
      <c r="J385" s="16" t="s">
        <v>3994</v>
      </c>
      <c r="K385" t="s">
        <v>14</v>
      </c>
      <c r="L385" t="s">
        <v>2659</v>
      </c>
      <c r="M385" s="17">
        <v>0</v>
      </c>
      <c r="N385" s="17">
        <v>150</v>
      </c>
      <c r="O385" s="17">
        <v>3.4900000000000001E-8</v>
      </c>
      <c r="P385" s="75">
        <v>4294967296</v>
      </c>
      <c r="Q385" t="s">
        <v>3836</v>
      </c>
      <c r="R385" t="s">
        <v>3836</v>
      </c>
    </row>
    <row r="386" spans="1:18" x14ac:dyDescent="0.25">
      <c r="A386" t="s">
        <v>3238</v>
      </c>
      <c r="B386" t="s">
        <v>3239</v>
      </c>
      <c r="C386" t="s">
        <v>3240</v>
      </c>
      <c r="D386" t="s">
        <v>2716</v>
      </c>
      <c r="E386" t="s">
        <v>3841</v>
      </c>
      <c r="F386" t="s">
        <v>35</v>
      </c>
      <c r="G386" t="s">
        <v>2701</v>
      </c>
      <c r="H386" s="8" t="s">
        <v>113</v>
      </c>
      <c r="J386" s="16" t="s">
        <v>3995</v>
      </c>
      <c r="K386" t="s">
        <v>14</v>
      </c>
      <c r="L386" t="s">
        <v>2659</v>
      </c>
      <c r="M386" s="17">
        <v>0</v>
      </c>
      <c r="N386" s="17">
        <v>10</v>
      </c>
      <c r="O386" s="17">
        <v>2.2999999999999999E-9</v>
      </c>
      <c r="P386" s="75">
        <v>4294967296</v>
      </c>
      <c r="Q386" t="s">
        <v>3836</v>
      </c>
      <c r="R386" t="s">
        <v>3836</v>
      </c>
    </row>
    <row r="387" spans="1:18" x14ac:dyDescent="0.25">
      <c r="A387" t="s">
        <v>3242</v>
      </c>
      <c r="B387" t="s">
        <v>3243</v>
      </c>
      <c r="C387" t="s">
        <v>3244</v>
      </c>
      <c r="D387" t="s">
        <v>2716</v>
      </c>
      <c r="E387" t="s">
        <v>3841</v>
      </c>
      <c r="F387" t="s">
        <v>35</v>
      </c>
      <c r="G387" t="s">
        <v>2657</v>
      </c>
      <c r="H387" s="8" t="s">
        <v>3053</v>
      </c>
      <c r="J387" s="16" t="s">
        <v>3996</v>
      </c>
      <c r="K387" t="s">
        <v>14</v>
      </c>
      <c r="L387" t="s">
        <v>2659</v>
      </c>
      <c r="M387" s="17">
        <v>0</v>
      </c>
      <c r="N387" s="17">
        <v>500</v>
      </c>
      <c r="O387" s="17">
        <v>1.164E-7</v>
      </c>
      <c r="P387" s="75">
        <v>4294967296</v>
      </c>
      <c r="Q387" t="s">
        <v>3836</v>
      </c>
      <c r="R387" t="s">
        <v>3836</v>
      </c>
    </row>
    <row r="388" spans="1:18" x14ac:dyDescent="0.25">
      <c r="A388" t="s">
        <v>3246</v>
      </c>
      <c r="B388" t="s">
        <v>3247</v>
      </c>
      <c r="C388" t="s">
        <v>3248</v>
      </c>
      <c r="D388" t="s">
        <v>2716</v>
      </c>
      <c r="E388" t="s">
        <v>3841</v>
      </c>
      <c r="F388" t="s">
        <v>35</v>
      </c>
      <c r="G388" t="s">
        <v>2657</v>
      </c>
      <c r="H388" s="8" t="s">
        <v>3053</v>
      </c>
      <c r="J388" s="16" t="s">
        <v>3997</v>
      </c>
      <c r="K388" t="s">
        <v>14</v>
      </c>
      <c r="L388" t="s">
        <v>2659</v>
      </c>
      <c r="M388" s="17">
        <v>0</v>
      </c>
      <c r="N388" s="17">
        <v>500</v>
      </c>
      <c r="O388" s="17">
        <v>1.164E-7</v>
      </c>
      <c r="P388" s="75">
        <v>4294967296</v>
      </c>
      <c r="Q388" t="s">
        <v>3836</v>
      </c>
      <c r="R388" t="s">
        <v>3836</v>
      </c>
    </row>
    <row r="389" spans="1:18" x14ac:dyDescent="0.25">
      <c r="A389" t="s">
        <v>3480</v>
      </c>
      <c r="B389" t="s">
        <v>3481</v>
      </c>
      <c r="C389" t="s">
        <v>3482</v>
      </c>
      <c r="D389" t="s">
        <v>2716</v>
      </c>
      <c r="E389" t="s">
        <v>3841</v>
      </c>
      <c r="F389" t="s">
        <v>35</v>
      </c>
      <c r="G389" t="s">
        <v>2756</v>
      </c>
      <c r="H389" s="8" t="s">
        <v>1679</v>
      </c>
      <c r="J389" s="16" t="s">
        <v>3998</v>
      </c>
      <c r="K389" t="s">
        <v>14</v>
      </c>
      <c r="L389" t="s">
        <v>2659</v>
      </c>
      <c r="M389" s="17">
        <v>0</v>
      </c>
      <c r="N389" s="17">
        <v>500000</v>
      </c>
      <c r="O389" s="17">
        <v>1.164153E-4</v>
      </c>
      <c r="P389" s="75">
        <v>4294967296</v>
      </c>
      <c r="Q389" t="s">
        <v>3836</v>
      </c>
      <c r="R389" t="s">
        <v>3836</v>
      </c>
    </row>
    <row r="390" spans="1:18" x14ac:dyDescent="0.25">
      <c r="A390" t="s">
        <v>3484</v>
      </c>
      <c r="B390" t="s">
        <v>3485</v>
      </c>
      <c r="C390" t="s">
        <v>3486</v>
      </c>
      <c r="D390" t="s">
        <v>2716</v>
      </c>
      <c r="E390" t="s">
        <v>3841</v>
      </c>
      <c r="F390" t="s">
        <v>35</v>
      </c>
      <c r="G390" t="s">
        <v>2785</v>
      </c>
      <c r="H390" s="8" t="s">
        <v>2599</v>
      </c>
      <c r="J390" s="16" t="s">
        <v>3999</v>
      </c>
      <c r="K390" t="s">
        <v>14</v>
      </c>
      <c r="L390" t="s">
        <v>2659</v>
      </c>
      <c r="M390" s="17">
        <v>0</v>
      </c>
      <c r="N390" s="17">
        <v>5</v>
      </c>
      <c r="O390" s="17">
        <v>1.2E-9</v>
      </c>
      <c r="P390" s="75">
        <v>4294967296</v>
      </c>
      <c r="Q390" t="s">
        <v>3836</v>
      </c>
      <c r="R390" t="s">
        <v>3836</v>
      </c>
    </row>
    <row r="391" spans="1:18" x14ac:dyDescent="0.25">
      <c r="A391" t="s">
        <v>3518</v>
      </c>
      <c r="B391" t="s">
        <v>3519</v>
      </c>
      <c r="C391" t="s">
        <v>3520</v>
      </c>
      <c r="D391" t="s">
        <v>2716</v>
      </c>
      <c r="E391" t="s">
        <v>3841</v>
      </c>
      <c r="F391" t="s">
        <v>35</v>
      </c>
      <c r="G391" t="s">
        <v>2686</v>
      </c>
      <c r="H391" s="8" t="s">
        <v>100</v>
      </c>
      <c r="J391" s="16" t="s">
        <v>4000</v>
      </c>
      <c r="K391" t="s">
        <v>14</v>
      </c>
      <c r="L391" t="s">
        <v>2659</v>
      </c>
      <c r="M391" s="17">
        <v>-2147483648</v>
      </c>
      <c r="N391" s="17">
        <v>2147483647</v>
      </c>
      <c r="O391" s="17">
        <v>1</v>
      </c>
      <c r="P391" s="75">
        <v>4294967296</v>
      </c>
      <c r="Q391" t="s">
        <v>3836</v>
      </c>
      <c r="R391" t="s">
        <v>3836</v>
      </c>
    </row>
    <row r="392" spans="1:18" x14ac:dyDescent="0.25">
      <c r="A392" s="77" t="s">
        <v>3197</v>
      </c>
      <c r="B392" t="s">
        <v>3107</v>
      </c>
      <c r="C392" t="s">
        <v>3108</v>
      </c>
      <c r="D392" t="s">
        <v>2716</v>
      </c>
      <c r="E392" t="s">
        <v>3841</v>
      </c>
      <c r="F392" t="s">
        <v>35</v>
      </c>
      <c r="G392" t="s">
        <v>2669</v>
      </c>
      <c r="H392" s="8" t="s">
        <v>113</v>
      </c>
      <c r="J392" s="16" t="s">
        <v>4001</v>
      </c>
      <c r="K392" t="s">
        <v>14</v>
      </c>
      <c r="L392" t="s">
        <v>2659</v>
      </c>
      <c r="M392" s="17">
        <v>-2147483648</v>
      </c>
      <c r="N392" s="17">
        <v>2147483647</v>
      </c>
      <c r="O392" s="17">
        <v>1</v>
      </c>
      <c r="P392" s="75">
        <v>4294967296</v>
      </c>
      <c r="Q392" t="s">
        <v>3836</v>
      </c>
      <c r="R392" t="s">
        <v>3836</v>
      </c>
    </row>
    <row r="393" spans="1:18" x14ac:dyDescent="0.25">
      <c r="A393" t="s">
        <v>3193</v>
      </c>
      <c r="B393" t="s">
        <v>3194</v>
      </c>
      <c r="C393" t="s">
        <v>3195</v>
      </c>
      <c r="D393" t="s">
        <v>2716</v>
      </c>
      <c r="E393" t="s">
        <v>3841</v>
      </c>
      <c r="F393" t="s">
        <v>35</v>
      </c>
      <c r="G393" t="s">
        <v>2756</v>
      </c>
      <c r="H393" s="8" t="s">
        <v>1679</v>
      </c>
      <c r="J393" s="16" t="s">
        <v>4002</v>
      </c>
      <c r="K393" t="s">
        <v>14</v>
      </c>
      <c r="L393" t="s">
        <v>2659</v>
      </c>
      <c r="M393" s="17">
        <v>-2147483648</v>
      </c>
      <c r="N393" s="17">
        <v>2147483647</v>
      </c>
      <c r="O393" s="17">
        <v>1</v>
      </c>
      <c r="P393" s="75">
        <v>4294967296</v>
      </c>
      <c r="Q393" t="s">
        <v>3836</v>
      </c>
      <c r="R393" t="s">
        <v>3836</v>
      </c>
    </row>
    <row r="394" spans="1:18" x14ac:dyDescent="0.25">
      <c r="A394" t="s">
        <v>3199</v>
      </c>
      <c r="B394" t="s">
        <v>3200</v>
      </c>
      <c r="C394" t="s">
        <v>3201</v>
      </c>
      <c r="D394" t="s">
        <v>2716</v>
      </c>
      <c r="E394" t="s">
        <v>3841</v>
      </c>
      <c r="F394" t="s">
        <v>35</v>
      </c>
      <c r="G394" t="s">
        <v>2669</v>
      </c>
      <c r="H394" s="8" t="s">
        <v>113</v>
      </c>
      <c r="J394" s="16" t="s">
        <v>4003</v>
      </c>
      <c r="K394" t="s">
        <v>14</v>
      </c>
      <c r="L394" t="s">
        <v>2659</v>
      </c>
      <c r="M394" s="17">
        <v>-2147483648</v>
      </c>
      <c r="N394" s="17">
        <v>2147483647</v>
      </c>
      <c r="O394" s="17">
        <v>1</v>
      </c>
      <c r="P394" s="75">
        <v>4294967296</v>
      </c>
      <c r="Q394" t="s">
        <v>3836</v>
      </c>
      <c r="R394" t="s">
        <v>3836</v>
      </c>
    </row>
    <row r="395" spans="1:18" x14ac:dyDescent="0.25">
      <c r="A395" t="s">
        <v>3367</v>
      </c>
      <c r="B395" t="s">
        <v>3368</v>
      </c>
      <c r="C395" t="s">
        <v>3369</v>
      </c>
      <c r="D395" t="s">
        <v>2716</v>
      </c>
      <c r="E395" t="s">
        <v>3841</v>
      </c>
      <c r="F395" t="s">
        <v>35</v>
      </c>
      <c r="G395" t="s">
        <v>2701</v>
      </c>
      <c r="H395" s="8" t="s">
        <v>113</v>
      </c>
      <c r="J395" s="16" t="s">
        <v>4004</v>
      </c>
      <c r="K395" t="s">
        <v>14</v>
      </c>
      <c r="L395" t="s">
        <v>2659</v>
      </c>
      <c r="M395" s="17">
        <v>-100</v>
      </c>
      <c r="N395" s="17">
        <v>100</v>
      </c>
      <c r="O395" s="17">
        <v>4.66E-8</v>
      </c>
      <c r="P395" s="75">
        <v>4294967296</v>
      </c>
      <c r="Q395" t="s">
        <v>3836</v>
      </c>
      <c r="R395" t="s">
        <v>3836</v>
      </c>
    </row>
    <row r="396" spans="1:18" x14ac:dyDescent="0.25">
      <c r="A396" t="s">
        <v>3372</v>
      </c>
      <c r="B396" t="s">
        <v>1075</v>
      </c>
      <c r="C396" t="s">
        <v>1076</v>
      </c>
      <c r="D396" t="s">
        <v>2716</v>
      </c>
      <c r="E396" t="s">
        <v>3841</v>
      </c>
      <c r="F396" t="s">
        <v>35</v>
      </c>
      <c r="G396" t="s">
        <v>2686</v>
      </c>
      <c r="H396" s="8" t="s">
        <v>100</v>
      </c>
      <c r="J396" s="16" t="s">
        <v>4005</v>
      </c>
      <c r="K396" t="s">
        <v>14</v>
      </c>
      <c r="L396" t="s">
        <v>2659</v>
      </c>
      <c r="M396" s="17">
        <v>-100</v>
      </c>
      <c r="N396" s="17">
        <v>100</v>
      </c>
      <c r="O396" s="17">
        <v>4.66E-8</v>
      </c>
      <c r="P396" s="75">
        <v>4294967296</v>
      </c>
      <c r="Q396" t="s">
        <v>3836</v>
      </c>
      <c r="R396" t="s">
        <v>3836</v>
      </c>
    </row>
    <row r="397" spans="1:18" x14ac:dyDescent="0.25">
      <c r="A397" t="s">
        <v>3374</v>
      </c>
      <c r="B397" t="s">
        <v>1075</v>
      </c>
      <c r="C397" t="s">
        <v>1076</v>
      </c>
      <c r="D397" t="s">
        <v>2716</v>
      </c>
      <c r="E397" t="s">
        <v>3841</v>
      </c>
      <c r="F397" t="s">
        <v>35</v>
      </c>
      <c r="G397" t="s">
        <v>2702</v>
      </c>
      <c r="H397" s="8" t="s">
        <v>71</v>
      </c>
      <c r="J397" s="16" t="s">
        <v>4006</v>
      </c>
      <c r="K397" t="s">
        <v>14</v>
      </c>
      <c r="L397" t="s">
        <v>2659</v>
      </c>
      <c r="M397" s="17">
        <v>-5000</v>
      </c>
      <c r="N397" s="17">
        <v>5000</v>
      </c>
      <c r="O397" s="17">
        <v>2.3282999999999998E-6</v>
      </c>
      <c r="P397" s="75">
        <v>4294967296</v>
      </c>
      <c r="Q397" t="s">
        <v>3836</v>
      </c>
      <c r="R397" t="s">
        <v>3836</v>
      </c>
    </row>
    <row r="398" spans="1:18" x14ac:dyDescent="0.25">
      <c r="A398" t="s">
        <v>3120</v>
      </c>
      <c r="B398" t="s">
        <v>3121</v>
      </c>
      <c r="C398" t="s">
        <v>3122</v>
      </c>
      <c r="D398" t="s">
        <v>2716</v>
      </c>
      <c r="E398" t="s">
        <v>3841</v>
      </c>
      <c r="F398" t="s">
        <v>35</v>
      </c>
      <c r="G398" t="s">
        <v>2786</v>
      </c>
      <c r="H398" s="8" t="s">
        <v>96</v>
      </c>
      <c r="J398" s="16" t="s">
        <v>4007</v>
      </c>
      <c r="K398" t="s">
        <v>14</v>
      </c>
      <c r="L398" t="s">
        <v>2659</v>
      </c>
      <c r="M398" s="17">
        <v>-273.14999999999998</v>
      </c>
      <c r="N398" s="17">
        <v>1500</v>
      </c>
      <c r="O398" s="17">
        <v>4.1279999999999999E-7</v>
      </c>
      <c r="P398" s="75">
        <v>4294967296</v>
      </c>
      <c r="Q398" t="s">
        <v>3836</v>
      </c>
      <c r="R398" t="s">
        <v>3836</v>
      </c>
    </row>
    <row r="399" spans="1:18" x14ac:dyDescent="0.25">
      <c r="A399" t="s">
        <v>3528</v>
      </c>
      <c r="B399" t="s">
        <v>3528</v>
      </c>
      <c r="C399" t="s">
        <v>3529</v>
      </c>
      <c r="D399" t="s">
        <v>2716</v>
      </c>
      <c r="E399" t="s">
        <v>3841</v>
      </c>
      <c r="F399" t="s">
        <v>35</v>
      </c>
      <c r="G399" t="s">
        <v>2786</v>
      </c>
      <c r="H399" s="8" t="s">
        <v>96</v>
      </c>
      <c r="J399" s="16" t="s">
        <v>4008</v>
      </c>
      <c r="K399" t="s">
        <v>14</v>
      </c>
      <c r="L399" t="s">
        <v>2659</v>
      </c>
      <c r="M399" s="17">
        <v>0</v>
      </c>
      <c r="N399" s="17">
        <v>50</v>
      </c>
      <c r="O399" s="17">
        <v>1.16E-8</v>
      </c>
      <c r="P399" s="75">
        <v>4294967296</v>
      </c>
      <c r="Q399" t="s">
        <v>3836</v>
      </c>
      <c r="R399" t="s">
        <v>3836</v>
      </c>
    </row>
    <row r="400" spans="1:18" x14ac:dyDescent="0.25">
      <c r="A400" t="s">
        <v>3006</v>
      </c>
      <c r="B400" t="s">
        <v>640</v>
      </c>
      <c r="C400" t="s">
        <v>641</v>
      </c>
      <c r="D400" t="s">
        <v>2716</v>
      </c>
      <c r="E400" t="s">
        <v>3841</v>
      </c>
      <c r="F400" t="s">
        <v>35</v>
      </c>
      <c r="G400" t="s">
        <v>2702</v>
      </c>
      <c r="H400" s="8" t="s">
        <v>71</v>
      </c>
      <c r="J400" s="16" t="s">
        <v>4009</v>
      </c>
      <c r="K400" t="s">
        <v>14</v>
      </c>
      <c r="L400" t="s">
        <v>2659</v>
      </c>
      <c r="M400" s="17">
        <v>-1000000</v>
      </c>
      <c r="N400" s="17">
        <v>1000000</v>
      </c>
      <c r="O400" s="17">
        <v>4.6566130000000002E-4</v>
      </c>
      <c r="P400" s="75">
        <v>4294967296</v>
      </c>
      <c r="Q400" t="s">
        <v>3836</v>
      </c>
      <c r="R400" t="s">
        <v>3836</v>
      </c>
    </row>
    <row r="401" spans="1:18" x14ac:dyDescent="0.25">
      <c r="A401" t="s">
        <v>3085</v>
      </c>
      <c r="B401" t="s">
        <v>3086</v>
      </c>
      <c r="C401" t="s">
        <v>3087</v>
      </c>
      <c r="D401" t="s">
        <v>2716</v>
      </c>
      <c r="E401" t="s">
        <v>3841</v>
      </c>
      <c r="F401" t="s">
        <v>35</v>
      </c>
      <c r="G401" t="s">
        <v>2686</v>
      </c>
      <c r="H401" s="8" t="s">
        <v>100</v>
      </c>
      <c r="J401" s="16" t="s">
        <v>4010</v>
      </c>
      <c r="K401" t="s">
        <v>14</v>
      </c>
      <c r="L401" t="s">
        <v>2659</v>
      </c>
      <c r="M401" s="17">
        <v>-21470</v>
      </c>
      <c r="N401" s="17">
        <v>214748</v>
      </c>
      <c r="O401" s="17">
        <v>5.4998799999999999E-5</v>
      </c>
      <c r="P401" s="75">
        <v>4294967296</v>
      </c>
      <c r="Q401" t="s">
        <v>3836</v>
      </c>
      <c r="R401" t="s">
        <v>3836</v>
      </c>
    </row>
    <row r="402" spans="1:18" x14ac:dyDescent="0.25">
      <c r="A402" t="s">
        <v>3470</v>
      </c>
      <c r="B402" t="s">
        <v>3538</v>
      </c>
      <c r="C402" t="s">
        <v>3539</v>
      </c>
      <c r="D402" t="s">
        <v>2716</v>
      </c>
      <c r="E402" t="s">
        <v>3841</v>
      </c>
      <c r="F402" t="s">
        <v>35</v>
      </c>
      <c r="G402" t="s">
        <v>3072</v>
      </c>
      <c r="H402" s="8" t="s">
        <v>82</v>
      </c>
      <c r="J402" s="16" t="s">
        <v>4011</v>
      </c>
      <c r="K402" t="s">
        <v>14</v>
      </c>
      <c r="L402" t="s">
        <v>2659</v>
      </c>
      <c r="M402" s="17">
        <v>0</v>
      </c>
      <c r="N402" s="17">
        <v>500000</v>
      </c>
      <c r="O402" s="17">
        <v>1.164153E-4</v>
      </c>
      <c r="P402" s="75">
        <v>4294967296</v>
      </c>
      <c r="Q402" t="s">
        <v>3836</v>
      </c>
      <c r="R402" t="s">
        <v>3836</v>
      </c>
    </row>
    <row r="403" spans="1:18" x14ac:dyDescent="0.25">
      <c r="A403" t="s">
        <v>3380</v>
      </c>
      <c r="B403" t="s">
        <v>3542</v>
      </c>
      <c r="C403" t="s">
        <v>3543</v>
      </c>
      <c r="D403" t="s">
        <v>2716</v>
      </c>
      <c r="E403" t="s">
        <v>3841</v>
      </c>
      <c r="F403" t="s">
        <v>35</v>
      </c>
      <c r="G403" t="s">
        <v>3072</v>
      </c>
      <c r="H403" s="8" t="s">
        <v>82</v>
      </c>
      <c r="J403" s="16" t="s">
        <v>4012</v>
      </c>
      <c r="K403" t="s">
        <v>14</v>
      </c>
      <c r="L403" t="s">
        <v>2659</v>
      </c>
      <c r="M403" s="17">
        <v>-10000</v>
      </c>
      <c r="N403" s="17">
        <v>10000</v>
      </c>
      <c r="O403" s="17">
        <v>4.6565999999999996E-6</v>
      </c>
      <c r="P403" s="75">
        <v>4294967296</v>
      </c>
      <c r="Q403" t="s">
        <v>3836</v>
      </c>
      <c r="R403" t="s">
        <v>3836</v>
      </c>
    </row>
    <row r="404" spans="1:18" x14ac:dyDescent="0.25">
      <c r="A404" t="s">
        <v>3462</v>
      </c>
      <c r="B404" t="s">
        <v>3463</v>
      </c>
      <c r="C404" t="s">
        <v>3464</v>
      </c>
      <c r="D404" t="s">
        <v>2716</v>
      </c>
      <c r="E404" t="s">
        <v>3841</v>
      </c>
      <c r="F404" t="s">
        <v>35</v>
      </c>
      <c r="G404" t="s">
        <v>3072</v>
      </c>
      <c r="H404" s="8" t="s">
        <v>82</v>
      </c>
      <c r="J404" s="16" t="s">
        <v>4013</v>
      </c>
      <c r="K404" t="s">
        <v>14</v>
      </c>
      <c r="L404" t="s">
        <v>2659</v>
      </c>
      <c r="M404" s="17">
        <v>0</v>
      </c>
      <c r="N404" s="17">
        <v>500000</v>
      </c>
      <c r="O404" s="17">
        <v>1.164153E-4</v>
      </c>
      <c r="P404" s="75">
        <v>4294967296</v>
      </c>
      <c r="Q404" t="s">
        <v>3836</v>
      </c>
      <c r="R404" t="s">
        <v>3836</v>
      </c>
    </row>
    <row r="405" spans="1:18" x14ac:dyDescent="0.25">
      <c r="A405" t="s">
        <v>3466</v>
      </c>
      <c r="B405" t="s">
        <v>3467</v>
      </c>
      <c r="C405" t="s">
        <v>3468</v>
      </c>
      <c r="D405" t="s">
        <v>2716</v>
      </c>
      <c r="E405" t="s">
        <v>3841</v>
      </c>
      <c r="F405" t="s">
        <v>35</v>
      </c>
      <c r="G405" t="s">
        <v>3072</v>
      </c>
      <c r="H405" s="8" t="s">
        <v>82</v>
      </c>
      <c r="J405" s="16" t="s">
        <v>4014</v>
      </c>
      <c r="K405" t="s">
        <v>14</v>
      </c>
      <c r="L405" t="s">
        <v>2659</v>
      </c>
      <c r="M405" s="17">
        <v>-500000</v>
      </c>
      <c r="N405" s="17">
        <v>0</v>
      </c>
      <c r="O405" s="17">
        <v>1.164153E-4</v>
      </c>
      <c r="P405" s="75">
        <v>4294967296</v>
      </c>
      <c r="Q405" t="s">
        <v>3836</v>
      </c>
      <c r="R405" t="s">
        <v>3836</v>
      </c>
    </row>
    <row r="406" spans="1:18" x14ac:dyDescent="0.25">
      <c r="A406" t="s">
        <v>3548</v>
      </c>
      <c r="B406" t="s">
        <v>3455</v>
      </c>
      <c r="C406" t="s">
        <v>3456</v>
      </c>
      <c r="D406" t="s">
        <v>2716</v>
      </c>
      <c r="E406" t="s">
        <v>3841</v>
      </c>
      <c r="F406" t="s">
        <v>35</v>
      </c>
      <c r="G406" t="s">
        <v>3072</v>
      </c>
      <c r="H406" s="8" t="s">
        <v>82</v>
      </c>
      <c r="J406" s="16" t="s">
        <v>4015</v>
      </c>
      <c r="K406" t="s">
        <v>14</v>
      </c>
      <c r="L406" t="s">
        <v>2659</v>
      </c>
      <c r="M406" s="17">
        <v>0</v>
      </c>
      <c r="N406" s="17">
        <v>500000</v>
      </c>
      <c r="O406" s="17">
        <v>1.164153E-4</v>
      </c>
      <c r="P406" s="75">
        <v>4294967296</v>
      </c>
      <c r="Q406" t="s">
        <v>3836</v>
      </c>
      <c r="R406" t="s">
        <v>3836</v>
      </c>
    </row>
    <row r="407" spans="1:18" x14ac:dyDescent="0.25">
      <c r="A407" t="s">
        <v>3550</v>
      </c>
      <c r="B407" t="s">
        <v>3459</v>
      </c>
      <c r="C407" t="s">
        <v>3460</v>
      </c>
      <c r="D407" t="s">
        <v>2716</v>
      </c>
      <c r="E407" t="s">
        <v>3841</v>
      </c>
      <c r="F407" t="s">
        <v>35</v>
      </c>
      <c r="G407" t="s">
        <v>3072</v>
      </c>
      <c r="H407" s="8" t="s">
        <v>82</v>
      </c>
      <c r="J407" s="16" t="s">
        <v>4016</v>
      </c>
      <c r="K407" t="s">
        <v>14</v>
      </c>
      <c r="L407" t="s">
        <v>2659</v>
      </c>
      <c r="M407" s="17">
        <v>-500000</v>
      </c>
      <c r="N407" s="17">
        <v>0</v>
      </c>
      <c r="O407" s="17">
        <v>1.164153E-4</v>
      </c>
      <c r="P407" s="75">
        <v>4294967296</v>
      </c>
      <c r="Q407" t="s">
        <v>3836</v>
      </c>
      <c r="R407" t="s">
        <v>3836</v>
      </c>
    </row>
    <row r="408" spans="1:18" x14ac:dyDescent="0.25">
      <c r="A408" t="s">
        <v>2688</v>
      </c>
      <c r="B408" t="s">
        <v>2688</v>
      </c>
      <c r="C408" t="s">
        <v>2689</v>
      </c>
      <c r="D408" t="s">
        <v>2716</v>
      </c>
      <c r="E408" t="s">
        <v>3841</v>
      </c>
      <c r="F408" t="s">
        <v>35</v>
      </c>
      <c r="G408" t="s">
        <v>2657</v>
      </c>
      <c r="H408" s="8" t="s">
        <v>3053</v>
      </c>
      <c r="J408" s="16" t="s">
        <v>4017</v>
      </c>
      <c r="K408" t="s">
        <v>14</v>
      </c>
      <c r="L408" t="s">
        <v>2659</v>
      </c>
      <c r="M408" s="17">
        <v>-1000</v>
      </c>
      <c r="N408" s="17">
        <v>1000</v>
      </c>
      <c r="O408" s="17">
        <v>4.6569999999999999E-7</v>
      </c>
      <c r="P408" s="75">
        <v>4294967296</v>
      </c>
      <c r="Q408" t="s">
        <v>3836</v>
      </c>
      <c r="R408" t="s">
        <v>3836</v>
      </c>
    </row>
    <row r="409" spans="1:18" x14ac:dyDescent="0.25">
      <c r="A409" t="s">
        <v>2692</v>
      </c>
      <c r="B409" t="s">
        <v>2692</v>
      </c>
      <c r="C409" t="s">
        <v>2693</v>
      </c>
      <c r="D409" t="s">
        <v>2716</v>
      </c>
      <c r="E409" t="s">
        <v>3841</v>
      </c>
      <c r="F409" t="s">
        <v>35</v>
      </c>
      <c r="G409" t="s">
        <v>2694</v>
      </c>
      <c r="H409" s="8" t="s">
        <v>64</v>
      </c>
      <c r="J409" s="16" t="s">
        <v>4018</v>
      </c>
      <c r="K409" t="s">
        <v>14</v>
      </c>
      <c r="L409" t="s">
        <v>2659</v>
      </c>
      <c r="M409" s="17">
        <v>0</v>
      </c>
      <c r="N409" s="17">
        <v>10000000</v>
      </c>
      <c r="O409" s="17">
        <v>2.3283064000000002E-3</v>
      </c>
      <c r="P409" s="75">
        <v>4294967296</v>
      </c>
      <c r="Q409" t="s">
        <v>3836</v>
      </c>
      <c r="R409" t="s">
        <v>3836</v>
      </c>
    </row>
    <row r="410" spans="1:18" x14ac:dyDescent="0.25">
      <c r="A410" t="s">
        <v>3741</v>
      </c>
      <c r="B410" t="s">
        <v>2475</v>
      </c>
      <c r="C410" t="s">
        <v>2476</v>
      </c>
      <c r="D410" t="s">
        <v>2716</v>
      </c>
      <c r="E410" t="s">
        <v>3841</v>
      </c>
      <c r="F410" t="s">
        <v>35</v>
      </c>
      <c r="G410" t="s">
        <v>3303</v>
      </c>
      <c r="H410" s="8" t="s">
        <v>2602</v>
      </c>
      <c r="J410" s="16" t="s">
        <v>4019</v>
      </c>
      <c r="K410" t="s">
        <v>14</v>
      </c>
      <c r="L410" t="s">
        <v>2659</v>
      </c>
      <c r="M410" s="17">
        <v>-2000</v>
      </c>
      <c r="N410" s="17">
        <v>2000</v>
      </c>
      <c r="O410" s="17">
        <v>9.3129999999999998E-7</v>
      </c>
      <c r="P410" s="75">
        <v>4294967296</v>
      </c>
      <c r="Q410" t="s">
        <v>3836</v>
      </c>
      <c r="R410" t="s">
        <v>3836</v>
      </c>
    </row>
    <row r="411" spans="1:18" x14ac:dyDescent="0.25">
      <c r="A411" t="s">
        <v>3743</v>
      </c>
      <c r="B411" t="s">
        <v>2680</v>
      </c>
      <c r="C411" t="s">
        <v>2681</v>
      </c>
      <c r="D411" t="s">
        <v>2716</v>
      </c>
      <c r="E411" t="s">
        <v>3841</v>
      </c>
      <c r="F411" t="s">
        <v>35</v>
      </c>
      <c r="G411" t="s">
        <v>2684</v>
      </c>
      <c r="H411" s="8" t="s">
        <v>2600</v>
      </c>
      <c r="J411" s="16" t="s">
        <v>4020</v>
      </c>
      <c r="K411" t="s">
        <v>14</v>
      </c>
      <c r="L411" t="s">
        <v>2659</v>
      </c>
      <c r="M411" s="17">
        <v>-100</v>
      </c>
      <c r="N411" s="17">
        <v>100</v>
      </c>
      <c r="O411" s="17">
        <v>4.66E-8</v>
      </c>
      <c r="P411" s="75">
        <v>4294967296</v>
      </c>
      <c r="Q411" t="s">
        <v>3836</v>
      </c>
      <c r="R411" t="s">
        <v>3836</v>
      </c>
    </row>
    <row r="412" spans="1:18" x14ac:dyDescent="0.25">
      <c r="A412" s="77" t="s">
        <v>3197</v>
      </c>
      <c r="B412" t="s">
        <v>3107</v>
      </c>
      <c r="C412" t="s">
        <v>3108</v>
      </c>
      <c r="D412" t="s">
        <v>2782</v>
      </c>
      <c r="E412" t="s">
        <v>4021</v>
      </c>
      <c r="F412" t="s">
        <v>35</v>
      </c>
      <c r="G412" t="s">
        <v>2669</v>
      </c>
      <c r="H412" s="8" t="s">
        <v>113</v>
      </c>
      <c r="J412" s="16" t="s">
        <v>4023</v>
      </c>
      <c r="K412" t="s">
        <v>14</v>
      </c>
      <c r="L412" t="s">
        <v>2659</v>
      </c>
      <c r="M412" s="17">
        <v>0</v>
      </c>
      <c r="N412" s="17">
        <v>1</v>
      </c>
      <c r="O412" s="17">
        <v>2.0000000000000001E-10</v>
      </c>
      <c r="P412" s="75">
        <v>4294967296</v>
      </c>
      <c r="Q412" t="s">
        <v>3836</v>
      </c>
      <c r="R412" t="s">
        <v>3836</v>
      </c>
    </row>
    <row r="413" spans="1:18" x14ac:dyDescent="0.25">
      <c r="A413" t="s">
        <v>3199</v>
      </c>
      <c r="B413" t="s">
        <v>3200</v>
      </c>
      <c r="C413" t="s">
        <v>3201</v>
      </c>
      <c r="D413" t="s">
        <v>2782</v>
      </c>
      <c r="E413" t="s">
        <v>4021</v>
      </c>
      <c r="F413" t="s">
        <v>35</v>
      </c>
      <c r="G413" t="s">
        <v>2669</v>
      </c>
      <c r="H413" s="8" t="s">
        <v>113</v>
      </c>
      <c r="J413" s="16" t="s">
        <v>4024</v>
      </c>
      <c r="K413" t="s">
        <v>14</v>
      </c>
      <c r="L413" t="s">
        <v>2659</v>
      </c>
      <c r="M413" s="17">
        <v>-128</v>
      </c>
      <c r="N413" s="17">
        <v>127</v>
      </c>
      <c r="O413" s="17">
        <v>0.99609375</v>
      </c>
      <c r="P413" s="75">
        <v>256</v>
      </c>
      <c r="Q413" t="s">
        <v>3836</v>
      </c>
      <c r="R413" t="s">
        <v>3836</v>
      </c>
    </row>
    <row r="414" spans="1:18" x14ac:dyDescent="0.25">
      <c r="A414" t="s">
        <v>3511</v>
      </c>
      <c r="B414" t="s">
        <v>3512</v>
      </c>
      <c r="C414" t="s">
        <v>3513</v>
      </c>
      <c r="D414" t="s">
        <v>2782</v>
      </c>
      <c r="E414" t="s">
        <v>4021</v>
      </c>
      <c r="F414" t="s">
        <v>35</v>
      </c>
      <c r="G414" t="s">
        <v>2669</v>
      </c>
      <c r="H414" s="8" t="s">
        <v>113</v>
      </c>
      <c r="J414" s="16" t="s">
        <v>4025</v>
      </c>
      <c r="K414" t="s">
        <v>14</v>
      </c>
      <c r="L414" t="s">
        <v>2659</v>
      </c>
      <c r="M414" s="17">
        <v>0</v>
      </c>
      <c r="N414" s="17">
        <v>1</v>
      </c>
      <c r="O414" s="17">
        <v>2.0000000000000001E-10</v>
      </c>
      <c r="P414" s="75">
        <v>4294967296</v>
      </c>
      <c r="Q414" t="s">
        <v>3836</v>
      </c>
      <c r="R414" t="s">
        <v>3836</v>
      </c>
    </row>
    <row r="415" spans="1:18" x14ac:dyDescent="0.25">
      <c r="A415" t="s">
        <v>3516</v>
      </c>
      <c r="B415" t="s">
        <v>3512</v>
      </c>
      <c r="C415" t="s">
        <v>3513</v>
      </c>
      <c r="D415" t="s">
        <v>2782</v>
      </c>
      <c r="E415" t="s">
        <v>4021</v>
      </c>
      <c r="F415" t="s">
        <v>35</v>
      </c>
      <c r="G415" t="s">
        <v>2698</v>
      </c>
      <c r="H415" s="8" t="s">
        <v>113</v>
      </c>
      <c r="J415" s="16" t="s">
        <v>4026</v>
      </c>
      <c r="K415" t="s">
        <v>14</v>
      </c>
      <c r="L415" t="s">
        <v>2659</v>
      </c>
      <c r="M415" s="17">
        <v>0</v>
      </c>
      <c r="N415" s="17">
        <v>20</v>
      </c>
      <c r="O415" s="17">
        <v>4.6999999999999999E-9</v>
      </c>
      <c r="P415" s="75">
        <v>4294967296</v>
      </c>
      <c r="Q415" t="s">
        <v>3836</v>
      </c>
      <c r="R415" t="s">
        <v>3836</v>
      </c>
    </row>
    <row r="416" spans="1:18" x14ac:dyDescent="0.25">
      <c r="A416" t="s">
        <v>3120</v>
      </c>
      <c r="B416" t="s">
        <v>3121</v>
      </c>
      <c r="C416" t="s">
        <v>3122</v>
      </c>
      <c r="D416" t="s">
        <v>2782</v>
      </c>
      <c r="E416" t="s">
        <v>4021</v>
      </c>
      <c r="F416" t="s">
        <v>35</v>
      </c>
      <c r="G416" t="s">
        <v>2786</v>
      </c>
      <c r="H416" s="8" t="s">
        <v>96</v>
      </c>
      <c r="J416" s="16" t="s">
        <v>4027</v>
      </c>
      <c r="K416" t="s">
        <v>14</v>
      </c>
      <c r="L416" t="s">
        <v>2659</v>
      </c>
      <c r="M416" s="17">
        <v>-273.14999999999998</v>
      </c>
      <c r="N416" s="17">
        <v>1500</v>
      </c>
      <c r="O416" s="17">
        <v>4.1279999999999999E-7</v>
      </c>
      <c r="P416" s="75">
        <v>4294967296</v>
      </c>
      <c r="Q416" t="s">
        <v>3836</v>
      </c>
      <c r="R416" t="s">
        <v>3836</v>
      </c>
    </row>
    <row r="417" spans="1:18" x14ac:dyDescent="0.25">
      <c r="A417" t="s">
        <v>3528</v>
      </c>
      <c r="B417" t="s">
        <v>3528</v>
      </c>
      <c r="C417" t="s">
        <v>3529</v>
      </c>
      <c r="D417" t="s">
        <v>2782</v>
      </c>
      <c r="E417" t="s">
        <v>4021</v>
      </c>
      <c r="F417" t="s">
        <v>35</v>
      </c>
      <c r="G417" t="s">
        <v>2786</v>
      </c>
      <c r="H417" s="8" t="s">
        <v>96</v>
      </c>
      <c r="J417" s="16" t="s">
        <v>4028</v>
      </c>
      <c r="K417" t="s">
        <v>14</v>
      </c>
      <c r="L417" t="s">
        <v>2659</v>
      </c>
      <c r="M417" s="17">
        <v>0</v>
      </c>
      <c r="N417" s="17">
        <v>50</v>
      </c>
      <c r="O417" s="17">
        <v>1.16E-8</v>
      </c>
      <c r="P417" s="75">
        <v>4294967296</v>
      </c>
      <c r="Q417" t="s">
        <v>3836</v>
      </c>
      <c r="R417" t="s">
        <v>3836</v>
      </c>
    </row>
    <row r="418" spans="1:18" x14ac:dyDescent="0.25">
      <c r="A418" t="s">
        <v>3380</v>
      </c>
      <c r="B418" t="s">
        <v>3542</v>
      </c>
      <c r="C418" t="s">
        <v>3543</v>
      </c>
      <c r="D418" t="s">
        <v>2782</v>
      </c>
      <c r="E418" t="s">
        <v>4021</v>
      </c>
      <c r="F418" t="s">
        <v>35</v>
      </c>
      <c r="G418" t="s">
        <v>3072</v>
      </c>
      <c r="H418" s="8" t="s">
        <v>82</v>
      </c>
      <c r="J418" s="16" t="s">
        <v>4029</v>
      </c>
      <c r="K418" t="s">
        <v>14</v>
      </c>
      <c r="L418" t="s">
        <v>2659</v>
      </c>
      <c r="M418" s="17">
        <v>-10000</v>
      </c>
      <c r="N418" s="17">
        <v>10000</v>
      </c>
      <c r="O418" s="17">
        <v>4.6565999999999996E-6</v>
      </c>
      <c r="P418" s="75">
        <v>4294967296</v>
      </c>
      <c r="Q418" t="s">
        <v>3836</v>
      </c>
      <c r="R418" t="s">
        <v>3836</v>
      </c>
    </row>
    <row r="419" spans="1:18" x14ac:dyDescent="0.25">
      <c r="M419" s="17"/>
      <c r="N419" s="17"/>
      <c r="O419" s="17"/>
    </row>
    <row r="420" spans="1:18" x14ac:dyDescent="0.25">
      <c r="M420" s="17"/>
      <c r="N420" s="17"/>
      <c r="O420" s="17"/>
    </row>
    <row r="421" spans="1:18" x14ac:dyDescent="0.25">
      <c r="M421" s="17"/>
      <c r="N421" s="17"/>
      <c r="O421" s="17"/>
    </row>
    <row r="422" spans="1:18" x14ac:dyDescent="0.25">
      <c r="M422" s="17"/>
      <c r="N422" s="17"/>
      <c r="O422" s="17"/>
    </row>
    <row r="423" spans="1:18" x14ac:dyDescent="0.25">
      <c r="M423" s="17"/>
      <c r="N423" s="17"/>
      <c r="O423" s="17"/>
    </row>
    <row r="424" spans="1:18" x14ac:dyDescent="0.25">
      <c r="M424" s="17"/>
      <c r="N424" s="17"/>
      <c r="O424" s="17"/>
    </row>
    <row r="425" spans="1:18" x14ac:dyDescent="0.25">
      <c r="M425" s="17"/>
      <c r="N425" s="17"/>
      <c r="O425" s="17"/>
    </row>
    <row r="426" spans="1:18" x14ac:dyDescent="0.25">
      <c r="M426" s="17"/>
      <c r="N426" s="17"/>
      <c r="O426" s="17"/>
    </row>
    <row r="427" spans="1:18" x14ac:dyDescent="0.25">
      <c r="M427" s="17"/>
      <c r="N427" s="17"/>
      <c r="O427" s="17"/>
    </row>
    <row r="428" spans="1:18" x14ac:dyDescent="0.25">
      <c r="M428" s="17"/>
      <c r="N428" s="17"/>
      <c r="O428" s="17"/>
    </row>
    <row r="429" spans="1:18" x14ac:dyDescent="0.25">
      <c r="M429" s="17"/>
      <c r="N429" s="17"/>
      <c r="O429" s="17"/>
    </row>
    <row r="430" spans="1:18" x14ac:dyDescent="0.25">
      <c r="M430" s="17"/>
      <c r="N430" s="17"/>
      <c r="O430" s="17"/>
    </row>
    <row r="431" spans="1:18" x14ac:dyDescent="0.25">
      <c r="M431" s="17"/>
      <c r="N431" s="17"/>
      <c r="O431" s="17"/>
    </row>
    <row r="432" spans="1:18"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utoFilter="0"/>
  <autoFilter ref="A2:Q418"/>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zoomScale="70" zoomScaleNormal="70" zoomScalePageLayoutView="70" workbookViewId="0">
      <pane xSplit="1" ySplit="2" topLeftCell="B81" activePane="bottomRight" state="frozen"/>
      <selection pane="topRight" activeCell="B1" sqref="B1"/>
      <selection pane="bottomLeft" activeCell="A3" sqref="A3"/>
      <selection pane="bottomRight" activeCell="H1072" sqref="H1072"/>
    </sheetView>
  </sheetViews>
  <sheetFormatPr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3" width="11.42578125"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25">
      <c r="A166" s="9" t="str">
        <f>IF(ISBLANK('Signal Definition'!J166),"",'Signal Definition'!J166)</f>
        <v>AirCdn_pwrRqrdMecl_PHY</v>
      </c>
      <c r="B166" s="9">
        <f t="array" ref="B166">COUNT(FIND("input",$D166:$BY166))</f>
        <v>0</v>
      </c>
      <c r="C166" s="9">
        <f t="array" ref="C166">COUNT(FIND("output",$D166:$BY166))</f>
        <v>1</v>
      </c>
      <c r="Q166" t="s">
        <v>2661</v>
      </c>
    </row>
    <row r="167" spans="1:26"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25">
      <c r="A168" s="9" t="str">
        <f>IF(ISBLANK('Signal Definition'!J168),"",'Signal Definition'!J168)</f>
        <v>AuxTqSum_jAuxJSum_PHY</v>
      </c>
      <c r="B168" s="9">
        <f t="array" ref="B168">COUNT(FIND("input",$D168:$BY168))</f>
        <v>0</v>
      </c>
      <c r="C168" s="9">
        <f t="array" ref="C168">COUNT(FIND("output",$D168:$BY168))</f>
        <v>1</v>
      </c>
      <c r="W168" t="s">
        <v>2661</v>
      </c>
    </row>
    <row r="169" spans="1:26"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CoolgFan_trqCoolgFan_PHY</v>
      </c>
      <c r="B179" s="9">
        <f t="array" ref="B179">COUNT(FIND("input",$D179:$BY179))</f>
        <v>0</v>
      </c>
      <c r="C179" s="9">
        <f t="array" ref="C179">COUNT(FIND("output",$D179:$BY179))</f>
        <v>1</v>
      </c>
      <c r="R179" t="s">
        <v>2661</v>
      </c>
    </row>
    <row r="180" spans="1:23" x14ac:dyDescent="0.25">
      <c r="A180" s="9" t="str">
        <f>IF(ISBLANK('Signal Definition'!J180),"",'Signal Definition'!J180)</f>
        <v>ElecSys_pwrBattPwr_PHY</v>
      </c>
      <c r="B180" s="9">
        <f t="array" ref="B180">COUNT(FIND("input",$D180:$BY180))</f>
        <v>0</v>
      </c>
      <c r="C180" s="9">
        <f t="array" ref="C180">COUNT(FIND("output",$D180:$BY180))</f>
        <v>1</v>
      </c>
      <c r="T180" t="s">
        <v>2661</v>
      </c>
    </row>
    <row r="181" spans="1:23" x14ac:dyDescent="0.25">
      <c r="A181" s="9" t="str">
        <f>IF(ISBLANK('Signal Definition'!J181),"",'Signal Definition'!J181)</f>
        <v>ElecSys_uBattTerminalU_PHY</v>
      </c>
      <c r="B181" s="9">
        <f t="array" ref="B181">COUNT(FIND("input",$D181:$BY181))</f>
        <v>0</v>
      </c>
      <c r="C181" s="9">
        <f t="array" ref="C181">COUNT(FIND("output",$D181:$BY181))</f>
        <v>1</v>
      </c>
      <c r="T181" t="s">
        <v>2661</v>
      </c>
    </row>
    <row r="182" spans="1:23" x14ac:dyDescent="0.25">
      <c r="A182" s="9" t="str">
        <f>IF(ISBLANK('Signal Definition'!J182),"",'Signal Definition'!J182)</f>
        <v>ElecSys_chrgBattChrg_PHY</v>
      </c>
      <c r="B182" s="9">
        <f t="array" ref="B182">COUNT(FIND("input",$D182:$BY182))</f>
        <v>0</v>
      </c>
      <c r="C182" s="9">
        <f t="array" ref="C182">COUNT(FIND("output",$D182:$BY182))</f>
        <v>1</v>
      </c>
      <c r="T182" t="s">
        <v>2661</v>
      </c>
    </row>
    <row r="183" spans="1:23" x14ac:dyDescent="0.25">
      <c r="A183" s="9" t="str">
        <f>IF(ISBLANK('Signal Definition'!J183),"",'Signal Definition'!J183)</f>
        <v>ElecSys_tBattT_PHY</v>
      </c>
      <c r="B183" s="9">
        <f t="array" ref="B183">COUNT(FIND("input",$D183:$BY183))</f>
        <v>0</v>
      </c>
      <c r="C183" s="9">
        <f t="array" ref="C183">COUNT(FIND("output",$D183:$BY183))</f>
        <v>1</v>
      </c>
      <c r="T183" t="s">
        <v>2661</v>
      </c>
    </row>
    <row r="184" spans="1:23"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ECU_trqEstimdTotAux_PHY</v>
      </c>
      <c r="B201" s="9">
        <f t="array" ref="B201">COUNT(FIND("input",$D201:$BY201))</f>
        <v>0</v>
      </c>
      <c r="C201" s="9">
        <f t="array" ref="C201">COUNT(FIND("output",$D201:$BY201))</f>
        <v>1</v>
      </c>
      <c r="J201" t="s">
        <v>2661</v>
      </c>
    </row>
    <row r="202" spans="1:26"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25">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25">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25">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25">
      <c r="A218" s="9" t="str">
        <f>IF(ISBLANK('Signal Definition'!J218),"",'Signal Definition'!J218)</f>
        <v>EngMdl_pAftTrb_PHY</v>
      </c>
      <c r="B218" s="9">
        <f t="array" ref="B218">COUNT(FIND("input",$D218:$BY218))</f>
        <v>0</v>
      </c>
      <c r="C218" s="9">
        <f t="array" ref="C218">COUNT(FIND("output",$D218:$BY218))</f>
        <v>1</v>
      </c>
      <c r="K218" t="s">
        <v>2661</v>
      </c>
    </row>
    <row r="219" spans="1:33"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25">
      <c r="A225" s="9" t="str">
        <f>IF(ISBLANK('Signal Definition'!J225),"",'Signal Definition'!J225)</f>
        <v>AirCdn_tAirCdnIntrAirT_PHY</v>
      </c>
      <c r="B225" s="9">
        <f t="array" ref="B225">COUNT(FIND("input",$D225:$BY225))</f>
        <v>0</v>
      </c>
      <c r="C225" s="9">
        <f t="array" ref="C225">COUNT(FIND("output",$D225:$BY225))</f>
        <v>1</v>
      </c>
      <c r="Q225" t="s">
        <v>2661</v>
      </c>
    </row>
    <row r="226" spans="1:33"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25">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25">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25">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25">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25">
      <c r="A231" s="9" t="str">
        <f>IF(ISBLANK('Signal Definition'!J231),"",'Signal Definition'!J231)</f>
        <v>EngMdl_trqIndcdTqOut_PHY</v>
      </c>
      <c r="B231" s="9">
        <f t="array" ref="B231">COUNT(FIND("input",$D231:$BY231))</f>
        <v>0</v>
      </c>
      <c r="C231" s="9">
        <f t="array" ref="C231">COUNT(FIND("output",$D231:$BY231))</f>
        <v>1</v>
      </c>
      <c r="K231" t="s">
        <v>2661</v>
      </c>
    </row>
    <row r="232" spans="1:33" x14ac:dyDescent="0.25">
      <c r="A232" s="9" t="str">
        <f>IF(ISBLANK('Signal Definition'!J232),"",'Signal Definition'!J232)</f>
        <v>ExhATSysMdl_ratNh3SnsrDs_PHY</v>
      </c>
      <c r="B232" s="9">
        <f t="array" ref="B232">COUNT(FIND("input",$D232:$BY232))</f>
        <v>0</v>
      </c>
      <c r="C232" s="9">
        <f t="array" ref="C232">COUNT(FIND("output",$D232:$BY232))</f>
        <v>1</v>
      </c>
      <c r="L232" t="s">
        <v>2661</v>
      </c>
    </row>
    <row r="233" spans="1:33" x14ac:dyDescent="0.25">
      <c r="A233" s="9" t="str">
        <f>IF(ISBLANK('Signal Definition'!J233),"",'Signal Definition'!J233)</f>
        <v>ExhATSysMdl_mNh3SCR_PHY</v>
      </c>
      <c r="B233" s="9">
        <f t="array" ref="B233">COUNT(FIND("input",$D233:$BY233))</f>
        <v>0</v>
      </c>
      <c r="C233" s="9">
        <f t="array" ref="C233">COUNT(FIND("output",$D233:$BY233))</f>
        <v>1</v>
      </c>
      <c r="L233" t="s">
        <v>2661</v>
      </c>
    </row>
    <row r="234" spans="1:33"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25">
      <c r="A250" s="9" t="str">
        <f>IF(ISBLANK('Signal Definition'!J250),"",'Signal Definition'!J250)</f>
        <v>EgyFlowCoorr_stTDecDi_INT</v>
      </c>
      <c r="B250" s="9">
        <f t="array" ref="B250">COUNT(FIND("input",$D250:$BY250))</f>
        <v>0</v>
      </c>
      <c r="C250" s="9">
        <f t="array" ref="C250">COUNT(FIND("output",$D250:$BY250))</f>
        <v>1</v>
      </c>
      <c r="Z250" t="s">
        <v>2661</v>
      </c>
    </row>
    <row r="251" spans="1:3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25">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25">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25">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25">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25">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25">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25">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25">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25">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25">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25">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25">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25">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25">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25">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25">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25">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25">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25">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25">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25">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25">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25">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25">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25">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25">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25">
      <c r="A297" s="9" t="str">
        <f>IF(ISBLANK('Signal Definition'!J297),"",'Signal Definition'!J297)</f>
        <v>PCCMRPUIf_stHrznVld_PHY</v>
      </c>
      <c r="B297" s="9">
        <f t="array" ref="B297">COUNT(FIND("input",$D297:$BY297))</f>
        <v>0</v>
      </c>
      <c r="C297" s="9">
        <f t="array" ref="C297">COUNT(FIND("output",$D297:$BY297))</f>
        <v>1</v>
      </c>
      <c r="AJ297" t="s">
        <v>2661</v>
      </c>
    </row>
    <row r="298" spans="1:37" x14ac:dyDescent="0.25">
      <c r="A298" s="9" t="str">
        <f>IF(ISBLANK('Signal Definition'!J298),"",'Signal Definition'!J298)</f>
        <v>PCCMRPUIf_lVehPosn_PHY</v>
      </c>
      <c r="B298" s="9">
        <f t="array" ref="B298">COUNT(FIND("input",$D298:$BY298))</f>
        <v>0</v>
      </c>
      <c r="C298" s="9">
        <f t="array" ref="C298">COUNT(FIND("output",$D298:$BY298))</f>
        <v>1</v>
      </c>
      <c r="AJ298" t="s">
        <v>2661</v>
      </c>
    </row>
    <row r="299" spans="1:37" x14ac:dyDescent="0.25">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25">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25">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25">
      <c r="A361" s="9" t="str">
        <f>IF(ISBLANK('Signal Definition'!J361),"",'Signal Definition'!J361)</f>
        <v>RealECU_numOperModAct_PHY</v>
      </c>
      <c r="B361" s="9">
        <f t="array" ref="B361">COUNT(FIND("input",$D361:$BY361))</f>
        <v>0</v>
      </c>
      <c r="C361" s="9">
        <f t="array" ref="C361">COUNT(FIND("output",$D361:$BY361))</f>
        <v>1</v>
      </c>
      <c r="AH361" t="s">
        <v>2661</v>
      </c>
    </row>
    <row r="362" spans="1:34" x14ac:dyDescent="0.25">
      <c r="A362" s="9" t="str">
        <f>IF(ISBLANK('Signal Definition'!J362),"",'Signal Definition'!J362)</f>
        <v>RealECU_qInjTot_PHY</v>
      </c>
      <c r="B362" s="9">
        <f t="array" ref="B362">COUNT(FIND("input",$D362:$BY362))</f>
        <v>0</v>
      </c>
      <c r="C362" s="9">
        <f t="array" ref="C362">COUNT(FIND("output",$D362:$BY362))</f>
        <v>1</v>
      </c>
      <c r="AH362" t="s">
        <v>2661</v>
      </c>
    </row>
    <row r="363" spans="1:34" x14ac:dyDescent="0.25">
      <c r="A363" s="9" t="str">
        <f>IF(ISBLANK('Signal Definition'!J363),"",'Signal Definition'!J363)</f>
        <v>RealECU_qInjMai1_PHY</v>
      </c>
      <c r="B363" s="9">
        <f t="array" ref="B363">COUNT(FIND("input",$D363:$BY363))</f>
        <v>0</v>
      </c>
      <c r="C363" s="9">
        <f t="array" ref="C363">COUNT(FIND("output",$D363:$BY363))</f>
        <v>1</v>
      </c>
      <c r="AH363" t="s">
        <v>2661</v>
      </c>
    </row>
    <row r="364" spans="1:34" x14ac:dyDescent="0.25">
      <c r="A364" s="9" t="str">
        <f>IF(ISBLANK('Signal Definition'!J364),"",'Signal Definition'!J364)</f>
        <v>RealECU_qInjPil1_PHY</v>
      </c>
      <c r="B364" s="9">
        <f t="array" ref="B364">COUNT(FIND("input",$D364:$BY364))</f>
        <v>0</v>
      </c>
      <c r="C364" s="9">
        <f t="array" ref="C364">COUNT(FIND("output",$D364:$BY364))</f>
        <v>1</v>
      </c>
      <c r="AH364" t="s">
        <v>2661</v>
      </c>
    </row>
    <row r="365" spans="1:34" x14ac:dyDescent="0.25">
      <c r="A365" s="9" t="str">
        <f>IF(ISBLANK('Signal Definition'!J365),"",'Signal Definition'!J365)</f>
        <v>RealECU_qInjPil2_PHY</v>
      </c>
      <c r="B365" s="9">
        <f t="array" ref="B365">COUNT(FIND("input",$D365:$BY365))</f>
        <v>0</v>
      </c>
      <c r="C365" s="9">
        <f t="array" ref="C365">COUNT(FIND("output",$D365:$BY365))</f>
        <v>1</v>
      </c>
      <c r="AH365" t="s">
        <v>2661</v>
      </c>
    </row>
    <row r="366" spans="1:34" x14ac:dyDescent="0.25">
      <c r="A366" s="9" t="str">
        <f>IF(ISBLANK('Signal Definition'!J366),"",'Signal Definition'!J366)</f>
        <v>RealECU_qInjPost1_PHY</v>
      </c>
      <c r="B366" s="9">
        <f t="array" ref="B366">COUNT(FIND("input",$D366:$BY366))</f>
        <v>0</v>
      </c>
      <c r="C366" s="9">
        <f t="array" ref="C366">COUNT(FIND("output",$D366:$BY366))</f>
        <v>1</v>
      </c>
      <c r="AH366" t="s">
        <v>2661</v>
      </c>
    </row>
    <row r="367" spans="1:34" x14ac:dyDescent="0.25">
      <c r="A367" s="9" t="str">
        <f>IF(ISBLANK('Signal Definition'!J367),"",'Signal Definition'!J367)</f>
        <v>RealECU_qInjPost2_PHY</v>
      </c>
      <c r="B367" s="9">
        <f t="array" ref="B367">COUNT(FIND("input",$D367:$BY367))</f>
        <v>0</v>
      </c>
      <c r="C367" s="9">
        <f t="array" ref="C367">COUNT(FIND("output",$D367:$BY367))</f>
        <v>1</v>
      </c>
      <c r="AH367" t="s">
        <v>2661</v>
      </c>
    </row>
    <row r="368" spans="1:34" x14ac:dyDescent="0.25">
      <c r="A368" s="9" t="str">
        <f>IF(ISBLANK('Signal Definition'!J368),"",'Signal Definition'!J368)</f>
        <v>RealECU_phiInjMai1_PHY</v>
      </c>
      <c r="B368" s="9">
        <f t="array" ref="B368">COUNT(FIND("input",$D368:$BY368))</f>
        <v>0</v>
      </c>
      <c r="C368" s="9">
        <f t="array" ref="C368">COUNT(FIND("output",$D368:$BY368))</f>
        <v>1</v>
      </c>
      <c r="AH368" t="s">
        <v>2661</v>
      </c>
    </row>
    <row r="369" spans="1:34" x14ac:dyDescent="0.25">
      <c r="A369" s="9" t="str">
        <f>IF(ISBLANK('Signal Definition'!J369),"",'Signal Definition'!J369)</f>
        <v>RealECU_phiInjPil1_PHY</v>
      </c>
      <c r="B369" s="9">
        <f t="array" ref="B369">COUNT(FIND("input",$D369:$BY369))</f>
        <v>0</v>
      </c>
      <c r="C369" s="9">
        <f t="array" ref="C369">COUNT(FIND("output",$D369:$BY369))</f>
        <v>1</v>
      </c>
      <c r="AH369" t="s">
        <v>2661</v>
      </c>
    </row>
    <row r="370" spans="1:34" x14ac:dyDescent="0.25">
      <c r="A370" s="9" t="str">
        <f>IF(ISBLANK('Signal Definition'!J370),"",'Signal Definition'!J370)</f>
        <v>RealECU_phiInjPil2_PHY</v>
      </c>
      <c r="B370" s="9">
        <f t="array" ref="B370">COUNT(FIND("input",$D370:$BY370))</f>
        <v>0</v>
      </c>
      <c r="C370" s="9">
        <f t="array" ref="C370">COUNT(FIND("output",$D370:$BY370))</f>
        <v>1</v>
      </c>
      <c r="AH370" t="s">
        <v>2661</v>
      </c>
    </row>
    <row r="371" spans="1:34" x14ac:dyDescent="0.25">
      <c r="A371" s="9" t="str">
        <f>IF(ISBLANK('Signal Definition'!J371),"",'Signal Definition'!J371)</f>
        <v>RealECU_phiInjPost1_PHY</v>
      </c>
      <c r="B371" s="9">
        <f t="array" ref="B371">COUNT(FIND("input",$D371:$BY371))</f>
        <v>0</v>
      </c>
      <c r="C371" s="9">
        <f t="array" ref="C371">COUNT(FIND("output",$D371:$BY371))</f>
        <v>1</v>
      </c>
      <c r="AH371" t="s">
        <v>2661</v>
      </c>
    </row>
    <row r="372" spans="1:34" x14ac:dyDescent="0.25">
      <c r="A372" s="9" t="str">
        <f>IF(ISBLANK('Signal Definition'!J372),"",'Signal Definition'!J372)</f>
        <v>RealECU_phiInjPost2_PHY</v>
      </c>
      <c r="B372" s="9">
        <f t="array" ref="B372">COUNT(FIND("input",$D372:$BY372))</f>
        <v>0</v>
      </c>
      <c r="C372" s="9">
        <f t="array" ref="C372">COUNT(FIND("output",$D372:$BY372))</f>
        <v>1</v>
      </c>
      <c r="AH372" t="s">
        <v>2661</v>
      </c>
    </row>
    <row r="373" spans="1:34" x14ac:dyDescent="0.25">
      <c r="A373" s="9" t="str">
        <f>IF(ISBLANK('Signal Definition'!J373),"",'Signal Definition'!J373)</f>
        <v>RealECU_pFuRailDes_PHY</v>
      </c>
      <c r="B373" s="9">
        <f t="array" ref="B373">COUNT(FIND("input",$D373:$BY373))</f>
        <v>0</v>
      </c>
      <c r="C373" s="9">
        <f t="array" ref="C373">COUNT(FIND("output",$D373:$BY373))</f>
        <v>1</v>
      </c>
      <c r="AH373" t="s">
        <v>2661</v>
      </c>
    </row>
    <row r="374" spans="1:34" x14ac:dyDescent="0.25">
      <c r="A374" s="9" t="str">
        <f>IF(ISBLANK('Signal Definition'!J374),"",'Signal Definition'!J374)</f>
        <v>RealECU_nEngSetLo_PHY</v>
      </c>
      <c r="B374" s="9">
        <f t="array" ref="B374">COUNT(FIND("input",$D374:$BY374))</f>
        <v>0</v>
      </c>
      <c r="C374" s="9">
        <f t="array" ref="C374">COUNT(FIND("output",$D374:$BY374))</f>
        <v>1</v>
      </c>
      <c r="AH374" t="s">
        <v>2661</v>
      </c>
    </row>
    <row r="375" spans="1:34" x14ac:dyDescent="0.25">
      <c r="A375" s="9" t="str">
        <f>IF(ISBLANK('Signal Definition'!J375),"",'Signal Definition'!J375)</f>
        <v>RealECU_trqEngMax_PHY</v>
      </c>
      <c r="B375" s="9">
        <f t="array" ref="B375">COUNT(FIND("input",$D375:$BY375))</f>
        <v>0</v>
      </c>
      <c r="C375" s="9">
        <f t="array" ref="C375">COUNT(FIND("output",$D375:$BY375))</f>
        <v>1</v>
      </c>
      <c r="AH375" t="s">
        <v>2661</v>
      </c>
    </row>
    <row r="376" spans="1:34" x14ac:dyDescent="0.25">
      <c r="A376" s="9" t="str">
        <f>IF(ISBLANK('Signal Definition'!J376),"",'Signal Definition'!J376)</f>
        <v>RealECU_prcEngActTq_PHY</v>
      </c>
      <c r="B376" s="9">
        <f t="array" ref="B376">COUNT(FIND("input",$D376:$BY376))</f>
        <v>0</v>
      </c>
      <c r="C376" s="9">
        <f t="array" ref="C376">COUNT(FIND("output",$D376:$BY376))</f>
        <v>1</v>
      </c>
      <c r="AH376" t="s">
        <v>2661</v>
      </c>
    </row>
    <row r="377" spans="1:34"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x14ac:dyDescent="0.25">
      <c r="A378" s="9" t="str">
        <f>IF(ISBLANK('Signal Definition'!J378),"",'Signal Definition'!J378)</f>
        <v>RealECU_prcEngFricTq_PHY</v>
      </c>
      <c r="B378" s="9">
        <f t="array" ref="B378">COUNT(FIND("input",$D378:$BY378))</f>
        <v>0</v>
      </c>
      <c r="C378" s="9">
        <f t="array" ref="C378">COUNT(FIND("output",$D378:$BY378))</f>
        <v>1</v>
      </c>
      <c r="AH378" t="s">
        <v>2661</v>
      </c>
    </row>
    <row r="379" spans="1:34" x14ac:dyDescent="0.25">
      <c r="A379" s="9" t="str">
        <f>IF(ISBLANK('Signal Definition'!J379),"",'Signal Definition'!J379)</f>
        <v>RealECU_mflUreaDes_PHY</v>
      </c>
      <c r="B379" s="9">
        <f t="array" ref="B379">COUNT(FIND("input",$D379:$BY379))</f>
        <v>0</v>
      </c>
      <c r="C379" s="9">
        <f t="array" ref="C379">COUNT(FIND("output",$D379:$BY379))</f>
        <v>1</v>
      </c>
      <c r="AH379" t="s">
        <v>2661</v>
      </c>
    </row>
    <row r="380" spans="1:34" x14ac:dyDescent="0.25">
      <c r="A380" s="9" t="str">
        <f>IF(ISBLANK('Signal Definition'!J380),"",'Signal Definition'!J380)</f>
        <v>RealECU_nFanDes_PHY</v>
      </c>
      <c r="B380" s="9">
        <f t="array" ref="B380">COUNT(FIND("input",$D380:$BY380))</f>
        <v>0</v>
      </c>
      <c r="C380" s="9">
        <f t="array" ref="C380">COUNT(FIND("output",$D380:$BY380))</f>
        <v>1</v>
      </c>
      <c r="AH380" t="s">
        <v>2661</v>
      </c>
    </row>
    <row r="381" spans="1:34"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x14ac:dyDescent="0.25">
      <c r="A382" s="9" t="str">
        <f>IF(ISBLANK('Signal Definition'!J382),"",'Signal Definition'!J382)</f>
        <v>RealECU_trqEngSetInr_PHY</v>
      </c>
      <c r="B382" s="9">
        <f t="array" ref="B382">COUNT(FIND("input",$D382:$BY382))</f>
        <v>0</v>
      </c>
      <c r="C382" s="9">
        <f t="array" ref="C382">COUNT(FIND("output",$D382:$BY382))</f>
        <v>1</v>
      </c>
      <c r="AH382" t="s">
        <v>2661</v>
      </c>
    </row>
    <row r="383" spans="1:34" x14ac:dyDescent="0.25">
      <c r="A383" s="9" t="str">
        <f>IF(ISBLANK('Signal Definition'!J383),"",'Signal Definition'!J383)</f>
        <v>RealECU_prcTrbVlvDes_PHY</v>
      </c>
      <c r="B383" s="9">
        <f t="array" ref="B383">COUNT(FIND("input",$D383:$BY383))</f>
        <v>0</v>
      </c>
      <c r="C383" s="9">
        <f t="array" ref="C383">COUNT(FIND("output",$D383:$BY383))</f>
        <v>1</v>
      </c>
      <c r="AH383" t="s">
        <v>2661</v>
      </c>
    </row>
    <row r="384" spans="1:34" x14ac:dyDescent="0.25">
      <c r="A384" s="9" t="str">
        <f>IF(ISBLANK('Signal Definition'!J384),"",'Signal Definition'!J384)</f>
        <v>RealECU_prcEgrVlvDes_PHY</v>
      </c>
      <c r="B384" s="9">
        <f t="array" ref="B384">COUNT(FIND("input",$D384:$BY384))</f>
        <v>0</v>
      </c>
      <c r="C384" s="9">
        <f t="array" ref="C384">COUNT(FIND("output",$D384:$BY384))</f>
        <v>1</v>
      </c>
      <c r="AH384" t="s">
        <v>2661</v>
      </c>
    </row>
    <row r="385" spans="1:34" x14ac:dyDescent="0.25">
      <c r="A385" s="9" t="str">
        <f>IF(ISBLANK('Signal Definition'!J385),"",'Signal Definition'!J385)</f>
        <v>RealECU_prcThrVlvDes_PHY</v>
      </c>
      <c r="B385" s="9">
        <f t="array" ref="B385">COUNT(FIND("input",$D385:$BY385))</f>
        <v>0</v>
      </c>
      <c r="C385" s="9">
        <f t="array" ref="C385">COUNT(FIND("output",$D385:$BY385))</f>
        <v>1</v>
      </c>
      <c r="AH385" t="s">
        <v>2661</v>
      </c>
    </row>
    <row r="386" spans="1:34" x14ac:dyDescent="0.25">
      <c r="A386" s="9" t="str">
        <f>IF(ISBLANK('Signal Definition'!J386),"",'Signal Definition'!J386)</f>
        <v>RealECU_stCrsCtrl_PHY</v>
      </c>
      <c r="B386" s="9">
        <f t="array" ref="B386">COUNT(FIND("input",$D386:$BY386))</f>
        <v>0</v>
      </c>
      <c r="C386" s="9">
        <f t="array" ref="C386">COUNT(FIND("output",$D386:$BY386))</f>
        <v>1</v>
      </c>
      <c r="AH386" t="s">
        <v>2661</v>
      </c>
    </row>
    <row r="387" spans="1:34"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x14ac:dyDescent="0.25">
      <c r="A388" s="9" t="str">
        <f>IF(ISBLANK('Signal Definition'!J388),"",'Signal Definition'!J388)</f>
        <v>RealECU_vVehCrsCtrl_PHY</v>
      </c>
      <c r="B388" s="9">
        <f t="array" ref="B388">COUNT(FIND("input",$D388:$BY388))</f>
        <v>0</v>
      </c>
      <c r="C388" s="9">
        <f t="array" ref="C388">COUNT(FIND("output",$D388:$BY388))</f>
        <v>1</v>
      </c>
      <c r="AH388" t="s">
        <v>2661</v>
      </c>
    </row>
    <row r="389" spans="1:34" x14ac:dyDescent="0.25">
      <c r="A389" s="9" t="str">
        <f>IF(ISBLANK('Signal Definition'!J389),"",'Signal Definition'!J389)</f>
        <v>RealECU_pIntkMnfldDes_PHY</v>
      </c>
      <c r="B389" s="9">
        <f t="array" ref="B389">COUNT(FIND("input",$D389:$BY389))</f>
        <v>0</v>
      </c>
      <c r="C389" s="9">
        <f t="array" ref="C389">COUNT(FIND("output",$D389:$BY389))</f>
        <v>1</v>
      </c>
      <c r="AH389" t="s">
        <v>2661</v>
      </c>
    </row>
    <row r="390" spans="1:34"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x14ac:dyDescent="0.25">
      <c r="A392" s="9" t="str">
        <f>IF(ISBLANK('Signal Definition'!J392),"",'Signal Definition'!J392)</f>
        <v>RealECU_swtAirCmpr_PHY</v>
      </c>
      <c r="B392" s="9">
        <f t="array" ref="B392">COUNT(FIND("input",$D392:$BY392))</f>
        <v>0</v>
      </c>
      <c r="C392" s="9">
        <f t="array" ref="C392">COUNT(FIND("output",$D392:$BY392))</f>
        <v>1</v>
      </c>
      <c r="AH392" t="s">
        <v>2661</v>
      </c>
    </row>
    <row r="393" spans="1:34" x14ac:dyDescent="0.25">
      <c r="A393" s="9" t="str">
        <f>IF(ISBLANK('Signal Definition'!J393),"",'Signal Definition'!J393)</f>
        <v>RealECU_pAirTank_PHY</v>
      </c>
      <c r="B393" s="9">
        <f t="array" ref="B393">COUNT(FIND("input",$D393:$BY393))</f>
        <v>0</v>
      </c>
      <c r="C393" s="9">
        <f t="array" ref="C393">COUNT(FIND("output",$D393:$BY393))</f>
        <v>1</v>
      </c>
      <c r="AH393" t="s">
        <v>2661</v>
      </c>
    </row>
    <row r="394" spans="1:34"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x14ac:dyDescent="0.25">
      <c r="A396" s="9" t="str">
        <f>IF(ISBLANK('Signal Definition'!J396),"",'Signal Definition'!J396)</f>
        <v>RealECU_trqGenr_PHY</v>
      </c>
      <c r="B396" s="9">
        <f t="array" ref="B396">COUNT(FIND("input",$D396:$BY396))</f>
        <v>0</v>
      </c>
      <c r="C396" s="9">
        <f t="array" ref="C396">COUNT(FIND("output",$D396:$BY396))</f>
        <v>1</v>
      </c>
      <c r="AH396" t="s">
        <v>2661</v>
      </c>
    </row>
    <row r="397" spans="1:34" x14ac:dyDescent="0.25">
      <c r="A397" s="9" t="str">
        <f>IF(ISBLANK('Signal Definition'!J397),"",'Signal Definition'!J397)</f>
        <v>RealECU_nGenr_PHY</v>
      </c>
      <c r="B397" s="9">
        <f t="array" ref="B397">COUNT(FIND("input",$D397:$BY397))</f>
        <v>0</v>
      </c>
      <c r="C397" s="9">
        <f t="array" ref="C397">COUNT(FIND("output",$D397:$BY397))</f>
        <v>1</v>
      </c>
      <c r="AH397" t="s">
        <v>2661</v>
      </c>
    </row>
    <row r="398" spans="1:34" x14ac:dyDescent="0.25">
      <c r="A398" s="9" t="str">
        <f>IF(ISBLANK('Signal Definition'!J398),"",'Signal Definition'!J398)</f>
        <v>RealECU_tCooltSp_PHY</v>
      </c>
      <c r="B398" s="9">
        <f t="array" ref="B398">COUNT(FIND("input",$D398:$BY398))</f>
        <v>0</v>
      </c>
      <c r="C398" s="9">
        <f t="array" ref="C398">COUNT(FIND("output",$D398:$BY398))</f>
        <v>1</v>
      </c>
      <c r="AH398" t="s">
        <v>2661</v>
      </c>
    </row>
    <row r="399" spans="1:34" x14ac:dyDescent="0.25">
      <c r="A399" s="9" t="str">
        <f>IF(ISBLANK('Signal Definition'!J399),"",'Signal Definition'!J399)</f>
        <v>RealECU_tIntrTSp_PHY</v>
      </c>
      <c r="B399" s="9">
        <f t="array" ref="B399">COUNT(FIND("input",$D399:$BY399))</f>
        <v>0</v>
      </c>
      <c r="C399" s="9">
        <f t="array" ref="C399">COUNT(FIND("output",$D399:$BY399))</f>
        <v>1</v>
      </c>
      <c r="AH399" t="s">
        <v>2661</v>
      </c>
    </row>
    <row r="400" spans="1:34" x14ac:dyDescent="0.25">
      <c r="A400" s="9" t="str">
        <f>IF(ISBLANK('Signal Definition'!J400),"",'Signal Definition'!J400)</f>
        <v>RealECU_nCrksft_PHY</v>
      </c>
      <c r="B400" s="9">
        <f t="array" ref="B400">COUNT(FIND("input",$D400:$BY400))</f>
        <v>0</v>
      </c>
      <c r="C400" s="9">
        <f t="array" ref="C400">COUNT(FIND("output",$D400:$BY400))</f>
        <v>1</v>
      </c>
      <c r="AH400" t="s">
        <v>2661</v>
      </c>
    </row>
    <row r="401" spans="1:38" x14ac:dyDescent="0.25">
      <c r="A401" s="9" t="str">
        <f>IF(ISBLANK('Signal Definition'!J401),"",'Signal Definition'!J401)</f>
        <v>RealECU_trqEngTqOut_PHY</v>
      </c>
      <c r="B401" s="9">
        <f t="array" ref="B401">COUNT(FIND("input",$D401:$BY401))</f>
        <v>0</v>
      </c>
      <c r="C401" s="9">
        <f t="array" ref="C401">COUNT(FIND("output",$D401:$BY401))</f>
        <v>1</v>
      </c>
      <c r="AH401" t="s">
        <v>2661</v>
      </c>
    </row>
    <row r="402" spans="1:38"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x14ac:dyDescent="0.25">
      <c r="A408" s="9" t="str">
        <f>IF(ISBLANK('Signal Definition'!J408),"",'Signal Definition'!J408)</f>
        <v>RealECU_vVehSpd_PHY</v>
      </c>
      <c r="B408" s="9">
        <f t="array" ref="B408">COUNT(FIND("input",$D408:$BY408))</f>
        <v>0</v>
      </c>
      <c r="C408" s="9">
        <f t="array" ref="C408">COUNT(FIND("output",$D408:$BY408))</f>
        <v>1</v>
      </c>
      <c r="AH408" t="s">
        <v>2661</v>
      </c>
    </row>
    <row r="409" spans="1:38" x14ac:dyDescent="0.25">
      <c r="A409" s="9" t="str">
        <f>IF(ISBLANK('Signal Definition'!J409),"",'Signal Definition'!J409)</f>
        <v>RealECU_lDstTrvld_PHY</v>
      </c>
      <c r="B409" s="9">
        <f t="array" ref="B409">COUNT(FIND("input",$D409:$BY409))</f>
        <v>0</v>
      </c>
      <c r="C409" s="9">
        <f t="array" ref="C409">COUNT(FIND("output",$D409:$BY409))</f>
        <v>1</v>
      </c>
      <c r="AH409" t="s">
        <v>2661</v>
      </c>
    </row>
    <row r="410" spans="1:38" x14ac:dyDescent="0.25">
      <c r="A410" s="9" t="str">
        <f>IF(ISBLANK('Signal Definition'!J410),"",'Signal Definition'!J410)</f>
        <v>RealECU_aVeh_PHY</v>
      </c>
      <c r="B410" s="9">
        <f t="array" ref="B410">COUNT(FIND("input",$D410:$BY410))</f>
        <v>0</v>
      </c>
      <c r="C410" s="9">
        <f t="array" ref="C410">COUNT(FIND("output",$D410:$BY410))</f>
        <v>1</v>
      </c>
      <c r="AH410" t="s">
        <v>2661</v>
      </c>
    </row>
    <row r="411" spans="1:38"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0</v>
      </c>
    </row>
    <row r="413" spans="1:38"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25">
      <c r="A416" s="9" t="str">
        <f>IF(ISBLANK('Signal Definition'!J416),"",'Signal Definition'!J416)</f>
        <v>RealRPU_tCooltSp_PHY</v>
      </c>
      <c r="B416" s="9">
        <f t="array" ref="B416">COUNT(FIND("input",$D416:$BY416))</f>
        <v>0</v>
      </c>
      <c r="C416" s="9">
        <f t="array" ref="C416">COUNT(FIND("output",$D416:$BY416))</f>
        <v>1</v>
      </c>
      <c r="AL416" t="s">
        <v>2661</v>
      </c>
    </row>
    <row r="417" spans="1:38" x14ac:dyDescent="0.25">
      <c r="A417" s="9" t="str">
        <f>IF(ISBLANK('Signal Definition'!J417),"",'Signal Definition'!J417)</f>
        <v>RealRPU_tIntrTSp_PHY</v>
      </c>
      <c r="B417" s="9">
        <f t="array" ref="B417">COUNT(FIND("input",$D417:$BY417))</f>
        <v>0</v>
      </c>
      <c r="C417" s="9">
        <f t="array" ref="C417">COUNT(FIND("output",$D417:$BY417))</f>
        <v>1</v>
      </c>
      <c r="AL417" t="s">
        <v>2661</v>
      </c>
    </row>
    <row r="418" spans="1:38" x14ac:dyDescent="0.25">
      <c r="A418" s="9" t="str">
        <f>IF(ISBLANK('Signal Definition'!J418),"",'Signal Definition'!J418)</f>
        <v>RealRPU_pwrMotGenrSetPwr_PHY</v>
      </c>
      <c r="B418" s="9">
        <f t="array" ref="B418">COUNT(FIND("input",$D418:$BY418))</f>
        <v>0</v>
      </c>
      <c r="C418" s="9">
        <f t="array" ref="C418">COUNT(FIND("output",$D418:$BY418))</f>
        <v>1</v>
      </c>
      <c r="AL418" t="s">
        <v>2661</v>
      </c>
    </row>
    <row r="419" spans="1:38" x14ac:dyDescent="0.25">
      <c r="A419" s="9" t="str">
        <f>IF(ISBLANK('Signal Definition'!J419),"",'Signal Definition'!J419)</f>
        <v/>
      </c>
      <c r="B419" s="9">
        <f t="array" ref="B419">COUNT(FIND("input",$D419:$BY419))</f>
        <v>0</v>
      </c>
      <c r="C419" s="9">
        <f t="array" ref="C419">COUNT(FIND("output",$D419:$BY419))</f>
        <v>0</v>
      </c>
    </row>
    <row r="420" spans="1:38" x14ac:dyDescent="0.25">
      <c r="A420" s="9" t="str">
        <f>IF(ISBLANK('Signal Definition'!J420),"",'Signal Definition'!J420)</f>
        <v/>
      </c>
      <c r="B420" s="9">
        <f t="array" ref="B420">COUNT(FIND("input",$D420:$BY420))</f>
        <v>0</v>
      </c>
      <c r="C420" s="9">
        <f t="array" ref="C420">COUNT(FIND("output",$D420:$BY420))</f>
        <v>0</v>
      </c>
    </row>
    <row r="421" spans="1:38" x14ac:dyDescent="0.25">
      <c r="A421" s="9" t="str">
        <f>IF(ISBLANK('Signal Definition'!J421),"",'Signal Definition'!J421)</f>
        <v/>
      </c>
      <c r="B421" s="9">
        <f t="array" ref="B421">COUNT(FIND("input",$D421:$BY421))</f>
        <v>0</v>
      </c>
      <c r="C421" s="9">
        <f t="array" ref="C421">COUNT(FIND("output",$D421:$BY421))</f>
        <v>0</v>
      </c>
    </row>
    <row r="422" spans="1:38" x14ac:dyDescent="0.25">
      <c r="A422" s="9" t="str">
        <f>IF(ISBLANK('Signal Definition'!J422),"",'Signal Definition'!J422)</f>
        <v/>
      </c>
      <c r="B422" s="9">
        <f t="array" ref="B422">COUNT(FIND("input",$D422:$BY422))</f>
        <v>0</v>
      </c>
      <c r="C422" s="9">
        <f t="array" ref="C422">COUNT(FIND("output",$D422:$BY422))</f>
        <v>0</v>
      </c>
    </row>
    <row r="423" spans="1:38" x14ac:dyDescent="0.25">
      <c r="A423" s="9" t="str">
        <f>IF(ISBLANK('Signal Definition'!J423),"",'Signal Definition'!J423)</f>
        <v/>
      </c>
      <c r="B423" s="9">
        <f t="array" ref="B423">COUNT(FIND("input",$D423:$BY423))</f>
        <v>0</v>
      </c>
      <c r="C423" s="9">
        <f t="array" ref="C423">COUNT(FIND("output",$D423:$BY423))</f>
        <v>0</v>
      </c>
    </row>
    <row r="424" spans="1:38" x14ac:dyDescent="0.25">
      <c r="A424" s="9" t="str">
        <f>IF(ISBLANK('Signal Definition'!J424),"",'Signal Definition'!J424)</f>
        <v/>
      </c>
      <c r="B424" s="9">
        <f t="array" ref="B424">COUNT(FIND("input",$D424:$BY424))</f>
        <v>0</v>
      </c>
      <c r="C424" s="9">
        <f t="array" ref="C424">COUNT(FIND("output",$D424:$BY424))</f>
        <v>0</v>
      </c>
    </row>
    <row r="425" spans="1:38" x14ac:dyDescent="0.25">
      <c r="A425" s="9" t="str">
        <f>IF(ISBLANK('Signal Definition'!J425),"",'Signal Definition'!J425)</f>
        <v/>
      </c>
      <c r="B425" s="9">
        <f t="array" ref="B425">COUNT(FIND("input",$D425:$BY425))</f>
        <v>0</v>
      </c>
      <c r="C425" s="9">
        <f t="array" ref="C425">COUNT(FIND("output",$D425:$BY425))</f>
        <v>0</v>
      </c>
    </row>
    <row r="426" spans="1:38" x14ac:dyDescent="0.25">
      <c r="A426" s="9" t="str">
        <f>IF(ISBLANK('Signal Definition'!J426),"",'Signal Definition'!J426)</f>
        <v/>
      </c>
      <c r="B426" s="9">
        <f t="array" ref="B426">COUNT(FIND("input",$D426:$BY426))</f>
        <v>0</v>
      </c>
      <c r="C426" s="9">
        <f t="array" ref="C426">COUNT(FIND("output",$D426:$BY426))</f>
        <v>0</v>
      </c>
    </row>
    <row r="427" spans="1:38" x14ac:dyDescent="0.25">
      <c r="A427" s="9" t="str">
        <f>IF(ISBLANK('Signal Definition'!J427),"",'Signal Definition'!J427)</f>
        <v/>
      </c>
      <c r="B427" s="9">
        <f t="array" ref="B427">COUNT(FIND("input",$D427:$BY427))</f>
        <v>0</v>
      </c>
      <c r="C427" s="9">
        <f t="array" ref="C427">COUNT(FIND("output",$D427:$BY427))</f>
        <v>0</v>
      </c>
    </row>
    <row r="428" spans="1:38" x14ac:dyDescent="0.25">
      <c r="A428" s="9" t="str">
        <f>IF(ISBLANK('Signal Definition'!J428),"",'Signal Definition'!J428)</f>
        <v/>
      </c>
      <c r="B428" s="9">
        <f t="array" ref="B428">COUNT(FIND("input",$D428:$BY428))</f>
        <v>0</v>
      </c>
      <c r="C428" s="9">
        <f t="array" ref="C428">COUNT(FIND("output",$D428:$BY428))</f>
        <v>0</v>
      </c>
    </row>
    <row r="429" spans="1:38" x14ac:dyDescent="0.25">
      <c r="A429" s="9" t="str">
        <f>IF(ISBLANK('Signal Definition'!J429),"",'Signal Definition'!J429)</f>
        <v/>
      </c>
      <c r="B429" s="9">
        <f t="array" ref="B429">COUNT(FIND("input",$D429:$BY429))</f>
        <v>0</v>
      </c>
      <c r="C429" s="9">
        <f t="array" ref="C429">COUNT(FIND("output",$D429:$BY429))</f>
        <v>0</v>
      </c>
    </row>
    <row r="430" spans="1:38" x14ac:dyDescent="0.25">
      <c r="A430" s="9" t="str">
        <f>IF(ISBLANK('Signal Definition'!J430),"",'Signal Definition'!J430)</f>
        <v/>
      </c>
      <c r="B430" s="9">
        <f t="array" ref="B430">COUNT(FIND("input",$D430:$BY430))</f>
        <v>0</v>
      </c>
      <c r="C430" s="9">
        <f t="array" ref="C430">COUNT(FIND("output",$D430:$BY430))</f>
        <v>0</v>
      </c>
    </row>
    <row r="431" spans="1:38" x14ac:dyDescent="0.25">
      <c r="A431" s="9" t="str">
        <f>IF(ISBLANK('Signal Definition'!J431),"",'Signal Definition'!J431)</f>
        <v/>
      </c>
      <c r="B431" s="9">
        <f t="array" ref="B431">COUNT(FIND("input",$D431:$BY431))</f>
        <v>0</v>
      </c>
      <c r="C431" s="9">
        <f t="array" ref="C431">COUNT(FIND("output",$D431:$BY431))</f>
        <v>0</v>
      </c>
    </row>
    <row r="432" spans="1:38"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1200150</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6"/>
  <sheetViews>
    <sheetView topLeftCell="C1" zoomScale="98" zoomScaleNormal="98" workbookViewId="0">
      <selection activeCell="I33" sqref="I33"/>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1" max="11" width="11.7109375" bestFit="1" customWidth="1"/>
    <col min="12" max="12" width="14.42578125" customWidth="1"/>
    <col min="13" max="13" width="11.7109375" bestFit="1" customWidth="1"/>
    <col min="14" max="14" width="12" bestFit="1"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5">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5">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5">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5">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5">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5">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5">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5">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5">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5">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5">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5">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5">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5">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5">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5">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5">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5">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5">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5">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5">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5">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5">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5">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5">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5">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5">
      <c r="A30" t="s">
        <v>3745</v>
      </c>
      <c r="B30" t="s">
        <v>2915</v>
      </c>
      <c r="C30" t="s">
        <v>2916</v>
      </c>
      <c r="D30" t="s">
        <v>3697</v>
      </c>
      <c r="E30" t="s">
        <v>3698</v>
      </c>
      <c r="F30" t="s">
        <v>2917</v>
      </c>
      <c r="G30" t="s">
        <v>2601</v>
      </c>
      <c r="H30" t="s">
        <v>2568</v>
      </c>
      <c r="I30" s="68" t="s">
        <v>3746</v>
      </c>
      <c r="J30" t="s">
        <v>14</v>
      </c>
      <c r="K30">
        <v>0</v>
      </c>
      <c r="L30">
        <v>0</v>
      </c>
      <c r="M30">
        <v>1</v>
      </c>
      <c r="N30">
        <v>2.0000000000000001E-10</v>
      </c>
      <c r="O30">
        <v>4294967296</v>
      </c>
      <c r="P30" s="54">
        <v>1E-3</v>
      </c>
    </row>
    <row r="31" spans="1:16" x14ac:dyDescent="0.25">
      <c r="A31" t="s">
        <v>3745</v>
      </c>
      <c r="B31" t="s">
        <v>2915</v>
      </c>
      <c r="C31" t="s">
        <v>2916</v>
      </c>
      <c r="D31" t="s">
        <v>2782</v>
      </c>
      <c r="E31" t="s">
        <v>3753</v>
      </c>
      <c r="F31" t="s">
        <v>2917</v>
      </c>
      <c r="G31" t="s">
        <v>2601</v>
      </c>
      <c r="H31" t="s">
        <v>2568</v>
      </c>
      <c r="I31" s="68" t="s">
        <v>3787</v>
      </c>
      <c r="J31" t="s">
        <v>14</v>
      </c>
      <c r="K31">
        <v>0</v>
      </c>
      <c r="L31">
        <v>0</v>
      </c>
      <c r="M31">
        <v>1</v>
      </c>
      <c r="N31">
        <v>2.0000000000000001E-10</v>
      </c>
      <c r="O31">
        <v>4294967296</v>
      </c>
      <c r="P31" s="54">
        <v>0.1</v>
      </c>
    </row>
    <row r="32" spans="1:16" x14ac:dyDescent="0.25">
      <c r="A32" t="s">
        <v>3794</v>
      </c>
      <c r="B32" t="s">
        <v>3788</v>
      </c>
      <c r="C32" t="s">
        <v>3789</v>
      </c>
      <c r="D32" t="s">
        <v>2782</v>
      </c>
      <c r="E32" t="s">
        <v>3753</v>
      </c>
      <c r="F32" t="s">
        <v>2698</v>
      </c>
      <c r="G32" t="s">
        <v>113</v>
      </c>
      <c r="H32" t="s">
        <v>2569</v>
      </c>
      <c r="I32" s="68" t="s">
        <v>3790</v>
      </c>
      <c r="J32" t="s">
        <v>14</v>
      </c>
      <c r="K32">
        <v>0</v>
      </c>
      <c r="L32">
        <v>0</v>
      </c>
      <c r="M32">
        <v>10000</v>
      </c>
      <c r="N32">
        <v>2.0000000000000001E-10</v>
      </c>
      <c r="O32">
        <v>4294967296</v>
      </c>
      <c r="P32" s="54" t="s">
        <v>4035</v>
      </c>
    </row>
    <row r="33" spans="1:16" x14ac:dyDescent="0.25">
      <c r="A33" t="s">
        <v>3794</v>
      </c>
      <c r="B33" t="s">
        <v>3788</v>
      </c>
      <c r="C33" t="s">
        <v>3789</v>
      </c>
      <c r="D33" t="s">
        <v>2782</v>
      </c>
      <c r="E33" t="s">
        <v>3624</v>
      </c>
      <c r="F33" t="s">
        <v>2698</v>
      </c>
      <c r="G33" t="s">
        <v>113</v>
      </c>
      <c r="H33" t="s">
        <v>2569</v>
      </c>
      <c r="I33" s="68" t="s">
        <v>3791</v>
      </c>
      <c r="J33" t="s">
        <v>14</v>
      </c>
      <c r="K33">
        <v>0</v>
      </c>
      <c r="L33">
        <v>0</v>
      </c>
      <c r="M33">
        <v>10000</v>
      </c>
      <c r="N33">
        <v>2.0000000000000001E-10</v>
      </c>
      <c r="O33">
        <v>4294967296</v>
      </c>
      <c r="P33" s="54" t="s">
        <v>4035</v>
      </c>
    </row>
    <row r="34" spans="1:16" x14ac:dyDescent="0.25">
      <c r="A34" t="s">
        <v>3792</v>
      </c>
      <c r="B34" t="s">
        <v>3793</v>
      </c>
      <c r="C34" t="s">
        <v>2476</v>
      </c>
      <c r="D34" t="s">
        <v>2682</v>
      </c>
      <c r="E34" t="s">
        <v>2683</v>
      </c>
      <c r="F34" t="s">
        <v>2806</v>
      </c>
      <c r="G34" t="s">
        <v>66</v>
      </c>
      <c r="H34" t="s">
        <v>2568</v>
      </c>
      <c r="I34" s="16" t="s">
        <v>3795</v>
      </c>
      <c r="J34" t="s">
        <v>14</v>
      </c>
      <c r="K34">
        <v>0</v>
      </c>
      <c r="L34">
        <v>0</v>
      </c>
      <c r="M34">
        <v>100000</v>
      </c>
      <c r="N34">
        <v>2.0000000000000001E-10</v>
      </c>
      <c r="O34">
        <v>4294967296</v>
      </c>
      <c r="P34" s="54">
        <v>40000</v>
      </c>
    </row>
    <row r="35" spans="1:16" x14ac:dyDescent="0.25">
      <c r="A35" t="s">
        <v>3807</v>
      </c>
      <c r="B35" t="s">
        <v>3807</v>
      </c>
      <c r="C35" t="s">
        <v>2476</v>
      </c>
      <c r="D35" t="s">
        <v>2682</v>
      </c>
      <c r="E35" t="s">
        <v>2683</v>
      </c>
      <c r="F35" t="s">
        <v>3806</v>
      </c>
      <c r="G35" t="s">
        <v>113</v>
      </c>
      <c r="H35" t="s">
        <v>2568</v>
      </c>
      <c r="I35" s="16" t="s">
        <v>3805</v>
      </c>
      <c r="J35" t="s">
        <v>14</v>
      </c>
      <c r="K35">
        <v>0</v>
      </c>
      <c r="L35">
        <v>0</v>
      </c>
      <c r="M35">
        <v>10</v>
      </c>
      <c r="N35">
        <v>2.0000000000000001E-10</v>
      </c>
      <c r="O35">
        <v>4294967296</v>
      </c>
      <c r="P35" s="54">
        <v>6.1000000000000004E-3</v>
      </c>
    </row>
    <row r="36" spans="1:16" x14ac:dyDescent="0.25">
      <c r="A36" t="s">
        <v>3808</v>
      </c>
      <c r="B36" t="s">
        <v>3808</v>
      </c>
      <c r="C36" t="s">
        <v>2476</v>
      </c>
      <c r="D36" t="s">
        <v>2682</v>
      </c>
      <c r="E36" t="s">
        <v>2683</v>
      </c>
      <c r="F36" t="s">
        <v>3809</v>
      </c>
      <c r="G36" t="s">
        <v>2603</v>
      </c>
      <c r="H36" t="s">
        <v>2568</v>
      </c>
      <c r="I36" s="16" t="s">
        <v>3810</v>
      </c>
      <c r="J36" t="s">
        <v>14</v>
      </c>
      <c r="K36">
        <v>0</v>
      </c>
      <c r="L36">
        <v>0</v>
      </c>
      <c r="M36">
        <v>100</v>
      </c>
      <c r="N36">
        <v>2.0000000000000001E-10</v>
      </c>
      <c r="O36">
        <v>4294967296</v>
      </c>
      <c r="P36" s="54">
        <v>10.5092</v>
      </c>
    </row>
    <row r="37" spans="1:16" x14ac:dyDescent="0.25">
      <c r="A37" t="s">
        <v>3811</v>
      </c>
      <c r="B37" t="s">
        <v>3811</v>
      </c>
      <c r="C37" t="s">
        <v>2476</v>
      </c>
      <c r="D37" t="s">
        <v>2682</v>
      </c>
      <c r="E37" t="s">
        <v>2683</v>
      </c>
      <c r="F37" t="s">
        <v>3806</v>
      </c>
      <c r="G37" t="s">
        <v>113</v>
      </c>
      <c r="H37" t="s">
        <v>2568</v>
      </c>
      <c r="I37" s="16" t="s">
        <v>3812</v>
      </c>
      <c r="J37" t="s">
        <v>14</v>
      </c>
      <c r="K37">
        <v>0</v>
      </c>
      <c r="L37">
        <v>0</v>
      </c>
      <c r="M37">
        <v>10</v>
      </c>
      <c r="N37">
        <v>2.0000000000000001E-10</v>
      </c>
      <c r="O37">
        <v>4294967296</v>
      </c>
      <c r="P37" s="54">
        <v>0.41499999999999998</v>
      </c>
    </row>
    <row r="38" spans="1:16" x14ac:dyDescent="0.25">
      <c r="A38" t="s">
        <v>2915</v>
      </c>
      <c r="B38" t="s">
        <v>2915</v>
      </c>
      <c r="C38" t="s">
        <v>2916</v>
      </c>
      <c r="D38" t="s">
        <v>3838</v>
      </c>
      <c r="E38" t="s">
        <v>3839</v>
      </c>
      <c r="F38" t="s">
        <v>2917</v>
      </c>
      <c r="G38" t="s">
        <v>2601</v>
      </c>
      <c r="H38" t="s">
        <v>2568</v>
      </c>
      <c r="I38" s="68" t="s">
        <v>3877</v>
      </c>
      <c r="J38" t="s">
        <v>14</v>
      </c>
      <c r="K38">
        <v>0</v>
      </c>
      <c r="L38">
        <v>0</v>
      </c>
      <c r="M38">
        <v>1</v>
      </c>
      <c r="N38">
        <v>2.0000000000000001E-10</v>
      </c>
      <c r="O38">
        <v>4294967296</v>
      </c>
      <c r="P38" s="54">
        <v>1E-3</v>
      </c>
    </row>
    <row r="39" spans="1:16" x14ac:dyDescent="0.25">
      <c r="A39" t="s">
        <v>2915</v>
      </c>
      <c r="B39" t="s">
        <v>2915</v>
      </c>
      <c r="C39" t="s">
        <v>2916</v>
      </c>
      <c r="D39" t="s">
        <v>2716</v>
      </c>
      <c r="E39" t="s">
        <v>3841</v>
      </c>
      <c r="F39" t="s">
        <v>2917</v>
      </c>
      <c r="G39" t="s">
        <v>2601</v>
      </c>
      <c r="H39" t="s">
        <v>2568</v>
      </c>
      <c r="I39" s="68" t="s">
        <v>3878</v>
      </c>
      <c r="J39" t="s">
        <v>14</v>
      </c>
      <c r="K39">
        <v>0</v>
      </c>
      <c r="L39">
        <v>0</v>
      </c>
      <c r="M39">
        <v>1</v>
      </c>
      <c r="N39">
        <v>2.0000000000000001E-10</v>
      </c>
      <c r="O39">
        <v>4294967296</v>
      </c>
      <c r="P39" s="54">
        <v>1E-3</v>
      </c>
    </row>
    <row r="40" spans="1:16" x14ac:dyDescent="0.25">
      <c r="A40" t="s">
        <v>2915</v>
      </c>
      <c r="B40" t="s">
        <v>2915</v>
      </c>
      <c r="C40" t="s">
        <v>2916</v>
      </c>
      <c r="D40" t="s">
        <v>37</v>
      </c>
      <c r="E40" t="s">
        <v>3844</v>
      </c>
      <c r="F40" t="s">
        <v>2917</v>
      </c>
      <c r="G40" t="s">
        <v>2601</v>
      </c>
      <c r="H40" t="s">
        <v>2568</v>
      </c>
      <c r="I40" s="68" t="s">
        <v>3879</v>
      </c>
      <c r="J40" t="s">
        <v>14</v>
      </c>
      <c r="K40">
        <v>0</v>
      </c>
      <c r="L40">
        <v>0</v>
      </c>
      <c r="M40">
        <v>140000</v>
      </c>
      <c r="N40">
        <v>3.2596299999999998E-5</v>
      </c>
      <c r="O40">
        <v>4294967296</v>
      </c>
      <c r="P40" s="54">
        <v>0.2</v>
      </c>
    </row>
    <row r="41" spans="1:16" x14ac:dyDescent="0.25">
      <c r="A41" t="s">
        <v>2915</v>
      </c>
      <c r="B41" t="s">
        <v>2915</v>
      </c>
      <c r="C41" t="s">
        <v>2916</v>
      </c>
      <c r="D41" t="s">
        <v>3697</v>
      </c>
      <c r="E41" t="s">
        <v>3850</v>
      </c>
      <c r="F41" t="s">
        <v>2917</v>
      </c>
      <c r="G41" t="s">
        <v>2601</v>
      </c>
      <c r="H41" t="s">
        <v>2568</v>
      </c>
      <c r="I41" s="68" t="s">
        <v>3880</v>
      </c>
      <c r="J41" t="s">
        <v>14</v>
      </c>
      <c r="K41">
        <v>0</v>
      </c>
      <c r="L41">
        <v>0</v>
      </c>
      <c r="M41">
        <v>1</v>
      </c>
      <c r="N41">
        <v>2.0000000000000001E-10</v>
      </c>
      <c r="O41">
        <v>4294967296</v>
      </c>
      <c r="P41" s="54">
        <v>0.2</v>
      </c>
    </row>
    <row r="42" spans="1:16" x14ac:dyDescent="0.25">
      <c r="A42" t="s">
        <v>2915</v>
      </c>
      <c r="B42" t="s">
        <v>2915</v>
      </c>
      <c r="C42" t="s">
        <v>2916</v>
      </c>
      <c r="D42" t="s">
        <v>2782</v>
      </c>
      <c r="E42" t="s">
        <v>3870</v>
      </c>
      <c r="F42" t="s">
        <v>2917</v>
      </c>
      <c r="G42" t="s">
        <v>2601</v>
      </c>
      <c r="H42" t="s">
        <v>2568</v>
      </c>
      <c r="I42" s="68" t="s">
        <v>3881</v>
      </c>
      <c r="J42" t="s">
        <v>14</v>
      </c>
      <c r="K42">
        <v>0</v>
      </c>
      <c r="L42">
        <v>0</v>
      </c>
      <c r="M42">
        <v>1</v>
      </c>
      <c r="N42">
        <v>2.0000000000000001E-10</v>
      </c>
      <c r="O42">
        <v>4294967296</v>
      </c>
      <c r="P42" s="54">
        <v>0.2</v>
      </c>
    </row>
    <row r="43" spans="1:16" x14ac:dyDescent="0.25">
      <c r="A43" t="s">
        <v>2915</v>
      </c>
      <c r="B43" t="s">
        <v>2915</v>
      </c>
      <c r="C43" t="s">
        <v>2916</v>
      </c>
      <c r="D43" t="s">
        <v>2782</v>
      </c>
      <c r="E43" t="s">
        <v>4021</v>
      </c>
      <c r="F43" t="s">
        <v>2917</v>
      </c>
      <c r="G43" t="s">
        <v>2601</v>
      </c>
      <c r="H43" t="s">
        <v>2568</v>
      </c>
      <c r="I43" s="68" t="s">
        <v>4033</v>
      </c>
      <c r="J43" t="s">
        <v>14</v>
      </c>
      <c r="K43">
        <v>0</v>
      </c>
      <c r="L43">
        <v>0</v>
      </c>
      <c r="M43">
        <v>1</v>
      </c>
      <c r="N43">
        <v>2.0000000000000001E-10</v>
      </c>
      <c r="O43">
        <v>4294967296</v>
      </c>
      <c r="P43" s="54">
        <v>1E-3</v>
      </c>
    </row>
    <row r="44" spans="1:16" x14ac:dyDescent="0.25">
      <c r="A44" t="s">
        <v>4057</v>
      </c>
      <c r="B44" t="s">
        <v>4057</v>
      </c>
      <c r="C44" t="s">
        <v>4049</v>
      </c>
      <c r="D44" t="s">
        <v>2682</v>
      </c>
      <c r="E44" t="s">
        <v>2683</v>
      </c>
      <c r="F44" t="s">
        <v>4047</v>
      </c>
      <c r="G44" t="s">
        <v>64</v>
      </c>
      <c r="H44" t="s">
        <v>2568</v>
      </c>
      <c r="I44" s="16" t="s">
        <v>4048</v>
      </c>
      <c r="J44" t="s">
        <v>14</v>
      </c>
      <c r="K44">
        <v>0</v>
      </c>
      <c r="L44">
        <v>0</v>
      </c>
      <c r="M44">
        <v>10</v>
      </c>
      <c r="N44">
        <v>2.0000000000000001E-10</v>
      </c>
      <c r="O44">
        <v>4294967296</v>
      </c>
      <c r="P44" s="54">
        <v>0.49</v>
      </c>
    </row>
    <row r="45" spans="1:16" x14ac:dyDescent="0.25">
      <c r="A45" t="s">
        <v>4056</v>
      </c>
      <c r="B45" t="s">
        <v>4056</v>
      </c>
      <c r="C45" t="s">
        <v>4050</v>
      </c>
      <c r="D45" t="s">
        <v>2682</v>
      </c>
      <c r="E45" t="s">
        <v>2683</v>
      </c>
      <c r="F45" t="s">
        <v>4047</v>
      </c>
      <c r="G45" t="s">
        <v>64</v>
      </c>
      <c r="H45" t="s">
        <v>2568</v>
      </c>
      <c r="I45" s="16" t="s">
        <v>4051</v>
      </c>
      <c r="J45" t="s">
        <v>14</v>
      </c>
      <c r="K45">
        <v>0</v>
      </c>
      <c r="L45">
        <v>0</v>
      </c>
      <c r="M45">
        <v>10</v>
      </c>
      <c r="N45">
        <v>2.0000000000000001E-10</v>
      </c>
      <c r="O45">
        <v>4294967296</v>
      </c>
      <c r="P45" s="54">
        <v>0.50700000000000001</v>
      </c>
    </row>
    <row r="46" spans="1:16" x14ac:dyDescent="0.25">
      <c r="A46" t="s">
        <v>4055</v>
      </c>
      <c r="B46" t="s">
        <v>4055</v>
      </c>
      <c r="C46" t="s">
        <v>4054</v>
      </c>
      <c r="D46" t="s">
        <v>2706</v>
      </c>
      <c r="E46" t="s">
        <v>2706</v>
      </c>
      <c r="F46" t="s">
        <v>4052</v>
      </c>
      <c r="G46" t="s">
        <v>113</v>
      </c>
      <c r="H46" t="s">
        <v>2568</v>
      </c>
      <c r="I46" s="16" t="s">
        <v>4053</v>
      </c>
      <c r="J46" t="s">
        <v>14</v>
      </c>
      <c r="K46">
        <v>0</v>
      </c>
      <c r="L46">
        <v>0</v>
      </c>
      <c r="M46">
        <v>10</v>
      </c>
      <c r="N46">
        <v>2.0000000000000001E-10</v>
      </c>
      <c r="O46">
        <v>4294967296</v>
      </c>
      <c r="P46" s="54">
        <v>2.4700000000000002</v>
      </c>
    </row>
  </sheetData>
  <sheetProtection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0" zoomScale="85" zoomScaleNormal="85" zoomScalePageLayoutView="85" workbookViewId="0">
      <selection activeCell="H29" sqref="H29"/>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5">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5">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5">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5">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5">
      <c r="A9" s="21" t="s">
        <v>151</v>
      </c>
      <c r="B9" s="21" t="s">
        <v>152</v>
      </c>
      <c r="C9" s="36"/>
      <c r="D9" s="19" t="s">
        <v>2789</v>
      </c>
      <c r="E9" s="20" t="s">
        <v>2828</v>
      </c>
      <c r="H9" s="34" t="s">
        <v>90</v>
      </c>
      <c r="I9" s="30" t="s">
        <v>89</v>
      </c>
      <c r="J9" s="32" t="s">
        <v>2604</v>
      </c>
      <c r="L9" s="64"/>
      <c r="M9" s="58" t="s">
        <v>2782</v>
      </c>
      <c r="N9" s="61" t="s">
        <v>2827</v>
      </c>
    </row>
    <row r="10" spans="1:16" x14ac:dyDescent="0.25">
      <c r="A10" s="21" t="s">
        <v>153</v>
      </c>
      <c r="B10" s="21" t="s">
        <v>154</v>
      </c>
      <c r="C10" s="36"/>
      <c r="D10" s="19" t="s">
        <v>2792</v>
      </c>
      <c r="E10" s="20" t="s">
        <v>2831</v>
      </c>
      <c r="H10" s="34" t="s">
        <v>115</v>
      </c>
      <c r="I10" s="30" t="s">
        <v>114</v>
      </c>
      <c r="J10" s="32" t="s">
        <v>113</v>
      </c>
      <c r="M10" s="57" t="s">
        <v>2789</v>
      </c>
      <c r="N10" s="60" t="s">
        <v>2828</v>
      </c>
    </row>
    <row r="11" spans="1:16" x14ac:dyDescent="0.25">
      <c r="A11" s="21" t="s">
        <v>155</v>
      </c>
      <c r="B11" s="21" t="s">
        <v>156</v>
      </c>
      <c r="C11" s="36"/>
      <c r="D11" s="19" t="s">
        <v>2858</v>
      </c>
      <c r="E11" s="20" t="s">
        <v>2858</v>
      </c>
      <c r="H11" s="34" t="s">
        <v>117</v>
      </c>
      <c r="I11" s="30" t="s">
        <v>116</v>
      </c>
      <c r="J11" s="32" t="s">
        <v>113</v>
      </c>
      <c r="M11" s="57" t="s">
        <v>2784</v>
      </c>
      <c r="N11" s="60" t="s">
        <v>2829</v>
      </c>
    </row>
    <row r="12" spans="1:16" x14ac:dyDescent="0.25">
      <c r="A12" s="21" t="s">
        <v>157</v>
      </c>
      <c r="B12" s="21" t="s">
        <v>158</v>
      </c>
      <c r="C12" s="36"/>
      <c r="D12" s="19" t="s">
        <v>3198</v>
      </c>
      <c r="E12" s="20" t="s">
        <v>3205</v>
      </c>
      <c r="H12" s="34" t="s">
        <v>50</v>
      </c>
      <c r="I12" s="30" t="s">
        <v>49</v>
      </c>
      <c r="J12" s="32" t="s">
        <v>51</v>
      </c>
      <c r="M12" s="57" t="s">
        <v>2791</v>
      </c>
      <c r="N12" s="60" t="s">
        <v>2830</v>
      </c>
    </row>
    <row r="13" spans="1:16" x14ac:dyDescent="0.25">
      <c r="A13" s="21" t="s">
        <v>159</v>
      </c>
      <c r="B13" s="21" t="s">
        <v>160</v>
      </c>
      <c r="C13" s="36"/>
      <c r="D13" s="19" t="s">
        <v>3109</v>
      </c>
      <c r="E13" s="20" t="s">
        <v>3206</v>
      </c>
      <c r="H13" s="34" t="s">
        <v>47</v>
      </c>
      <c r="I13" s="30" t="s">
        <v>46</v>
      </c>
      <c r="J13" s="32" t="s">
        <v>48</v>
      </c>
      <c r="M13" s="57" t="s">
        <v>2856</v>
      </c>
      <c r="N13" s="60" t="s">
        <v>2857</v>
      </c>
    </row>
    <row r="14" spans="1:16" x14ac:dyDescent="0.25">
      <c r="A14" s="21" t="s">
        <v>161</v>
      </c>
      <c r="B14" s="21" t="s">
        <v>162</v>
      </c>
      <c r="C14" s="36"/>
      <c r="D14" s="19" t="s">
        <v>3114</v>
      </c>
      <c r="E14" s="20" t="s">
        <v>3207</v>
      </c>
      <c r="H14" s="34" t="s">
        <v>84</v>
      </c>
      <c r="I14" s="30" t="s">
        <v>83</v>
      </c>
      <c r="J14" s="32" t="s">
        <v>85</v>
      </c>
      <c r="M14" s="57" t="s">
        <v>2625</v>
      </c>
      <c r="N14" s="60" t="s">
        <v>309</v>
      </c>
    </row>
    <row r="15" spans="1:16" x14ac:dyDescent="0.25">
      <c r="A15" s="21" t="s">
        <v>163</v>
      </c>
      <c r="B15" s="21" t="s">
        <v>164</v>
      </c>
      <c r="C15" s="36"/>
      <c r="D15" s="19" t="s">
        <v>3155</v>
      </c>
      <c r="E15" s="20" t="s">
        <v>3160</v>
      </c>
      <c r="H15" s="34" t="s">
        <v>52</v>
      </c>
      <c r="I15" s="30" t="s">
        <v>2607</v>
      </c>
      <c r="J15" s="32" t="s">
        <v>53</v>
      </c>
      <c r="M15" s="57" t="s">
        <v>3697</v>
      </c>
      <c r="N15" s="60" t="s">
        <v>3747</v>
      </c>
    </row>
    <row r="16" spans="1:16" x14ac:dyDescent="0.25">
      <c r="A16" s="21" t="s">
        <v>165</v>
      </c>
      <c r="B16" s="21" t="s">
        <v>166</v>
      </c>
      <c r="C16" s="36"/>
      <c r="D16" s="19" t="s">
        <v>3146</v>
      </c>
      <c r="E16" s="20" t="s">
        <v>3149</v>
      </c>
      <c r="H16" s="34" t="s">
        <v>55</v>
      </c>
      <c r="I16" s="30" t="s">
        <v>54</v>
      </c>
      <c r="J16" s="32" t="s">
        <v>56</v>
      </c>
      <c r="M16" s="57" t="s">
        <v>3838</v>
      </c>
      <c r="N16" s="60" t="s">
        <v>3882</v>
      </c>
    </row>
    <row r="17" spans="1:14" x14ac:dyDescent="0.25">
      <c r="A17" s="21" t="s">
        <v>167</v>
      </c>
      <c r="B17" s="21" t="s">
        <v>168</v>
      </c>
      <c r="C17" s="36"/>
      <c r="D17" s="19" t="s">
        <v>3128</v>
      </c>
      <c r="E17" s="20" t="s">
        <v>3129</v>
      </c>
      <c r="H17" s="34" t="s">
        <v>119</v>
      </c>
      <c r="I17" s="30" t="s">
        <v>118</v>
      </c>
      <c r="J17" s="32" t="s">
        <v>113</v>
      </c>
      <c r="M17" s="57" t="s">
        <v>37</v>
      </c>
      <c r="N17" s="60" t="s">
        <v>133</v>
      </c>
    </row>
    <row r="18" spans="1:14" x14ac:dyDescent="0.25">
      <c r="A18" s="21" t="s">
        <v>169</v>
      </c>
      <c r="B18" s="21" t="s">
        <v>170</v>
      </c>
      <c r="C18" s="36"/>
      <c r="D18" s="19" t="s">
        <v>3162</v>
      </c>
      <c r="E18" s="20" t="s">
        <v>3208</v>
      </c>
      <c r="H18" s="34" t="s">
        <v>3387</v>
      </c>
      <c r="I18" s="30" t="s">
        <v>3388</v>
      </c>
      <c r="J18" s="32" t="s">
        <v>3359</v>
      </c>
    </row>
    <row r="19" spans="1:14" x14ac:dyDescent="0.25">
      <c r="A19" s="21" t="s">
        <v>171</v>
      </c>
      <c r="B19" s="21" t="s">
        <v>172</v>
      </c>
      <c r="C19" s="36"/>
      <c r="D19" s="19" t="s">
        <v>3321</v>
      </c>
      <c r="E19" s="20" t="s">
        <v>3322</v>
      </c>
      <c r="H19" s="34" t="s">
        <v>63</v>
      </c>
      <c r="I19" s="30" t="s">
        <v>62</v>
      </c>
      <c r="J19" s="32" t="s">
        <v>64</v>
      </c>
    </row>
    <row r="20" spans="1:14" x14ac:dyDescent="0.25">
      <c r="A20" s="21" t="s">
        <v>173</v>
      </c>
      <c r="B20" s="21" t="s">
        <v>174</v>
      </c>
      <c r="C20" s="36"/>
      <c r="D20" s="19" t="s">
        <v>3351</v>
      </c>
      <c r="E20" s="20" t="s">
        <v>3352</v>
      </c>
      <c r="H20" s="34" t="s">
        <v>105</v>
      </c>
      <c r="I20" s="30" t="s">
        <v>104</v>
      </c>
      <c r="J20" s="32" t="s">
        <v>3053</v>
      </c>
    </row>
    <row r="21" spans="1:14" x14ac:dyDescent="0.25">
      <c r="A21" s="21" t="s">
        <v>175</v>
      </c>
      <c r="B21" s="21" t="s">
        <v>176</v>
      </c>
      <c r="C21" s="36"/>
      <c r="D21" s="19" t="s">
        <v>3391</v>
      </c>
      <c r="E21" s="20" t="s">
        <v>3392</v>
      </c>
      <c r="H21" s="34" t="s">
        <v>65</v>
      </c>
      <c r="I21" s="30" t="s">
        <v>64</v>
      </c>
      <c r="J21" s="32" t="s">
        <v>66</v>
      </c>
    </row>
    <row r="22" spans="1:14" x14ac:dyDescent="0.25">
      <c r="A22" s="21" t="s">
        <v>177</v>
      </c>
      <c r="B22" s="21" t="s">
        <v>178</v>
      </c>
      <c r="C22" s="36"/>
      <c r="D22" s="19" t="s">
        <v>3495</v>
      </c>
      <c r="E22" s="20" t="s">
        <v>3524</v>
      </c>
      <c r="H22" s="34" t="s">
        <v>68</v>
      </c>
      <c r="I22" s="30" t="s">
        <v>67</v>
      </c>
      <c r="J22" s="32" t="s">
        <v>2599</v>
      </c>
    </row>
    <row r="23" spans="1:14" x14ac:dyDescent="0.25">
      <c r="A23" s="21" t="s">
        <v>179</v>
      </c>
      <c r="B23" s="21" t="s">
        <v>180</v>
      </c>
      <c r="C23" s="36"/>
      <c r="D23" s="19" t="s">
        <v>3514</v>
      </c>
      <c r="E23" s="20" t="s">
        <v>3525</v>
      </c>
      <c r="H23" s="34" t="s">
        <v>61</v>
      </c>
      <c r="I23" s="30" t="s">
        <v>60</v>
      </c>
      <c r="J23" s="32" t="s">
        <v>2605</v>
      </c>
    </row>
    <row r="24" spans="1:14" x14ac:dyDescent="0.25">
      <c r="A24" s="21" t="s">
        <v>181</v>
      </c>
      <c r="B24" s="21" t="s">
        <v>182</v>
      </c>
      <c r="C24" s="36"/>
      <c r="D24" s="19" t="s">
        <v>3535</v>
      </c>
      <c r="E24" s="20" t="s">
        <v>3553</v>
      </c>
      <c r="H24" s="34" t="s">
        <v>121</v>
      </c>
      <c r="I24" s="30" t="s">
        <v>120</v>
      </c>
      <c r="J24" s="32" t="s">
        <v>113</v>
      </c>
    </row>
    <row r="25" spans="1:14" x14ac:dyDescent="0.25">
      <c r="A25" s="21" t="s">
        <v>183</v>
      </c>
      <c r="B25" s="21" t="s">
        <v>184</v>
      </c>
      <c r="C25" s="36"/>
      <c r="D25" s="19" t="s">
        <v>3556</v>
      </c>
      <c r="E25" s="20" t="s">
        <v>3562</v>
      </c>
      <c r="H25" s="34" t="s">
        <v>78</v>
      </c>
      <c r="I25" s="30" t="s">
        <v>77</v>
      </c>
      <c r="J25" s="32" t="s">
        <v>79</v>
      </c>
    </row>
    <row r="26" spans="1:14" x14ac:dyDescent="0.25">
      <c r="A26" s="21" t="s">
        <v>185</v>
      </c>
      <c r="B26" s="21" t="s">
        <v>186</v>
      </c>
      <c r="C26" s="36"/>
      <c r="D26" s="19" t="s">
        <v>3616</v>
      </c>
      <c r="E26" s="20" t="s">
        <v>3623</v>
      </c>
      <c r="H26" s="34" t="s">
        <v>81</v>
      </c>
      <c r="I26" s="30" t="s">
        <v>80</v>
      </c>
      <c r="J26" s="32" t="s">
        <v>82</v>
      </c>
    </row>
    <row r="27" spans="1:14" x14ac:dyDescent="0.25">
      <c r="A27" s="21" t="s">
        <v>187</v>
      </c>
      <c r="B27" s="21" t="s">
        <v>188</v>
      </c>
      <c r="C27" s="36"/>
      <c r="D27" s="19" t="s">
        <v>3624</v>
      </c>
      <c r="E27" s="20" t="s">
        <v>3628</v>
      </c>
      <c r="H27" s="34" t="s">
        <v>73</v>
      </c>
      <c r="I27" s="30" t="s">
        <v>72</v>
      </c>
      <c r="J27" s="32" t="s">
        <v>1679</v>
      </c>
    </row>
    <row r="28" spans="1:14" x14ac:dyDescent="0.25">
      <c r="A28" s="21" t="s">
        <v>189</v>
      </c>
      <c r="B28" s="21" t="s">
        <v>190</v>
      </c>
      <c r="C28" s="36"/>
      <c r="D28" s="19" t="s">
        <v>3625</v>
      </c>
      <c r="E28" s="20" t="s">
        <v>3629</v>
      </c>
      <c r="H28" s="34" t="s">
        <v>1862</v>
      </c>
      <c r="I28" s="30" t="s">
        <v>2929</v>
      </c>
      <c r="J28" s="32" t="s">
        <v>2893</v>
      </c>
    </row>
    <row r="29" spans="1:14" x14ac:dyDescent="0.25">
      <c r="A29" s="21" t="s">
        <v>191</v>
      </c>
      <c r="B29" s="21" t="s">
        <v>192</v>
      </c>
      <c r="C29" s="36"/>
      <c r="D29" s="19" t="s">
        <v>3698</v>
      </c>
      <c r="E29" s="20" t="s">
        <v>3748</v>
      </c>
      <c r="H29" s="34" t="s">
        <v>123</v>
      </c>
      <c r="I29" s="30" t="s">
        <v>122</v>
      </c>
      <c r="J29" s="32" t="s">
        <v>113</v>
      </c>
    </row>
    <row r="30" spans="1:14" x14ac:dyDescent="0.25">
      <c r="A30" s="21" t="s">
        <v>193</v>
      </c>
      <c r="B30" s="21" t="s">
        <v>194</v>
      </c>
      <c r="C30" s="36"/>
      <c r="D30" s="19" t="s">
        <v>3753</v>
      </c>
      <c r="E30" s="20" t="s">
        <v>3754</v>
      </c>
      <c r="H30" s="34" t="s">
        <v>87</v>
      </c>
      <c r="I30" s="30" t="s">
        <v>86</v>
      </c>
      <c r="J30" s="32" t="s">
        <v>88</v>
      </c>
    </row>
    <row r="31" spans="1:14" x14ac:dyDescent="0.25">
      <c r="A31" s="21" t="s">
        <v>195</v>
      </c>
      <c r="B31" s="21" t="s">
        <v>196</v>
      </c>
      <c r="C31" s="36"/>
      <c r="D31" s="19" t="s">
        <v>3839</v>
      </c>
      <c r="E31" s="20" t="s">
        <v>3883</v>
      </c>
      <c r="H31" s="34" t="s">
        <v>70</v>
      </c>
      <c r="I31" s="30" t="s">
        <v>69</v>
      </c>
      <c r="J31" s="32" t="s">
        <v>71</v>
      </c>
    </row>
    <row r="32" spans="1:14" x14ac:dyDescent="0.25">
      <c r="A32" s="21" t="s">
        <v>197</v>
      </c>
      <c r="B32" s="21" t="s">
        <v>198</v>
      </c>
      <c r="C32" s="36"/>
      <c r="D32" s="19" t="s">
        <v>3841</v>
      </c>
      <c r="E32" s="20" t="s">
        <v>3884</v>
      </c>
      <c r="H32" s="34" t="s">
        <v>92</v>
      </c>
      <c r="I32" s="30" t="s">
        <v>91</v>
      </c>
      <c r="J32" s="32" t="s">
        <v>93</v>
      </c>
    </row>
    <row r="33" spans="1:10" x14ac:dyDescent="0.25">
      <c r="A33" s="21" t="s">
        <v>199</v>
      </c>
      <c r="B33" s="21" t="s">
        <v>200</v>
      </c>
      <c r="C33" s="36"/>
      <c r="D33" s="19" t="s">
        <v>3844</v>
      </c>
      <c r="E33" s="20" t="s">
        <v>3885</v>
      </c>
      <c r="H33" s="34" t="s">
        <v>125</v>
      </c>
      <c r="I33" s="30" t="s">
        <v>124</v>
      </c>
      <c r="J33" s="32" t="s">
        <v>113</v>
      </c>
    </row>
    <row r="34" spans="1:10" x14ac:dyDescent="0.25">
      <c r="A34" s="21" t="s">
        <v>201</v>
      </c>
      <c r="B34" s="21" t="s">
        <v>202</v>
      </c>
      <c r="C34" s="36"/>
      <c r="D34" s="19" t="s">
        <v>3850</v>
      </c>
      <c r="E34" s="20" t="s">
        <v>3886</v>
      </c>
      <c r="H34" s="34" t="s">
        <v>127</v>
      </c>
      <c r="I34" s="30" t="s">
        <v>126</v>
      </c>
      <c r="J34" s="32" t="s">
        <v>113</v>
      </c>
    </row>
    <row r="35" spans="1:10" x14ac:dyDescent="0.25">
      <c r="A35" s="21" t="s">
        <v>203</v>
      </c>
      <c r="B35" s="21" t="s">
        <v>204</v>
      </c>
      <c r="C35" s="36"/>
      <c r="D35" s="19" t="s">
        <v>3870</v>
      </c>
      <c r="E35" s="20" t="s">
        <v>3887</v>
      </c>
      <c r="H35" s="34" t="s">
        <v>95</v>
      </c>
      <c r="I35" s="30" t="s">
        <v>94</v>
      </c>
      <c r="J35" s="32" t="s">
        <v>96</v>
      </c>
    </row>
    <row r="36" spans="1:10" x14ac:dyDescent="0.25">
      <c r="A36" s="21" t="s">
        <v>2832</v>
      </c>
      <c r="B36" s="21" t="s">
        <v>2833</v>
      </c>
      <c r="C36" s="36"/>
      <c r="D36" s="19" t="s">
        <v>4021</v>
      </c>
      <c r="E36" s="20" t="s">
        <v>4022</v>
      </c>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3630</v>
      </c>
      <c r="B42" s="21" t="s">
        <v>3631</v>
      </c>
      <c r="C42" s="36"/>
      <c r="H42" s="19" t="s">
        <v>3052</v>
      </c>
      <c r="I42" s="74" t="s">
        <v>3060</v>
      </c>
      <c r="J42" s="41" t="s">
        <v>3059</v>
      </c>
    </row>
    <row r="43" spans="1:10" x14ac:dyDescent="0.25">
      <c r="A43" s="21" t="s">
        <v>215</v>
      </c>
      <c r="B43" s="21" t="s">
        <v>215</v>
      </c>
      <c r="C43" s="36"/>
      <c r="H43" s="19" t="s">
        <v>3357</v>
      </c>
      <c r="I43" s="18" t="s">
        <v>3358</v>
      </c>
      <c r="J43" s="20" t="s">
        <v>3359</v>
      </c>
    </row>
    <row r="44" spans="1:10" x14ac:dyDescent="0.25">
      <c r="A44" s="21" t="s">
        <v>216</v>
      </c>
      <c r="B44" s="21" t="s">
        <v>217</v>
      </c>
      <c r="C44" s="36"/>
      <c r="H44" s="19" t="s">
        <v>450</v>
      </c>
      <c r="I44" s="18" t="s">
        <v>3444</v>
      </c>
      <c r="J44" s="20" t="s">
        <v>3443</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2930</v>
      </c>
      <c r="B77" s="21" t="s">
        <v>2930</v>
      </c>
      <c r="C77" s="36"/>
    </row>
    <row r="78" spans="1:3" x14ac:dyDescent="0.25">
      <c r="A78" s="21" t="s">
        <v>279</v>
      </c>
      <c r="B78" s="21" t="s">
        <v>279</v>
      </c>
      <c r="C78" s="36" t="s">
        <v>280</v>
      </c>
    </row>
    <row r="79" spans="1:3" x14ac:dyDescent="0.25">
      <c r="A79" s="21" t="s">
        <v>2931</v>
      </c>
      <c r="B79" s="21" t="s">
        <v>2931</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2811</v>
      </c>
      <c r="B162" s="21" t="s">
        <v>2812</v>
      </c>
      <c r="C162" s="36"/>
    </row>
    <row r="163" spans="1:3" x14ac:dyDescent="0.25">
      <c r="A163" s="21" t="s">
        <v>2800</v>
      </c>
      <c r="B163" s="21" t="s">
        <v>2801</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2834</v>
      </c>
      <c r="B173" s="21" t="s">
        <v>2835</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3209</v>
      </c>
      <c r="B226" s="21" t="s">
        <v>3209</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3554</v>
      </c>
      <c r="B239" s="21" t="s">
        <v>3554</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3210</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2973</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2836</v>
      </c>
      <c r="B336" s="21" t="s">
        <v>2837</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2932</v>
      </c>
      <c r="B358" s="21" t="s">
        <v>2932</v>
      </c>
      <c r="C358" s="36"/>
    </row>
    <row r="359" spans="1:3" x14ac:dyDescent="0.25">
      <c r="A359" s="21" t="s">
        <v>803</v>
      </c>
      <c r="B359" s="21" t="s">
        <v>803</v>
      </c>
      <c r="C359" s="36"/>
    </row>
    <row r="360" spans="1:3" x14ac:dyDescent="0.25">
      <c r="A360" s="21" t="s">
        <v>804</v>
      </c>
      <c r="B360" s="21" t="s">
        <v>805</v>
      </c>
      <c r="C360" s="36"/>
    </row>
    <row r="361" spans="1:3" x14ac:dyDescent="0.25">
      <c r="A361" s="21" t="s">
        <v>2933</v>
      </c>
      <c r="B361" s="21" t="s">
        <v>2934</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2717</v>
      </c>
      <c r="B381" s="21" t="s">
        <v>2717</v>
      </c>
      <c r="C381" s="36"/>
    </row>
    <row r="382" spans="1:3" x14ac:dyDescent="0.25">
      <c r="A382" s="21" t="s">
        <v>843</v>
      </c>
      <c r="B382" s="21" t="s">
        <v>843</v>
      </c>
      <c r="C382" s="36" t="s">
        <v>844</v>
      </c>
    </row>
    <row r="383" spans="1:3" x14ac:dyDescent="0.25">
      <c r="A383" s="21" t="s">
        <v>2770</v>
      </c>
      <c r="B383" s="21" t="s">
        <v>2770</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2838</v>
      </c>
      <c r="B438" s="21" t="s">
        <v>2839</v>
      </c>
      <c r="C438" s="36"/>
    </row>
    <row r="439" spans="1:3" x14ac:dyDescent="0.25">
      <c r="A439" s="21" t="s">
        <v>2840</v>
      </c>
      <c r="B439" s="21" t="s">
        <v>2841</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3749</v>
      </c>
      <c r="B480" s="21" t="s">
        <v>3750</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3031</v>
      </c>
      <c r="B497" s="21" t="s">
        <v>3032</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2771</v>
      </c>
    </row>
    <row r="563" spans="1:3" x14ac:dyDescent="0.25">
      <c r="A563" s="21" t="s">
        <v>1165</v>
      </c>
      <c r="B563" s="21" t="s">
        <v>1165</v>
      </c>
      <c r="C563" s="36" t="s">
        <v>1166</v>
      </c>
    </row>
    <row r="564" spans="1:3" x14ac:dyDescent="0.25">
      <c r="A564" s="21" t="s">
        <v>1167</v>
      </c>
      <c r="B564" s="21" t="s">
        <v>1167</v>
      </c>
      <c r="C564" s="36"/>
    </row>
    <row r="565" spans="1:3" x14ac:dyDescent="0.25">
      <c r="A565" s="21" t="s">
        <v>3751</v>
      </c>
      <c r="B565" s="21" t="s">
        <v>3752</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2802</v>
      </c>
      <c r="B576" s="21" t="s">
        <v>2803</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2772</v>
      </c>
      <c r="B616" s="28" t="s">
        <v>2773</v>
      </c>
    </row>
    <row r="617" spans="1:3" x14ac:dyDescent="0.25">
      <c r="A617" s="21" t="s">
        <v>3389</v>
      </c>
      <c r="B617" s="21" t="s">
        <v>3390</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2986</v>
      </c>
      <c r="B623" s="21" t="s">
        <v>2987</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2937</v>
      </c>
      <c r="B669" s="21" t="s">
        <v>2937</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2842</v>
      </c>
      <c r="B692" s="21" t="s">
        <v>2843</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3211</v>
      </c>
      <c r="B695" s="21" t="s">
        <v>3211</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3212</v>
      </c>
      <c r="B733" s="21" t="s">
        <v>3212</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3563</v>
      </c>
      <c r="B791" s="21" t="s">
        <v>3563</v>
      </c>
      <c r="C791" s="36"/>
    </row>
    <row r="792" spans="1:3" x14ac:dyDescent="0.25">
      <c r="A792" s="21" t="s">
        <v>1568</v>
      </c>
      <c r="B792" s="21" t="s">
        <v>1568</v>
      </c>
      <c r="C792" s="36"/>
    </row>
    <row r="793" spans="1:3" x14ac:dyDescent="0.25">
      <c r="A793" s="21" t="s">
        <v>2844</v>
      </c>
      <c r="B793" s="21" t="s">
        <v>51</v>
      </c>
      <c r="C793" s="36"/>
    </row>
    <row r="794" spans="1:3" x14ac:dyDescent="0.25">
      <c r="A794" s="21" t="s">
        <v>2845</v>
      </c>
      <c r="B794" s="21" t="s">
        <v>2799</v>
      </c>
      <c r="C794" s="36"/>
    </row>
    <row r="795" spans="1:3" x14ac:dyDescent="0.25">
      <c r="A795" s="21" t="s">
        <v>2846</v>
      </c>
      <c r="B795" s="21" t="s">
        <v>2797</v>
      </c>
      <c r="C795" s="36"/>
    </row>
    <row r="796" spans="1:3" x14ac:dyDescent="0.25">
      <c r="A796" s="21" t="s">
        <v>2796</v>
      </c>
      <c r="B796" s="21" t="s">
        <v>2797</v>
      </c>
      <c r="C796" s="36"/>
    </row>
    <row r="797" spans="1:3" x14ac:dyDescent="0.25">
      <c r="A797" s="21" t="s">
        <v>2798</v>
      </c>
      <c r="B797" s="21" t="s">
        <v>2799</v>
      </c>
      <c r="C797" s="36"/>
    </row>
    <row r="798" spans="1:3" x14ac:dyDescent="0.25">
      <c r="A798" s="21" t="s">
        <v>1569</v>
      </c>
      <c r="B798" s="21" t="s">
        <v>1569</v>
      </c>
      <c r="C798" s="36" t="s">
        <v>1570</v>
      </c>
    </row>
    <row r="799" spans="1:3" x14ac:dyDescent="0.25">
      <c r="A799" s="22" t="s">
        <v>2799</v>
      </c>
      <c r="B799" s="22" t="s">
        <v>3588</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2774</v>
      </c>
      <c r="B828" s="21" t="s">
        <v>2699</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2847</v>
      </c>
      <c r="B855" s="21" t="s">
        <v>2848</v>
      </c>
      <c r="C855" s="36"/>
    </row>
    <row r="856" spans="1:3" x14ac:dyDescent="0.25">
      <c r="A856" s="21" t="s">
        <v>3213</v>
      </c>
      <c r="B856" s="21" t="s">
        <v>3214</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2849</v>
      </c>
      <c r="B865" s="21" t="s">
        <v>2805</v>
      </c>
      <c r="C865" s="36"/>
    </row>
    <row r="866" spans="1:3" x14ac:dyDescent="0.25">
      <c r="A866" s="22" t="s">
        <v>2804</v>
      </c>
      <c r="B866" s="22" t="s">
        <v>2805</v>
      </c>
      <c r="C866" s="37"/>
    </row>
    <row r="867" spans="1:3" x14ac:dyDescent="0.25">
      <c r="A867" s="21" t="s">
        <v>2808</v>
      </c>
      <c r="B867" s="21" t="s">
        <v>2809</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3888</v>
      </c>
      <c r="B875" s="21" t="s">
        <v>3888</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2775</v>
      </c>
      <c r="B894" s="21" t="s">
        <v>2776</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2850</v>
      </c>
      <c r="B964" s="21" t="s">
        <v>2850</v>
      </c>
      <c r="C964" s="36"/>
    </row>
    <row r="965" spans="1:3" x14ac:dyDescent="0.25">
      <c r="A965" s="21" t="s">
        <v>1841</v>
      </c>
      <c r="B965" s="21" t="s">
        <v>1842</v>
      </c>
      <c r="C965" s="36" t="s">
        <v>1843</v>
      </c>
    </row>
    <row r="966" spans="1:3" x14ac:dyDescent="0.25">
      <c r="A966" s="21" t="s">
        <v>3357</v>
      </c>
      <c r="B966" s="21" t="s">
        <v>3361</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3889</v>
      </c>
      <c r="B1059" s="21" t="s">
        <v>3889</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3890</v>
      </c>
      <c r="B1062" s="21" t="s">
        <v>3890</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2852</v>
      </c>
      <c r="B1080" s="21" t="s">
        <v>2852</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2851</v>
      </c>
      <c r="B1091" s="21" t="s">
        <v>2852</v>
      </c>
      <c r="C1091" s="36"/>
    </row>
    <row r="1092" spans="1:3" ht="30" x14ac:dyDescent="0.25">
      <c r="A1092" s="21" t="s">
        <v>2853</v>
      </c>
      <c r="B1092" s="21" t="s">
        <v>2852</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2854</v>
      </c>
      <c r="B1162" s="21" t="s">
        <v>2855</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3360</v>
      </c>
      <c r="B1192" s="21" t="s">
        <v>3360</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2697</v>
      </c>
      <c r="B1220" s="21" t="s">
        <v>2697</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2777</v>
      </c>
      <c r="B1237" s="21" t="s">
        <v>2778</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3891</v>
      </c>
      <c r="B1259" s="21" t="s">
        <v>3892</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2779</v>
      </c>
      <c r="B1285" s="21" t="s">
        <v>2780</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3040</v>
      </c>
      <c r="B1299" s="21" t="s">
        <v>3040</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2858</v>
      </c>
      <c r="B1314" s="21" t="s">
        <v>2858</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2781</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3yb8klpcUzebPANBqFwZXxoAnFz0VmXaM3ZjV+7C860WBmfp0DlKmAiRz8J04jxTfh1CTSpioOtwPZUWHVv9QA==" saltValue="tJSofSIcfxh0zxSSsg1R2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3345</v>
      </c>
      <c r="E1" s="51" t="s">
        <v>2626</v>
      </c>
      <c r="G1" s="11"/>
    </row>
    <row r="2" spans="1:7" x14ac:dyDescent="0.25">
      <c r="A2" s="11" t="s">
        <v>2295</v>
      </c>
      <c r="B2" s="47" t="s">
        <v>549</v>
      </c>
      <c r="C2" s="11" t="s">
        <v>2598</v>
      </c>
      <c r="D2" s="11" t="s">
        <v>3346</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2696</v>
      </c>
      <c r="C7" t="s">
        <v>2697</v>
      </c>
      <c r="D7" t="s">
        <v>1901</v>
      </c>
      <c r="E7" s="52"/>
    </row>
    <row r="8" spans="1:7" x14ac:dyDescent="0.25">
      <c r="A8" t="s">
        <v>2405</v>
      </c>
      <c r="B8" s="17" t="s">
        <v>2706</v>
      </c>
      <c r="C8" t="s">
        <v>2706</v>
      </c>
      <c r="D8" t="s">
        <v>1901</v>
      </c>
      <c r="E8" s="52"/>
    </row>
    <row r="9" spans="1:7" x14ac:dyDescent="0.25">
      <c r="A9" t="s">
        <v>2405</v>
      </c>
      <c r="B9" s="17" t="s">
        <v>2716</v>
      </c>
      <c r="C9" t="s">
        <v>2717</v>
      </c>
      <c r="D9" t="s">
        <v>1901</v>
      </c>
      <c r="E9" s="52"/>
    </row>
    <row r="10" spans="1:7" x14ac:dyDescent="0.25">
      <c r="A10" t="s">
        <v>2405</v>
      </c>
      <c r="B10" s="17" t="s">
        <v>2789</v>
      </c>
      <c r="C10" t="s">
        <v>2789</v>
      </c>
      <c r="D10" t="s">
        <v>606</v>
      </c>
      <c r="E10" s="52"/>
    </row>
    <row r="11" spans="1:7" x14ac:dyDescent="0.25">
      <c r="A11" t="s">
        <v>2405</v>
      </c>
      <c r="B11" s="17" t="s">
        <v>2791</v>
      </c>
      <c r="C11" t="s">
        <v>2792</v>
      </c>
      <c r="D11" t="s">
        <v>1901</v>
      </c>
      <c r="E11" s="52"/>
    </row>
    <row r="12" spans="1:7" x14ac:dyDescent="0.25">
      <c r="A12" t="s">
        <v>2405</v>
      </c>
      <c r="B12" t="s">
        <v>2856</v>
      </c>
      <c r="C12" t="s">
        <v>2858</v>
      </c>
      <c r="D12" t="s">
        <v>1901</v>
      </c>
      <c r="E12" s="52"/>
    </row>
    <row r="13" spans="1:7" x14ac:dyDescent="0.25">
      <c r="A13" t="s">
        <v>2663</v>
      </c>
      <c r="B13" t="s">
        <v>2782</v>
      </c>
      <c r="C13" t="s">
        <v>3198</v>
      </c>
      <c r="D13" t="s">
        <v>1901</v>
      </c>
      <c r="E13" s="53"/>
    </row>
    <row r="14" spans="1:7" x14ac:dyDescent="0.25">
      <c r="A14" t="s">
        <v>2405</v>
      </c>
      <c r="B14" s="17" t="s">
        <v>2625</v>
      </c>
      <c r="C14" t="s">
        <v>3109</v>
      </c>
      <c r="D14" t="s">
        <v>1901</v>
      </c>
      <c r="E14" s="53"/>
    </row>
    <row r="15" spans="1:7" x14ac:dyDescent="0.25">
      <c r="A15" t="s">
        <v>2405</v>
      </c>
      <c r="B15" s="17" t="s">
        <v>2625</v>
      </c>
      <c r="C15" t="s">
        <v>3114</v>
      </c>
      <c r="D15" t="s">
        <v>1901</v>
      </c>
      <c r="E15" s="53"/>
    </row>
    <row r="16" spans="1:7" x14ac:dyDescent="0.25">
      <c r="A16" t="s">
        <v>2405</v>
      </c>
      <c r="B16" s="17" t="s">
        <v>2625</v>
      </c>
      <c r="C16" t="s">
        <v>3155</v>
      </c>
      <c r="D16" t="s">
        <v>1901</v>
      </c>
      <c r="E16" s="53"/>
    </row>
    <row r="17" spans="1:5" x14ac:dyDescent="0.25">
      <c r="A17" t="s">
        <v>2405</v>
      </c>
      <c r="B17" s="17" t="s">
        <v>2625</v>
      </c>
      <c r="C17" t="s">
        <v>3146</v>
      </c>
      <c r="D17" t="s">
        <v>1901</v>
      </c>
      <c r="E17" s="53"/>
    </row>
    <row r="18" spans="1:5" x14ac:dyDescent="0.25">
      <c r="A18" t="s">
        <v>2405</v>
      </c>
      <c r="B18" s="17" t="s">
        <v>2625</v>
      </c>
      <c r="C18" t="s">
        <v>3128</v>
      </c>
      <c r="D18" t="s">
        <v>1901</v>
      </c>
      <c r="E18" s="53"/>
    </row>
    <row r="19" spans="1:5" x14ac:dyDescent="0.25">
      <c r="A19" t="s">
        <v>2405</v>
      </c>
      <c r="B19" s="17" t="s">
        <v>2625</v>
      </c>
      <c r="C19" t="s">
        <v>3162</v>
      </c>
      <c r="D19" t="s">
        <v>1901</v>
      </c>
      <c r="E19" s="53"/>
    </row>
    <row r="20" spans="1:5" x14ac:dyDescent="0.25">
      <c r="A20" t="s">
        <v>2405</v>
      </c>
      <c r="B20" s="17" t="s">
        <v>2716</v>
      </c>
      <c r="C20" t="s">
        <v>3321</v>
      </c>
      <c r="D20" t="s">
        <v>1901</v>
      </c>
      <c r="E20" s="53"/>
    </row>
    <row r="21" spans="1:5" x14ac:dyDescent="0.25">
      <c r="A21" t="s">
        <v>2405</v>
      </c>
      <c r="B21" s="17" t="s">
        <v>2716</v>
      </c>
      <c r="C21" t="s">
        <v>3351</v>
      </c>
      <c r="D21" t="s">
        <v>1901</v>
      </c>
      <c r="E21" s="53"/>
    </row>
    <row r="22" spans="1:5" x14ac:dyDescent="0.25">
      <c r="A22" t="s">
        <v>2405</v>
      </c>
      <c r="B22" s="17" t="s">
        <v>2625</v>
      </c>
      <c r="C22" t="s">
        <v>3391</v>
      </c>
      <c r="D22" t="s">
        <v>1901</v>
      </c>
      <c r="E22" s="53"/>
    </row>
    <row r="23" spans="1:5" x14ac:dyDescent="0.25">
      <c r="A23" t="s">
        <v>2615</v>
      </c>
      <c r="B23" s="17" t="s">
        <v>2674</v>
      </c>
      <c r="C23" t="s">
        <v>3495</v>
      </c>
      <c r="D23" t="s">
        <v>1901</v>
      </c>
      <c r="E23" s="53"/>
    </row>
    <row r="24" spans="1:5" x14ac:dyDescent="0.25">
      <c r="A24" t="s">
        <v>2663</v>
      </c>
      <c r="B24" s="17" t="s">
        <v>2782</v>
      </c>
      <c r="C24" t="s">
        <v>3514</v>
      </c>
      <c r="D24" t="s">
        <v>1901</v>
      </c>
      <c r="E24" s="53"/>
    </row>
    <row r="25" spans="1:5" x14ac:dyDescent="0.25">
      <c r="A25" t="s">
        <v>2663</v>
      </c>
      <c r="B25" s="17" t="s">
        <v>2782</v>
      </c>
      <c r="C25" t="s">
        <v>3535</v>
      </c>
      <c r="E25" s="53"/>
    </row>
    <row r="26" spans="1:5" x14ac:dyDescent="0.25">
      <c r="A26" t="s">
        <v>2615</v>
      </c>
      <c r="B26" s="17" t="s">
        <v>2674</v>
      </c>
      <c r="C26" t="s">
        <v>3556</v>
      </c>
      <c r="D26" t="s">
        <v>1901</v>
      </c>
      <c r="E26" s="53"/>
    </row>
    <row r="27" spans="1:5" x14ac:dyDescent="0.25">
      <c r="A27" t="s">
        <v>2663</v>
      </c>
      <c r="B27" s="17" t="s">
        <v>2782</v>
      </c>
      <c r="C27" t="s">
        <v>3616</v>
      </c>
      <c r="E27" s="53"/>
    </row>
    <row r="28" spans="1:5" x14ac:dyDescent="0.25">
      <c r="A28" t="s">
        <v>2663</v>
      </c>
      <c r="B28" s="17" t="s">
        <v>2782</v>
      </c>
      <c r="C28" t="s">
        <v>3624</v>
      </c>
      <c r="D28" t="s">
        <v>1901</v>
      </c>
      <c r="E28" s="53"/>
    </row>
    <row r="29" spans="1:5" x14ac:dyDescent="0.25">
      <c r="A29" t="s">
        <v>2663</v>
      </c>
      <c r="B29" s="17" t="s">
        <v>2782</v>
      </c>
      <c r="C29" t="s">
        <v>3625</v>
      </c>
      <c r="D29" t="s">
        <v>1901</v>
      </c>
      <c r="E29" s="53"/>
    </row>
    <row r="30" spans="1:5" x14ac:dyDescent="0.25">
      <c r="A30" t="s">
        <v>2663</v>
      </c>
      <c r="B30" s="17" t="s">
        <v>3697</v>
      </c>
      <c r="C30" t="s">
        <v>3698</v>
      </c>
      <c r="E30" s="53"/>
    </row>
    <row r="31" spans="1:5" x14ac:dyDescent="0.25">
      <c r="A31" t="s">
        <v>2663</v>
      </c>
      <c r="B31" s="17" t="s">
        <v>2782</v>
      </c>
      <c r="C31" t="s">
        <v>3753</v>
      </c>
      <c r="D31" t="s">
        <v>1901</v>
      </c>
      <c r="E31" s="53"/>
    </row>
    <row r="32" spans="1:5" x14ac:dyDescent="0.25">
      <c r="A32" t="s">
        <v>3893</v>
      </c>
      <c r="B32" s="17" t="s">
        <v>3838</v>
      </c>
      <c r="C32" t="s">
        <v>3839</v>
      </c>
      <c r="D32" t="s">
        <v>1901</v>
      </c>
      <c r="E32" s="53"/>
    </row>
    <row r="33" spans="1:4" x14ac:dyDescent="0.25">
      <c r="A33" t="s">
        <v>2405</v>
      </c>
      <c r="B33" s="17" t="s">
        <v>2716</v>
      </c>
      <c r="C33" t="s">
        <v>3841</v>
      </c>
      <c r="D33" t="s">
        <v>1901</v>
      </c>
    </row>
    <row r="34" spans="1:4" x14ac:dyDescent="0.25">
      <c r="A34" t="s">
        <v>3894</v>
      </c>
      <c r="B34" t="s">
        <v>37</v>
      </c>
      <c r="C34" t="s">
        <v>3844</v>
      </c>
      <c r="D34" t="s">
        <v>1901</v>
      </c>
    </row>
    <row r="35" spans="1:4" x14ac:dyDescent="0.25">
      <c r="A35" t="s">
        <v>2663</v>
      </c>
      <c r="B35" t="s">
        <v>3697</v>
      </c>
      <c r="C35" t="s">
        <v>3850</v>
      </c>
      <c r="D35" t="s">
        <v>1901</v>
      </c>
    </row>
    <row r="36" spans="1:4" x14ac:dyDescent="0.25">
      <c r="A36" t="s">
        <v>2663</v>
      </c>
      <c r="B36" t="s">
        <v>2782</v>
      </c>
      <c r="C36" t="s">
        <v>3870</v>
      </c>
      <c r="D36" t="s">
        <v>1901</v>
      </c>
    </row>
    <row r="37" spans="1:4" x14ac:dyDescent="0.25">
      <c r="A37" t="s">
        <v>2663</v>
      </c>
      <c r="B37" t="s">
        <v>2782</v>
      </c>
      <c r="C37" t="s">
        <v>4021</v>
      </c>
      <c r="D37" t="s">
        <v>1901</v>
      </c>
    </row>
  </sheetData>
  <sheetProtection algorithmName="SHA-512" hashValue="2nNI9iVs/A5ahJXdwo8F66W3khjll201OI+HLfcZNzyTS5MVSWxymptj6CkTLfNcbmRAyLs6BbQH6KarCXaU/g==" saltValue="Zq3p0j1QfqJGW3SPDV7FZw=="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2" sqref="C2:D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2871</v>
      </c>
      <c r="B1" s="71" t="s">
        <v>2872</v>
      </c>
      <c r="C1" s="71" t="s">
        <v>2873</v>
      </c>
      <c r="D1" s="71" t="s">
        <v>2869</v>
      </c>
      <c r="E1" s="71" t="s">
        <v>2870</v>
      </c>
    </row>
  </sheetData>
  <sheetProtection algorithmName="SHA-512" hashValue="TxaWbWr/5aBSIgPa6RmGtbQcRHdbHpFjVxiQrhKF1Hbjcha3e7t9dcT4P/myk/yMgUm9A37NiKmsB8AeVjctvA==" saltValue="ui+d4o+Qx+a2AdX1NYpro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test</cp:lastModifiedBy>
  <dcterms:created xsi:type="dcterms:W3CDTF">2017-07-19T08:46:20Z</dcterms:created>
  <dcterms:modified xsi:type="dcterms:W3CDTF">2019-02-26T12:51:51Z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