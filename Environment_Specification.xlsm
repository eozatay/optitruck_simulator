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sevren\Desktop\Projects\optiTruck Project\OptiTruck_Simulink_Model\11_03_2019\optitruck_simulator-master\"/>
    </mc:Choice>
  </mc:AlternateContent>
  <bookViews>
    <workbookView xWindow="0" yWindow="0" windowWidth="28800" windowHeight="12300" tabRatio="733"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AM2" i="3"/>
  <c r="BC2" i="3"/>
  <c r="Z2" i="3"/>
  <c r="BF2" i="3"/>
  <c r="AA2" i="3"/>
  <c r="W2" i="3"/>
  <c r="BH2" i="3"/>
  <c r="AG2" i="3"/>
  <c r="AR2" i="3"/>
  <c r="K2" i="3"/>
  <c r="AK2" i="3"/>
  <c r="V2" i="3"/>
  <c r="AY2" i="3"/>
  <c r="G2" i="3"/>
  <c r="Y2" i="3"/>
  <c r="U2" i="3"/>
  <c r="AQ2" i="3"/>
  <c r="BK2" i="3"/>
  <c r="AD2" i="3"/>
  <c r="M2" i="3"/>
  <c r="AV2" i="3"/>
  <c r="D2" i="3"/>
  <c r="AL2" i="3"/>
  <c r="S2" i="3"/>
  <c r="R2" i="3"/>
  <c r="AC2" i="3"/>
  <c r="O2" i="3"/>
  <c r="AH2" i="3"/>
  <c r="AI2" i="3"/>
  <c r="AX2" i="3"/>
  <c r="AJ2" i="3"/>
  <c r="BG2" i="3"/>
  <c r="I2" i="3"/>
  <c r="F2" i="3"/>
  <c r="X2" i="3"/>
  <c r="N2" i="3"/>
  <c r="AO2" i="3"/>
  <c r="P2" i="3"/>
  <c r="AW2" i="3"/>
  <c r="AF2" i="3"/>
  <c r="AP2" i="3"/>
  <c r="BI2" i="3"/>
  <c r="AZ2" i="3"/>
  <c r="BE2" i="3"/>
  <c r="AS2" i="3"/>
  <c r="BD2" i="3"/>
  <c r="AN2" i="3"/>
  <c r="T2" i="3"/>
  <c r="AT2" i="3"/>
  <c r="J2" i="3"/>
  <c r="BB2" i="3"/>
  <c r="Q2" i="3"/>
  <c r="AE2" i="3"/>
  <c r="AB2" i="3"/>
  <c r="H2" i="3"/>
  <c r="BA2" i="3"/>
  <c r="BJ2" i="3"/>
  <c r="E2" i="3"/>
  <c r="AU2" i="3"/>
  <c r="L2" i="3"/>
  <c r="F9" i="5" l="1"/>
  <c r="F3" i="5"/>
  <c r="F2" i="5"/>
  <c r="F6" i="5"/>
  <c r="F8" i="5"/>
  <c r="F4" i="5"/>
  <c r="F5" i="5"/>
  <c r="F7" i="5"/>
</calcChain>
</file>

<file path=xl/sharedStrings.xml><?xml version="1.0" encoding="utf-8"?>
<sst xmlns="http://schemas.openxmlformats.org/spreadsheetml/2006/main" count="11027" uniqueCount="4265">
  <si>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</si>
  <si>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</si>
  <si>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</si>
  <si>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</si>
  <si>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</si>
  <si>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</si>
  <si>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</si>
  <si>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</si>
  <si>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</si>
  <si>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</si>
  <si>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</si>
  <si>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</si>
  <si>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</si>
  <si>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</si>
  <si>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</si>
  <si>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</si>
  <si>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</si>
  <si>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</si>
  <si>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</si>
  <si>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</si>
  <si>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</si>
  <si>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</si>
  <si>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</si>
  <si>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</si>
  <si>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</si>
  <si>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</si>
  <si>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</si>
  <si>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</si>
  <si>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</si>
  <si>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</si>
  <si>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</si>
  <si>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</si>
  <si>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</si>
  <si>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</si>
  <si>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</si>
  <si>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</si>
  <si>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</si>
  <si>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</si>
  <si>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</si>
  <si>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</si>
  <si>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</si>
  <si>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</si>
  <si>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</si>
  <si>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</si>
  <si>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</si>
  <si>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</si>
  <si>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</si>
  <si>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</si>
  <si>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</si>
  <si>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</si>
  <si>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</si>
  <si>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</si>
  <si>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</si>
  <si>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</si>
  <si>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</si>
  <si>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</si>
  <si>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</si>
  <si>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</si>
  <si>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</si>
  <si>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</si>
  <si>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</si>
  <si>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</si>
  <si>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</si>
  <si>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</si>
  <si>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</si>
  <si>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</si>
  <si>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</si>
  <si>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</si>
  <si>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</si>
  <si>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</si>
  <si>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</si>
  <si>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</si>
  <si>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</si>
  <si>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</si>
  <si>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</si>
  <si>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</si>
  <si>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</si>
  <si>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</si>
  <si>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</si>
  <si>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</si>
  <si>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</si>
  <si>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</si>
  <si>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</si>
  <si>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</si>
  <si>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</si>
  <si>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</si>
  <si>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</si>
  <si>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</si>
  <si>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</si>
  <si>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</si>
  <si>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</si>
  <si>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</si>
  <si>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</si>
  <si>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</si>
  <si>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</si>
  <si>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</si>
  <si>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</si>
  <si>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</si>
  <si>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</si>
  <si>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</si>
  <si>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</si>
  <si>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</si>
  <si>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</si>
  <si>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</si>
  <si>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</si>
  <si>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</si>
  <si>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</si>
  <si>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</si>
  <si>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</si>
  <si>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</si>
  <si>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</si>
  <si>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</si>
  <si>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</si>
  <si>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</si>
  <si>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</si>
  <si>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</si>
  <si>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</si>
  <si>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</si>
  <si>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</si>
  <si>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</si>
  <si>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</si>
  <si>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</si>
  <si>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</si>
  <si>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</si>
  <si>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</si>
  <si>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</si>
  <si>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</si>
  <si>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</si>
  <si>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</si>
  <si>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</si>
  <si>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</si>
  <si>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</si>
  <si>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</si>
  <si>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</si>
  <si>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</si>
  <si>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</si>
  <si>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</si>
  <si>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</si>
  <si>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</si>
  <si>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</si>
  <si>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</si>
  <si>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</si>
  <si>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</si>
  <si>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</si>
  <si>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</si>
  <si>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</si>
  <si>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</si>
  <si>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</si>
  <si>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</si>
  <si>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</si>
  <si>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</si>
  <si>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</si>
  <si>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</si>
  <si>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</si>
  <si>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</si>
  <si>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</si>
  <si>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</si>
  <si>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</si>
  <si>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</si>
  <si>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</si>
  <si>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</si>
  <si>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</si>
  <si>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</si>
  <si>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</si>
  <si>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</si>
  <si>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</si>
  <si>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</si>
  <si>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</si>
  <si>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</si>
  <si>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</si>
  <si>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</si>
  <si>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</si>
  <si>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</si>
  <si>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</si>
  <si>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</si>
  <si>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</si>
  <si>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</si>
  <si>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</si>
  <si>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</si>
  <si>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</si>
  <si>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</si>
  <si>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</si>
  <si>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</si>
  <si>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</si>
  <si>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</si>
  <si>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</si>
  <si>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</si>
  <si>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</si>
  <si>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</si>
  <si>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</si>
  <si>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</si>
  <si>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</si>
  <si>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</si>
  <si>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</si>
  <si>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</si>
  <si>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</si>
  <si>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</si>
  <si>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</si>
  <si>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</si>
  <si>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</si>
  <si>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</si>
  <si>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</si>
  <si>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</si>
  <si>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</si>
  <si>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</si>
  <si>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</si>
  <si>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</si>
  <si>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</si>
  <si>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</si>
  <si>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</si>
  <si>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</si>
  <si>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</si>
  <si>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</si>
  <si>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</si>
  <si>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</si>
  <si>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</si>
  <si>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</si>
  <si>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</si>
  <si>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</si>
  <si>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</si>
  <si>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</si>
  <si>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</si>
  <si>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</si>
  <si>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</si>
  <si>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</si>
  <si>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</si>
  <si>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</si>
  <si>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</si>
  <si>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</si>
  <si>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</si>
  <si>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</si>
  <si>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</si>
  <si>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</si>
  <si>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</si>
  <si>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</si>
  <si>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</si>
  <si>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</si>
  <si>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</si>
  <si>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</si>
  <si>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</si>
  <si>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</si>
  <si>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</si>
  <si>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</si>
  <si>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</si>
  <si>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</si>
  <si>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</si>
  <si>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</si>
  <si>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</si>
  <si>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</si>
  <si>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</si>
  <si>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</si>
  <si>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</si>
  <si>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</si>
  <si>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</si>
  <si>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</si>
  <si>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</si>
  <si>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</si>
  <si>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</si>
  <si>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</si>
  <si>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</si>
  <si>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</si>
  <si>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</si>
  <si>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</si>
  <si>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</si>
  <si>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</si>
  <si>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</si>
  <si>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</si>
  <si>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</si>
  <si>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</si>
  <si>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</si>
  <si>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</si>
  <si>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</si>
  <si>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</si>
  <si>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</si>
  <si>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</si>
  <si>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</si>
  <si>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</si>
  <si>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</si>
  <si>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</si>
  <si>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</si>
  <si>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</si>
  <si>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</si>
  <si>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</si>
  <si>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</si>
  <si>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</si>
  <si>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</si>
  <si>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</si>
  <si>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</si>
  <si>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</si>
  <si>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</si>
  <si>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</si>
  <si>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</si>
  <si>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</si>
  <si>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</si>
  <si>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</si>
  <si>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</si>
  <si>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</si>
  <si>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</si>
  <si>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</si>
  <si>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</si>
  <si>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</si>
  <si>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</si>
  <si>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</si>
  <si>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</si>
  <si>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</si>
  <si>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</si>
  <si>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</si>
  <si>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</si>
  <si>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</si>
  <si>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</si>
  <si>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</si>
  <si>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</si>
  <si>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</si>
  <si>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</si>
  <si>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</si>
  <si>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</si>
  <si>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</si>
  <si>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</si>
  <si>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</si>
  <si>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</si>
  <si>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</si>
  <si>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</si>
  <si>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</si>
  <si>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</si>
  <si>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</si>
  <si>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</si>
  <si>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</si>
  <si>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</si>
  <si>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</si>
  <si>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</si>
  <si>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</si>
  <si>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</si>
  <si>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</si>
  <si>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</si>
  <si>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</si>
  <si>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</si>
  <si>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</si>
  <si>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</si>
  <si>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</si>
  <si>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</si>
  <si>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</si>
  <si>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</si>
  <si>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</si>
  <si>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</si>
  <si>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</si>
  <si>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</si>
  <si>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</si>
  <si>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</si>
  <si>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</si>
  <si>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</si>
  <si>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</si>
  <si>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</si>
  <si>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</si>
  <si>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</si>
  <si>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</si>
  <si>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</si>
  <si>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</si>
  <si>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</si>
  <si>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</si>
  <si>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</si>
  <si>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</si>
  <si>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</si>
  <si>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</si>
  <si>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</si>
  <si>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</si>
  <si>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</si>
  <si>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</si>
  <si>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</si>
  <si>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</si>
  <si>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</si>
  <si>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</si>
  <si>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</si>
  <si>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</si>
  <si>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</si>
  <si>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</si>
  <si>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</si>
  <si>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</si>
  <si>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</si>
  <si>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</si>
  <si>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</si>
  <si>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</si>
  <si>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</si>
  <si>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</si>
  <si>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</si>
  <si>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</si>
  <si>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</si>
  <si>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</si>
  <si>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</si>
  <si>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</si>
  <si>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</si>
  <si>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</si>
  <si>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</si>
  <si>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</si>
  <si>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</si>
  <si>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</si>
  <si>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</si>
  <si>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</si>
  <si>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</si>
  <si>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</si>
  <si>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</si>
  <si>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</si>
  <si>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</si>
  <si>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</si>
  <si>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</si>
  <si>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</si>
  <si>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</si>
  <si>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</si>
  <si>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</si>
  <si>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</si>
  <si>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</si>
  <si>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</si>
  <si>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</si>
  <si>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</si>
  <si>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</si>
  <si>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</si>
  <si>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</si>
  <si>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</si>
  <si>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</si>
  <si>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</si>
  <si>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</si>
  <si>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</si>
  <si>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</si>
  <si>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</si>
  <si>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</si>
  <si>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</si>
  <si>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</si>
  <si>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</si>
  <si>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</si>
  <si>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</si>
  <si>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</si>
  <si>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</si>
  <si>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</si>
  <si>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</si>
  <si>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</si>
  <si>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</si>
  <si>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</si>
  <si>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</si>
  <si>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</si>
  <si>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</si>
  <si>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</si>
  <si>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</si>
  <si>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</si>
  <si>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</si>
  <si>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</si>
  <si>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</si>
  <si>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</si>
  <si>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</si>
  <si>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</si>
  <si>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</si>
  <si>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</si>
  <si>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</si>
  <si>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</si>
  <si>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</si>
  <si>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</si>
  <si>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</si>
  <si>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</si>
  <si>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</si>
  <si>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</si>
  <si>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</si>
  <si>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</si>
  <si>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</si>
  <si>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</si>
  <si>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</si>
  <si>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</si>
  <si>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</si>
  <si>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</si>
  <si>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</si>
  <si>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</si>
  <si>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</si>
  <si>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</si>
  <si>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</si>
  <si>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</si>
  <si>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</si>
  <si>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</si>
  <si>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</si>
  <si>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</si>
  <si>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</si>
  <si>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</si>
  <si>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</si>
  <si>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</si>
  <si>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</si>
  <si>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</si>
  <si>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</si>
  <si>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</si>
  <si>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</si>
  <si>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</si>
  <si>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</si>
  <si>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</si>
  <si>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</si>
  <si>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</si>
  <si>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</si>
  <si>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</si>
  <si>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</si>
  <si>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</si>
  <si>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</si>
  <si>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</si>
  <si>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</si>
  <si>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</si>
  <si>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</si>
  <si>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</si>
  <si>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</si>
  <si>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</si>
  <si>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</si>
  <si>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</si>
  <si>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</si>
  <si>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</si>
  <si>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</si>
  <si>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</si>
  <si>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</si>
  <si>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</si>
  <si>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</si>
  <si>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</si>
  <si>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</si>
  <si>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</si>
  <si>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</si>
  <si>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</si>
  <si>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</si>
  <si>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</si>
  <si>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</si>
  <si>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</si>
  <si>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</si>
  <si>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</si>
  <si>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</si>
  <si>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</si>
  <si>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</si>
  <si>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</si>
  <si>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</si>
  <si>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</si>
  <si>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</si>
  <si>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</si>
  <si>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</si>
  <si>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</si>
  <si>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</si>
  <si>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</si>
  <si>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</si>
  <si>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</si>
  <si>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</si>
  <si>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</si>
  <si>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</si>
  <si>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</si>
  <si>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</si>
  <si>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</si>
  <si>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</si>
  <si>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</si>
  <si>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</si>
  <si>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</si>
  <si>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</si>
  <si>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</si>
  <si>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</si>
  <si>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</si>
  <si>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</si>
  <si>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</si>
  <si>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</si>
  <si>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</si>
  <si>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</si>
  <si>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</si>
  <si>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</si>
  <si>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</si>
  <si>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</si>
  <si>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</si>
  <si>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</si>
  <si>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</si>
  <si>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</si>
  <si>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</si>
  <si>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</si>
  <si>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</si>
  <si>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</si>
  <si>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</si>
  <si>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</si>
  <si>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</si>
  <si>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</si>
  <si>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</si>
  <si>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</si>
  <si>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</si>
  <si>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</si>
  <si>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</si>
  <si>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</si>
  <si>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</si>
  <si>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</si>
  <si>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</si>
  <si>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</si>
  <si>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</si>
  <si>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</si>
  <si>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</si>
  <si>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</si>
  <si>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</si>
  <si>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</si>
  <si>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</si>
  <si>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</si>
  <si>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</si>
  <si>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</si>
  <si>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</si>
  <si>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</si>
  <si>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</si>
  <si>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</si>
  <si>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</si>
  <si>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</si>
  <si>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</si>
  <si>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</si>
  <si>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</si>
  <si>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</si>
  <si>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</si>
  <si>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</si>
  <si>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</si>
  <si>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</si>
  <si>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</si>
  <si>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</si>
  <si>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</si>
  <si>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</si>
  <si>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</si>
  <si>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</si>
  <si>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</si>
  <si>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</si>
  <si>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</si>
  <si>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</si>
  <si>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</si>
  <si>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</si>
  <si>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</si>
  <si>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</si>
  <si>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</si>
  <si>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</si>
  <si>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</si>
  <si>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</si>
  <si>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</si>
  <si>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</si>
  <si>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</si>
  <si>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</si>
  <si>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</si>
  <si>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</si>
  <si>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</si>
  <si>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</si>
  <si>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</si>
  <si>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</si>
  <si>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</si>
  <si>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</si>
  <si>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</si>
  <si>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</si>
  <si>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</si>
  <si>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</si>
  <si>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</si>
  <si>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</si>
  <si>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</si>
  <si>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</si>
  <si>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</si>
  <si>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</si>
  <si>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</si>
  <si>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</si>
  <si>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</si>
  <si>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</si>
  <si>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</si>
  <si>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</si>
  <si>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</si>
  <si>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</si>
  <si>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</si>
  <si>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</si>
  <si>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</si>
  <si>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</si>
  <si>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</si>
  <si>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</si>
  <si>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</si>
  <si>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</si>
  <si>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</si>
  <si>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</si>
  <si>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</si>
  <si>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</si>
  <si>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</si>
  <si>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</si>
  <si>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</si>
  <si>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</si>
  <si>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</si>
  <si>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</si>
  <si>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</si>
  <si>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</si>
  <si>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</si>
  <si>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</si>
  <si>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</si>
  <si>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</si>
  <si>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</si>
  <si>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</si>
  <si>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</si>
  <si>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</si>
  <si>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</si>
  <si>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</si>
  <si>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</si>
  <si>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</si>
  <si>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</si>
  <si>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</si>
  <si>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</si>
  <si>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</si>
  <si>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</si>
  <si>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</si>
  <si>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</si>
  <si>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</si>
  <si>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</si>
  <si>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</si>
  <si>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</si>
  <si>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</si>
  <si>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</si>
  <si>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</si>
  <si>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</si>
  <si>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</si>
  <si>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</si>
  <si>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</si>
  <si>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</si>
  <si>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</si>
  <si>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</si>
  <si>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</si>
  <si>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</si>
  <si>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</si>
  <si>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</si>
  <si>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</si>
  <si>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</si>
  <si>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</si>
  <si>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</si>
  <si>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</si>
  <si>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</si>
  <si>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</si>
  <si>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</si>
  <si>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</si>
  <si>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</si>
  <si>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</si>
  <si>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</si>
  <si>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</si>
  <si>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</si>
  <si>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</si>
  <si>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</si>
  <si>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</si>
  <si>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</si>
  <si>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</si>
  <si>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</si>
  <si>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</si>
  <si>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</si>
  <si>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</si>
  <si>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</si>
  <si>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</si>
  <si>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</si>
  <si>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</si>
  <si>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</si>
  <si>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</si>
  <si>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</si>
  <si>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</si>
  <si>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</si>
  <si>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</si>
  <si>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</si>
  <si>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</si>
  <si>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</si>
  <si>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</si>
  <si>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</si>
  <si>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</si>
  <si>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</si>
  <si>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</si>
  <si>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</si>
  <si>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</si>
  <si>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</si>
  <si>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</si>
  <si>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</si>
  <si>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</si>
  <si>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</si>
  <si>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</si>
  <si>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</si>
  <si>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</si>
  <si>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</si>
  <si>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</si>
  <si>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</si>
  <si>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</si>
  <si>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</si>
  <si>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</si>
  <si>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</si>
  <si>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</si>
  <si>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</si>
  <si>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</si>
  <si>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</si>
  <si>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</si>
  <si>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</si>
  <si>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</si>
  <si>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</si>
  <si>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</si>
  <si>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</si>
  <si>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</si>
  <si>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</si>
  <si>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</si>
  <si>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</si>
  <si>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</si>
  <si>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</si>
  <si>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</si>
  <si>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</si>
  <si>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</si>
  <si>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</si>
  <si>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</si>
  <si>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</si>
  <si>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</si>
  <si>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</si>
  <si>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</si>
  <si>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</si>
  <si>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</si>
  <si>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</si>
  <si>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</si>
  <si>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</si>
  <si>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</si>
  <si>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</si>
  <si>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</si>
  <si>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</si>
  <si>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</si>
  <si>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</si>
  <si>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</si>
  <si>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</si>
  <si>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</si>
  <si>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</si>
  <si>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</si>
  <si>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</si>
  <si>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</si>
  <si>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</si>
  <si>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</si>
  <si>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</si>
  <si>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</si>
  <si>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</si>
  <si>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</si>
  <si>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</si>
  <si>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</si>
  <si>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</si>
  <si>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</si>
  <si>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</si>
  <si>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</si>
  <si>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</si>
  <si>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</si>
  <si>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</si>
  <si>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</si>
  <si>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</si>
  <si>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</si>
  <si>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</si>
  <si>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</si>
  <si>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</si>
  <si>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</si>
  <si>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</si>
  <si>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</si>
  <si>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</si>
  <si>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</si>
  <si>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</si>
  <si>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</si>
  <si>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</si>
  <si>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</si>
  <si>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</si>
  <si>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</si>
  <si>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</si>
  <si>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</si>
  <si>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</si>
  <si>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</si>
  <si>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</si>
  <si>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</si>
  <si>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</si>
  <si>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</si>
  <si>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</si>
  <si>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</si>
  <si>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</si>
  <si>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</si>
  <si>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</si>
  <si>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</si>
  <si>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</si>
  <si>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</si>
  <si>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</si>
  <si>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</si>
  <si>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</si>
  <si>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</si>
  <si>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</si>
  <si>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</si>
  <si>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</si>
  <si>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</si>
  <si>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</si>
  <si>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</si>
  <si>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</si>
  <si>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</si>
  <si>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</si>
  <si>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</si>
  <si>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</si>
  <si>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</si>
  <si>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</si>
  <si>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</si>
  <si>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</si>
  <si>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</si>
  <si>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</si>
  <si>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</si>
  <si>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</si>
  <si>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</si>
  <si>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</si>
  <si>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</si>
  <si>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</si>
  <si>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</si>
  <si>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</si>
  <si>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</si>
  <si>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</si>
  <si>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</si>
  <si>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</si>
  <si>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</si>
  <si>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</si>
  <si>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</si>
  <si>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</si>
  <si>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</si>
  <si>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</si>
  <si>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</si>
  <si>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</si>
  <si>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</si>
  <si>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</si>
  <si>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</si>
  <si>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</si>
  <si>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</si>
  <si>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</si>
  <si>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</si>
  <si>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</si>
  <si>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</si>
  <si>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</si>
  <si>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</si>
  <si>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</si>
  <si>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</si>
  <si>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</si>
  <si>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</si>
  <si>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</si>
  <si>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</si>
  <si>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</si>
  <si>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</si>
  <si>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</si>
  <si>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</si>
  <si>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</si>
  <si>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</si>
  <si>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</si>
  <si>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</si>
  <si>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</si>
  <si>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</si>
  <si>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</si>
  <si>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</si>
  <si>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</si>
  <si>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</si>
  <si>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</si>
  <si>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</si>
  <si>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</si>
  <si>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</si>
  <si>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</si>
  <si>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</si>
  <si>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</si>
  <si>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</si>
  <si>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</si>
  <si>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</si>
  <si>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</si>
  <si>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</si>
  <si>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</si>
  <si>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</si>
  <si>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</si>
  <si>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</si>
  <si>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</si>
  <si>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</si>
  <si>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</si>
  <si>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</si>
  <si>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</si>
  <si>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</si>
  <si>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</si>
  <si>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</si>
  <si>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</si>
  <si>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</si>
  <si>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</si>
  <si>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</si>
  <si>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</si>
  <si>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</si>
  <si>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</si>
  <si>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</si>
  <si>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</si>
  <si>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</si>
  <si>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</si>
  <si>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</si>
  <si>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</si>
  <si>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</si>
  <si>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</si>
  <si>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</si>
  <si>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</si>
  <si>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</si>
  <si>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</si>
  <si>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</si>
  <si>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</si>
  <si>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</si>
  <si>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</si>
  <si>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</si>
  <si>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</si>
  <si>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</si>
  <si>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</si>
  <si>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</si>
  <si>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</si>
  <si>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</si>
  <si>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</si>
  <si>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</si>
  <si>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</si>
  <si>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</si>
  <si>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</si>
  <si>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</si>
  <si>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</si>
  <si>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</si>
  <si>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</si>
  <si>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</si>
  <si>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</si>
  <si>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</si>
  <si>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</si>
  <si>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</si>
  <si>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</si>
  <si>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</si>
  <si>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</si>
  <si>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</si>
  <si>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</si>
  <si>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</si>
  <si>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</si>
  <si>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</si>
  <si>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</si>
  <si>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</si>
  <si>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</si>
  <si>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</si>
  <si>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</si>
  <si>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</si>
  <si>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</si>
  <si>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</si>
  <si>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</si>
  <si>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</si>
  <si>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</si>
  <si>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</si>
  <si>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</si>
  <si>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</si>
  <si>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</si>
  <si>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</si>
  <si>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</si>
  <si>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</si>
  <si>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</si>
  <si>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</si>
  <si>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</si>
  <si>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</si>
  <si>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</si>
  <si>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</si>
  <si>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</si>
  <si>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</si>
  <si>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</si>
  <si>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</si>
  <si>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</si>
  <si>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</si>
  <si>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</si>
  <si>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</si>
  <si>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</si>
  <si>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</si>
  <si>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</si>
  <si>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</si>
  <si>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</si>
  <si>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</si>
  <si>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</si>
  <si>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</si>
  <si>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</si>
  <si>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</si>
  <si>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</si>
  <si>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</si>
  <si>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</si>
  <si>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</si>
  <si>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</si>
  <si>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</si>
  <si>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</si>
  <si>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</si>
  <si>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</si>
  <si>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</si>
  <si>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</si>
  <si>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</si>
  <si>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</si>
  <si>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</si>
  <si>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</si>
  <si>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</si>
  <si>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</si>
  <si>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</si>
  <si>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</si>
  <si>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</si>
  <si>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</si>
  <si>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</si>
  <si>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</si>
  <si>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</si>
  <si>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</si>
  <si>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</si>
  <si>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</si>
  <si>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</si>
  <si>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</si>
  <si>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</si>
  <si>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</si>
  <si>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</si>
  <si>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</si>
  <si>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</si>
  <si>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</si>
  <si>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</si>
  <si>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</si>
  <si>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</si>
  <si>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</si>
  <si>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</si>
  <si>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</si>
  <si>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</si>
  <si>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</si>
  <si>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</si>
  <si>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</si>
  <si>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</si>
  <si>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</si>
  <si>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</si>
  <si>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</si>
  <si>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</si>
  <si>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</si>
  <si>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</si>
  <si>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</si>
  <si>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</si>
  <si>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</si>
  <si>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</si>
  <si>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</si>
  <si>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</si>
  <si>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</si>
  <si>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</si>
  <si>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</si>
  <si>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</si>
  <si>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</si>
  <si>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</si>
  <si>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</si>
  <si>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</si>
  <si>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</si>
  <si>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</si>
  <si>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</si>
  <si>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</si>
  <si>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</si>
  <si>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</si>
  <si>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</si>
  <si>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</si>
  <si>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</si>
  <si>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</si>
  <si>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</si>
  <si>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</si>
  <si>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</si>
  <si>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</si>
  <si>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</si>
  <si>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</si>
  <si>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</si>
  <si>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</si>
  <si>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</si>
  <si>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</si>
  <si>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</si>
  <si>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</si>
  <si>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</si>
  <si>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</si>
  <si>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</si>
  <si>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</si>
  <si>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</si>
  <si>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</si>
  <si>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</si>
  <si>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</si>
  <si>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</si>
  <si>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</si>
  <si>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</si>
  <si>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</si>
  <si>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</si>
  <si>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</si>
  <si>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</si>
  <si>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</si>
  <si>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</si>
  <si>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</si>
  <si>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</si>
  <si>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</si>
  <si>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</si>
  <si>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</si>
  <si>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</si>
  <si>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</si>
  <si>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</si>
  <si>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</si>
  <si>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</si>
  <si>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</si>
  <si>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</si>
  <si>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</si>
  <si>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</si>
  <si>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</si>
  <si>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</si>
  <si>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</si>
  <si>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</si>
  <si>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</si>
  <si>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</si>
  <si>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</si>
  <si>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</si>
  <si>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</si>
  <si>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</si>
  <si>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</si>
  <si>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</si>
  <si>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</si>
  <si>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</si>
  <si>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</si>
  <si>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</si>
  <si>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</si>
  <si>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</si>
  <si>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</si>
  <si>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</si>
  <si>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</si>
  <si>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</si>
  <si>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</si>
  <si>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</si>
  <si>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</si>
  <si>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</si>
  <si>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</si>
  <si>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</si>
  <si>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</si>
  <si>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</si>
  <si>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</si>
  <si>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</si>
  <si>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</si>
  <si>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</si>
  <si>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</si>
  <si>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</si>
  <si>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</si>
  <si>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</si>
  <si>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</si>
  <si>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</si>
  <si>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</si>
  <si>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</si>
  <si>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</si>
  <si>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</si>
  <si>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</si>
  <si>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</si>
  <si>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</si>
  <si>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</si>
  <si>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</si>
  <si>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</si>
  <si>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</si>
  <si>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</si>
  <si>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</si>
  <si>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</si>
  <si>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</si>
  <si>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</si>
  <si>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</si>
  <si>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</si>
  <si>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</si>
  <si>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</si>
  <si>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</si>
  <si>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</si>
  <si>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</si>
  <si>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</si>
  <si>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</si>
  <si>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</si>
  <si>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</si>
  <si>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</si>
  <si>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</si>
  <si>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</si>
  <si>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</si>
  <si>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</si>
  <si>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</si>
  <si>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</si>
  <si>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</si>
  <si>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</si>
  <si>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</si>
  <si>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</si>
  <si>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</si>
  <si>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</si>
  <si>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</si>
  <si>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</si>
  <si>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</si>
  <si>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</si>
  <si>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</si>
  <si>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</si>
  <si>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</si>
  <si>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</si>
  <si>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</si>
  <si>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</si>
  <si>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</si>
  <si>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</si>
  <si>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</si>
  <si>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</si>
  <si>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</si>
  <si>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</si>
  <si>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</si>
  <si>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</si>
  <si>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</si>
  <si>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</si>
  <si>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</si>
  <si>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</si>
  <si>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</si>
  <si>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</si>
  <si>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</si>
  <si>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</si>
  <si>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</si>
  <si>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</si>
  <si>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</si>
  <si>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</si>
  <si>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</si>
  <si>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</si>
  <si>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</si>
  <si>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</si>
  <si>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</si>
  <si>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</si>
  <si>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</si>
  <si>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</si>
  <si>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</si>
  <si>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</si>
  <si>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</si>
  <si>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</si>
  <si>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</si>
  <si>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</si>
  <si>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</si>
  <si>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</si>
  <si>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</si>
  <si>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</si>
  <si>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</si>
  <si>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</si>
  <si>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</si>
  <si>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</si>
  <si>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</si>
  <si>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</si>
  <si>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</si>
  <si>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</si>
  <si>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</si>
  <si>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</si>
  <si>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</si>
  <si>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</si>
  <si>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</si>
  <si>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</si>
  <si>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</si>
  <si>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</si>
  <si>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</si>
  <si>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</si>
  <si>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</si>
  <si>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</si>
  <si>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</si>
  <si>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</si>
  <si>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</si>
  <si>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</si>
  <si>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</si>
  <si>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</si>
  <si>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</si>
  <si>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</si>
  <si>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</si>
  <si>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</si>
  <si>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</si>
  <si>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</si>
  <si>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</si>
  <si>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</si>
  <si>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</si>
  <si>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</si>
  <si>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</si>
  <si>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</si>
  <si>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</si>
  <si>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</si>
  <si>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</si>
  <si>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</si>
  <si>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</si>
  <si>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</si>
  <si>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</si>
  <si>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</si>
  <si>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</si>
  <si>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</si>
  <si>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</si>
  <si>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</si>
  <si>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</si>
  <si>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</si>
  <si>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</si>
  <si>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</si>
  <si>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</si>
  <si>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</si>
  <si>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</si>
  <si>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</si>
  <si>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</si>
  <si>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</si>
  <si>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</si>
  <si>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</si>
  <si>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</si>
  <si>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</si>
  <si>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</si>
  <si>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</si>
  <si>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</si>
  <si>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</si>
  <si>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</si>
  <si>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</si>
  <si>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</si>
  <si>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</si>
  <si>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</si>
  <si>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</si>
  <si>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</si>
  <si>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</si>
  <si>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</si>
  <si>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</si>
  <si>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</si>
  <si>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</si>
  <si>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</si>
  <si>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</si>
  <si>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</si>
  <si>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</si>
  <si>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</si>
  <si>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</si>
  <si>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</si>
  <si>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</si>
  <si>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</si>
  <si>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</si>
  <si>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</si>
  <si>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</si>
  <si>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</si>
  <si>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</si>
  <si>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</si>
  <si>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</si>
  <si>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</si>
  <si>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</si>
  <si>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</si>
  <si>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</si>
  <si>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</si>
  <si>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</si>
  <si>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</si>
  <si>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</si>
  <si>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</si>
  <si>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</si>
  <si>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</si>
  <si>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</si>
  <si>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</si>
  <si>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</si>
  <si>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</si>
  <si>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</si>
  <si>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</si>
  <si>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</si>
  <si>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</si>
  <si>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</si>
  <si>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</si>
  <si>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</si>
  <si>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</si>
  <si>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</si>
  <si>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</si>
  <si>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</si>
  <si>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</si>
  <si>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</si>
  <si>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</si>
  <si>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</si>
  <si>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</si>
  <si>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</si>
  <si>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</si>
  <si>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</si>
  <si>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</si>
  <si>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</si>
  <si>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</si>
  <si>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</si>
  <si>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</si>
  <si>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</si>
  <si>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</si>
  <si>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</si>
  <si>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</si>
  <si>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</si>
  <si>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</si>
  <si>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</si>
  <si>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</si>
  <si>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</si>
  <si>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</si>
  <si>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</si>
  <si>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</si>
  <si>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</si>
  <si>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</si>
  <si>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</si>
  <si>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</si>
  <si>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</si>
  <si>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</si>
  <si>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</si>
  <si>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</si>
  <si>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</si>
  <si>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</si>
  <si>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</si>
  <si>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</si>
  <si>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</si>
  <si>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</si>
  <si>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</si>
  <si>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</si>
  <si>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</si>
  <si>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</si>
  <si>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</si>
  <si>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</si>
  <si>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</si>
  <si>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</si>
  <si>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</si>
  <si>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</si>
  <si>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</si>
  <si>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</si>
  <si>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</si>
  <si>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</si>
  <si>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</si>
  <si>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</si>
  <si>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</si>
  <si>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</si>
  <si>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</si>
  <si>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</si>
  <si>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</si>
  <si>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</si>
  <si>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</si>
  <si>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</si>
  <si>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</si>
  <si>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</si>
  <si>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</si>
  <si>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</si>
  <si>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</si>
  <si>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</si>
  <si>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</si>
  <si>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</si>
  <si>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</si>
  <si>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</si>
  <si>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</si>
  <si>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</si>
  <si>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</si>
  <si>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</si>
  <si>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</si>
  <si>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</si>
  <si>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</si>
  <si>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</si>
  <si>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</si>
  <si>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</si>
  <si>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</si>
  <si>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</si>
  <si>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</si>
  <si>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</si>
  <si>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</si>
  <si>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</si>
  <si>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</si>
  <si>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</si>
  <si>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</si>
  <si>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</si>
  <si>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</si>
  <si>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</si>
  <si>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</si>
  <si>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</si>
  <si>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</si>
  <si>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</si>
  <si>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</si>
  <si>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</si>
  <si>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</si>
  <si>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</si>
  <si>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</si>
  <si>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</si>
  <si>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</si>
  <si>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</si>
  <si>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</si>
  <si>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</si>
  <si>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</si>
  <si>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</si>
  <si>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</si>
  <si>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</si>
  <si>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</si>
  <si>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</si>
  <si>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</si>
  <si>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</si>
  <si>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</si>
  <si>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</si>
  <si>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</si>
  <si>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</si>
  <si>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</si>
  <si>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</si>
  <si>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</si>
  <si>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</si>
  <si>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</si>
  <si>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</si>
  <si>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</si>
  <si>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</si>
  <si>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</si>
  <si>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</si>
  <si>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</si>
  <si>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</si>
  <si>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</si>
  <si>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</si>
  <si>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</si>
  <si>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</si>
  <si>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</si>
  <si>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</si>
  <si>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</si>
  <si>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</si>
  <si>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</si>
  <si>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</si>
  <si>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</si>
  <si>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</si>
  <si>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</si>
  <si>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</si>
  <si>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</si>
  <si>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</si>
  <si>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</si>
  <si>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</si>
  <si>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</si>
  <si>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</si>
  <si>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</si>
  <si>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</si>
  <si>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</si>
  <si>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</si>
  <si>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</si>
  <si>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</si>
  <si>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</si>
  <si>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</si>
  <si>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</si>
  <si>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</si>
  <si>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</si>
  <si>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</si>
  <si>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</si>
  <si>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</si>
  <si>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</si>
  <si>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</si>
  <si>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</si>
  <si>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</si>
  <si>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</si>
  <si>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</si>
  <si>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</si>
  <si>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</si>
  <si>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</si>
  <si>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</si>
  <si>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</si>
  <si>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</si>
  <si>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</si>
  <si>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</si>
  <si>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</si>
  <si>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</si>
  <si>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</si>
  <si>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</si>
  <si>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</si>
  <si>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</si>
  <si>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</si>
  <si>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</si>
  <si>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</si>
  <si>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</si>
  <si>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</si>
  <si>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</si>
  <si>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</si>
  <si>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</si>
  <si>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</si>
  <si>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</si>
  <si>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</si>
  <si>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</si>
  <si>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</si>
  <si>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</si>
  <si>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</si>
  <si>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</si>
  <si>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</si>
  <si>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</si>
  <si>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</si>
  <si>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</si>
  <si>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</si>
  <si>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</si>
  <si>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</si>
  <si>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</si>
  <si>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</si>
  <si>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</si>
  <si>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</si>
  <si>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</si>
  <si>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</si>
  <si>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</si>
  <si>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</si>
  <si>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</si>
  <si>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</si>
  <si>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</si>
  <si>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</si>
  <si>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</si>
  <si>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</si>
  <si>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</si>
  <si>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</si>
  <si>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</si>
  <si>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</si>
  <si>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</si>
  <si>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</si>
  <si>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</si>
  <si>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</si>
  <si>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</si>
  <si>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</si>
  <si>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</si>
  <si>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</si>
  <si>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</si>
  <si>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</si>
  <si>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</si>
  <si>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</si>
  <si>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</si>
  <si>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</si>
  <si>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</si>
  <si>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</si>
  <si>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</si>
  <si>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</si>
  <si>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</si>
  <si>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</si>
  <si>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</si>
  <si>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</si>
  <si>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</si>
  <si>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</si>
  <si>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</si>
  <si>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</si>
  <si>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</si>
  <si>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</si>
  <si>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</si>
  <si>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</si>
  <si>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</si>
  <si>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</si>
  <si>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</si>
  <si>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</si>
  <si>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</si>
  <si>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</si>
  <si>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</si>
  <si>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</si>
  <si>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</si>
  <si>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</si>
  <si>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</si>
  <si>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</si>
  <si>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</si>
  <si>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</si>
  <si>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</si>
  <si>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</si>
  <si>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</si>
  <si>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</si>
  <si>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</si>
  <si>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</si>
  <si>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</si>
  <si>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</si>
  <si>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</si>
  <si>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</si>
  <si>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</si>
  <si>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</si>
  <si>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</si>
  <si>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</si>
  <si>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</si>
  <si>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</si>
  <si>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</si>
  <si>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</si>
  <si>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</si>
  <si>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</si>
  <si>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</si>
  <si>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</si>
  <si>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</si>
  <si>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</si>
  <si>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</si>
  <si>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</si>
  <si>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</si>
  <si>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</si>
  <si>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</si>
  <si>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</si>
  <si>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</si>
  <si>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</si>
  <si>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</si>
  <si>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</si>
  <si>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</si>
  <si>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</si>
  <si>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</si>
  <si>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</si>
  <si>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</si>
  <si>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</si>
  <si>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</si>
  <si>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</si>
  <si>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</si>
  <si>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</si>
  <si>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</si>
  <si>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</si>
  <si>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</si>
  <si>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</si>
  <si>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</si>
  <si>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</si>
  <si>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</si>
  <si>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</si>
  <si>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</si>
  <si>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</si>
  <si>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</si>
  <si>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</si>
  <si>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</si>
  <si>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</si>
  <si>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</si>
  <si>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</si>
  <si>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</si>
  <si>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</si>
  <si>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</si>
  <si>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</si>
  <si>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</si>
  <si>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</si>
  <si>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</si>
  <si>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</si>
  <si>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</si>
  <si>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</si>
  <si>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</si>
  <si>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</si>
  <si>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</si>
  <si>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</si>
  <si>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</si>
  <si>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</si>
  <si>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</si>
  <si>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</si>
  <si>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</si>
  <si>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</si>
  <si>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</si>
  <si>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</si>
  <si>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</si>
  <si>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</si>
  <si>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</si>
  <si>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</si>
  <si>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</si>
  <si>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</si>
  <si>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</si>
  <si>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</si>
  <si>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</si>
  <si>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</si>
  <si>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</si>
  <si>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</si>
  <si>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</si>
  <si>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</si>
  <si>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</si>
  <si>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</si>
  <si>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</si>
  <si>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</si>
  <si>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</si>
  <si>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</si>
  <si>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</si>
  <si>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</si>
  <si>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</si>
  <si>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</si>
  <si>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</si>
  <si>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</si>
  <si>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</si>
  <si>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</si>
  <si>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</si>
  <si>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</si>
  <si>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</si>
  <si>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</si>
  <si>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</si>
  <si>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</si>
  <si>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</si>
  <si>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</si>
  <si>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</si>
  <si>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</si>
  <si>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</si>
  <si>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</si>
  <si>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</si>
  <si>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</si>
  <si>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</si>
  <si>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</si>
  <si>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</si>
  <si>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</si>
  <si>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</si>
  <si>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</si>
  <si>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</si>
  <si>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</si>
  <si>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</si>
  <si>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</si>
  <si>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</si>
  <si>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</si>
  <si>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</si>
  <si>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</si>
  <si>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</si>
  <si>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</si>
  <si>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</si>
  <si>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</si>
  <si>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</si>
  <si>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</si>
  <si>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</si>
  <si>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</si>
  <si>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</si>
  <si>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</si>
  <si>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</si>
  <si>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</si>
  <si>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</si>
  <si>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</si>
  <si>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</si>
  <si>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</si>
  <si>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</si>
  <si>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</si>
  <si>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</si>
  <si>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</si>
  <si>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</si>
  <si>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</si>
  <si>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</si>
  <si>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</si>
  <si>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</si>
  <si>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</si>
  <si>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</si>
  <si>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</si>
  <si>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</si>
  <si>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</si>
  <si>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</si>
  <si>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</si>
  <si>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</si>
  <si>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</si>
  <si>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</si>
  <si>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</si>
  <si>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</si>
  <si>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</si>
  <si>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</si>
  <si>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</si>
  <si>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</si>
  <si>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</si>
  <si>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</si>
  <si>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</si>
  <si>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</si>
  <si>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</si>
  <si>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</si>
  <si>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</si>
  <si>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</si>
  <si>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</si>
  <si>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</si>
  <si>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</si>
  <si>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</si>
  <si>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</si>
  <si>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</si>
  <si>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</si>
  <si>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</si>
  <si>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</si>
  <si>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</si>
  <si>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</si>
  <si>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</si>
  <si>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</si>
  <si>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</si>
  <si>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</si>
  <si>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</si>
  <si>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</si>
  <si>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</si>
  <si>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</si>
  <si>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</si>
  <si>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</si>
  <si>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</si>
  <si>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</si>
  <si>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</si>
  <si>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</si>
  <si>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</si>
  <si>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</si>
  <si>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</si>
  <si>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</si>
  <si>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</si>
  <si>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</si>
  <si>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</si>
  <si>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</si>
  <si>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</si>
  <si>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</si>
  <si>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</si>
  <si>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</si>
  <si>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</si>
  <si>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</si>
  <si>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</si>
  <si>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</si>
  <si>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</si>
  <si>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</si>
  <si>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</si>
  <si>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</si>
  <si>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</si>
  <si>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</si>
  <si>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</si>
  <si>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</si>
  <si>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</si>
  <si>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</si>
  <si>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</si>
  <si>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</si>
  <si>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</si>
  <si>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</si>
  <si>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</si>
  <si>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</si>
  <si>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</si>
  <si>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</si>
  <si>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</si>
  <si>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</si>
  <si>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</si>
  <si>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</si>
  <si>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</si>
  <si>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</si>
  <si>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</si>
  <si>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</si>
  <si>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</si>
  <si>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</si>
  <si>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</si>
  <si>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</si>
  <si>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</si>
  <si>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</si>
  <si>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</si>
  <si>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</si>
  <si>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</si>
  <si>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</si>
  <si>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</si>
  <si>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</si>
  <si>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</si>
  <si>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</si>
  <si>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</si>
  <si>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</si>
  <si>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</si>
  <si>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</si>
  <si>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</si>
  <si>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</si>
  <si>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</si>
  <si>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</si>
  <si>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</si>
  <si>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</si>
  <si>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</si>
  <si>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</si>
  <si>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</si>
  <si>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</si>
  <si>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</si>
  <si>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</si>
  <si>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</si>
  <si>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</si>
  <si>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</si>
  <si>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</si>
  <si>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</si>
  <si>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</si>
  <si>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</si>
  <si>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</si>
  <si>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</si>
  <si>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</si>
  <si>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</si>
  <si>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</si>
  <si>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</si>
  <si>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</si>
  <si>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</si>
  <si>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</si>
  <si>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</si>
  <si>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</si>
  <si>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</si>
  <si>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</si>
  <si>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</si>
  <si>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</si>
  <si>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</si>
  <si>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</si>
  <si>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</si>
  <si>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</si>
  <si>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</si>
  <si>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</si>
  <si>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</si>
  <si>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</si>
  <si>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</si>
  <si>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</si>
  <si>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</si>
  <si>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</si>
  <si>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</si>
  <si>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</si>
  <si>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</si>
  <si>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</si>
  <si>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</si>
  <si>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</si>
  <si>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</si>
  <si>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</si>
  <si>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</si>
  <si>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</si>
  <si>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</si>
  <si>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</si>
  <si>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</si>
  <si>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</si>
  <si>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</si>
  <si>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</si>
  <si>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</si>
  <si>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</si>
  <si>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</si>
  <si>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</si>
  <si>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</si>
  <si>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</si>
  <si>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</si>
  <si>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</si>
  <si>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</si>
  <si>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</si>
  <si>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</si>
  <si>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</si>
  <si>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</si>
  <si>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</si>
  <si>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</si>
  <si>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</si>
  <si>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</si>
  <si>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</si>
  <si>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</si>
  <si>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</si>
  <si>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</si>
  <si>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</si>
  <si>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</si>
  <si>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</si>
  <si>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</si>
  <si>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</si>
  <si>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</si>
  <si>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</si>
  <si>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</si>
  <si>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</si>
  <si>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</si>
  <si>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</si>
  <si>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</si>
  <si>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</si>
  <si>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</si>
  <si>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</si>
  <si>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</si>
  <si>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</si>
  <si>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</si>
  <si>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</si>
  <si>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</si>
  <si>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</si>
  <si>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</si>
  <si>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</si>
  <si>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</si>
  <si>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</si>
  <si>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</si>
  <si>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</si>
  <si>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</si>
  <si>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</si>
  <si>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</si>
  <si>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</si>
  <si>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</si>
  <si>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</si>
  <si>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</si>
  <si>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</si>
  <si>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</si>
  <si>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</si>
  <si>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</si>
  <si>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</si>
  <si>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</si>
  <si>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</si>
  <si>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</si>
  <si>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</si>
  <si>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</si>
  <si>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</si>
  <si>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</si>
  <si>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</si>
  <si>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</si>
  <si>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</si>
  <si>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</si>
  <si>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</si>
  <si>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</si>
  <si>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</si>
  <si>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</si>
  <si>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</si>
  <si>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</si>
  <si>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</si>
  <si>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</si>
  <si>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</si>
  <si>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</si>
  <si>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</si>
  <si>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</si>
  <si>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</si>
  <si>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</si>
  <si>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</si>
  <si>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</si>
  <si>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</si>
  <si>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</si>
  <si>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</si>
  <si>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</si>
  <si>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</si>
  <si>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</si>
  <si>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</si>
  <si>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</si>
  <si>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</si>
  <si>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</si>
  <si>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</si>
  <si>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</si>
  <si>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</si>
  <si>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</si>
  <si>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</si>
  <si>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</si>
  <si>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</si>
  <si>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</si>
  <si>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</si>
  <si>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</si>
  <si>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</si>
  <si>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</si>
  <si>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</si>
  <si>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</si>
  <si>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</si>
  <si>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</si>
  <si>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</si>
  <si>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</si>
  <si>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</si>
  <si>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</si>
  <si>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</si>
  <si>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</si>
  <si>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</si>
  <si>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</si>
  <si>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</si>
  <si>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</si>
  <si>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</si>
  <si>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</si>
  <si>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</si>
  <si>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</si>
  <si>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</si>
  <si>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</si>
  <si>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</si>
  <si>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</si>
  <si>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</si>
  <si>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</si>
  <si>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</si>
  <si>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</si>
  <si>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</si>
  <si>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</si>
  <si>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</si>
  <si>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</si>
  <si>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</si>
  <si>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</si>
  <si>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</si>
  <si>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</si>
  <si>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</si>
  <si>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</si>
  <si>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</si>
  <si>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</si>
  <si>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</si>
  <si>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</si>
  <si>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</si>
  <si>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</si>
  <si>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</si>
  <si>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</si>
  <si>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</si>
  <si>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</si>
  <si>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</si>
  <si>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</si>
  <si>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</si>
  <si>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</si>
  <si>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</si>
  <si>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</si>
  <si>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</si>
  <si>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</si>
  <si>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</si>
  <si>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</si>
  <si>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</si>
  <si>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</si>
  <si>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</si>
  <si>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</si>
  <si>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</si>
  <si>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</si>
  <si>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</si>
  <si>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</si>
  <si>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</si>
  <si>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</si>
  <si>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</si>
  <si>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</si>
  <si>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</si>
  <si>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</si>
  <si>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</si>
  <si>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</si>
  <si>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</si>
  <si>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</si>
  <si>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</si>
  <si>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</si>
  <si>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</si>
  <si>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</si>
  <si>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</si>
  <si>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</si>
  <si>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</si>
  <si>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</si>
  <si>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</si>
  <si>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</si>
  <si>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</si>
  <si>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</si>
  <si>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</si>
  <si>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</si>
  <si>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</si>
  <si>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</si>
  <si>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</si>
  <si>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</si>
  <si>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</si>
  <si>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</si>
  <si>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</si>
  <si>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</si>
  <si>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</si>
  <si>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</si>
  <si>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</si>
  <si>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</si>
  <si>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</si>
  <si>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</si>
  <si>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</si>
  <si>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</si>
  <si>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</si>
  <si>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</si>
  <si>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</si>
  <si>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</si>
  <si>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</si>
  <si>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</si>
  <si>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</si>
  <si>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</si>
  <si>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</si>
  <si>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</si>
  <si>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</si>
  <si>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</si>
  <si>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</si>
  <si>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</si>
  <si>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</si>
  <si>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</si>
  <si>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</si>
  <si>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</si>
  <si>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</si>
  <si>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</si>
  <si>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</si>
  <si>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</si>
  <si>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</si>
  <si>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</si>
  <si>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</si>
  <si>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</si>
  <si>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</si>
  <si>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</si>
  <si>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</si>
  <si>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</si>
  <si>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</si>
  <si>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</si>
  <si>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</si>
  <si>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</si>
  <si>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</si>
  <si>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</si>
  <si>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</si>
  <si>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</si>
  <si>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</si>
  <si>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</si>
  <si>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</si>
  <si>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</si>
  <si>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</si>
  <si>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</si>
  <si>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</si>
  <si>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</si>
  <si>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</si>
  <si>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</si>
  <si>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</si>
  <si>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</si>
  <si>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</si>
  <si>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</si>
  <si>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</si>
  <si>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</si>
  <si>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</si>
  <si>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</si>
  <si>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</si>
  <si>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</si>
  <si>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</si>
  <si>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</si>
  <si>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</si>
  <si>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</si>
  <si>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</si>
  <si>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</si>
  <si>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</si>
  <si>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</si>
  <si>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</si>
  <si>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</si>
  <si>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</si>
  <si>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</si>
  <si>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</si>
  <si>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</si>
  <si>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</si>
  <si>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</si>
  <si>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</si>
  <si>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</si>
  <si>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</si>
  <si>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</si>
  <si>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</si>
  <si>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</si>
  <si>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</si>
  <si>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</si>
  <si>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</si>
  <si>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</si>
  <si>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</si>
  <si>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</si>
  <si>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</si>
  <si>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</si>
  <si>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</si>
  <si>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</si>
  <si>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</si>
  <si>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</si>
  <si>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</si>
  <si>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</si>
  <si>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</si>
  <si>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</si>
  <si>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</si>
  <si>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</si>
  <si>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</si>
  <si>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</si>
  <si>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</si>
  <si>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</si>
  <si>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</si>
  <si>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</si>
  <si>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</si>
  <si>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</si>
  <si>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</si>
  <si>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</si>
  <si>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</si>
  <si>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</si>
  <si>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</si>
  <si>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</si>
  <si>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</si>
  <si>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</si>
  <si>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</si>
  <si>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</si>
  <si>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</si>
  <si>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</si>
  <si>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</si>
  <si>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</si>
  <si>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</si>
  <si>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</si>
  <si>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</si>
  <si>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</si>
  <si>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</si>
  <si>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</si>
  <si>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</si>
  <si>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</si>
  <si>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</si>
  <si>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</si>
  <si>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</si>
  <si>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</si>
  <si>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</si>
  <si>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</si>
  <si>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</si>
  <si>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</si>
  <si>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</si>
  <si>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</si>
  <si>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</si>
  <si>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</si>
  <si>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</si>
  <si>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</si>
  <si>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</si>
  <si>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</si>
  <si>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</si>
  <si>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</si>
  <si>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</si>
  <si>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</si>
  <si>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</si>
  <si>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</si>
  <si>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</si>
  <si>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</si>
  <si>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</si>
  <si>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</si>
  <si>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</si>
  <si>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</si>
  <si>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</si>
  <si>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</si>
  <si>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</si>
  <si>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</si>
  <si>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</si>
  <si>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</si>
  <si>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</si>
  <si>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</si>
  <si>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</si>
  <si>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</si>
  <si>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</si>
  <si>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</si>
  <si>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</si>
  <si>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</si>
  <si>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</si>
  <si>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</si>
  <si>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</si>
  <si>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</si>
  <si>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</si>
  <si>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</si>
  <si>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</si>
  <si>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</si>
  <si>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</si>
  <si>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</si>
  <si>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</si>
  <si>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</si>
  <si>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</si>
  <si>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</si>
  <si>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</si>
  <si>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</si>
  <si>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</si>
  <si>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</si>
  <si>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</si>
  <si>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</si>
  <si>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</si>
  <si>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</si>
  <si>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</si>
  <si>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</si>
  <si>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</si>
  <si>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</si>
  <si>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</si>
  <si>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</si>
  <si>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</si>
  <si>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</si>
  <si>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</si>
  <si>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</si>
  <si>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</si>
  <si>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</si>
  <si>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</si>
  <si>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</si>
  <si>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</si>
  <si>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</si>
  <si>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</si>
  <si>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</si>
  <si>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</si>
  <si>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</si>
  <si>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</si>
  <si>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</si>
  <si>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</si>
  <si>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</si>
  <si>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</si>
  <si>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</si>
  <si>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</si>
  <si>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</si>
  <si>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</si>
  <si>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</si>
  <si>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</si>
  <si>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</si>
  <si>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</si>
  <si>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</si>
  <si>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</si>
  <si>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</si>
  <si>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</si>
  <si>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</si>
  <si>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</si>
  <si>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</si>
  <si>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</si>
  <si>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</si>
  <si>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</si>
  <si>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</si>
  <si>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</si>
  <si>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</si>
  <si>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</si>
  <si>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</si>
  <si>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</si>
  <si>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</si>
  <si>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</si>
  <si>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</si>
  <si>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</si>
  <si>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</si>
  <si>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</si>
  <si>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</si>
  <si>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</si>
  <si>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</si>
  <si>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</si>
  <si>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</si>
  <si>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</si>
  <si>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</si>
  <si>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</si>
  <si>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</si>
  <si>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</si>
  <si>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</si>
  <si>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</si>
  <si>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</si>
  <si>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</si>
  <si>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</si>
  <si>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</si>
  <si>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</si>
  <si>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</si>
  <si>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</si>
  <si>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</si>
  <si>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</si>
  <si>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</si>
  <si>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</si>
  <si>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</si>
  <si>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</si>
  <si>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</si>
  <si>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</si>
  <si>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</si>
  <si>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</si>
  <si>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</si>
  <si>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</si>
  <si>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</si>
  <si>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</si>
  <si>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</si>
  <si>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</si>
  <si>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</si>
  <si>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</si>
  <si>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</si>
  <si>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</si>
  <si>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</si>
  <si>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</si>
  <si>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</si>
  <si>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</si>
  <si>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</si>
  <si>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</si>
  <si>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</si>
  <si>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</si>
  <si>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</si>
  <si>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</si>
  <si>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</si>
  <si>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</si>
  <si>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</si>
  <si>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</si>
  <si>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</si>
  <si>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</si>
  <si>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</si>
  <si>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</si>
  <si>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</si>
  <si>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</si>
  <si>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</si>
  <si>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</si>
  <si>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</si>
  <si>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</si>
  <si>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</si>
  <si>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</si>
  <si>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</si>
  <si>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</si>
  <si>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</si>
  <si>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</si>
  <si>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</si>
  <si>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</si>
  <si>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</si>
  <si>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</si>
  <si>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</si>
  <si>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</si>
  <si>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</si>
  <si>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</si>
  <si>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</si>
  <si>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</si>
  <si>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</si>
  <si>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</si>
  <si>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</si>
  <si>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</si>
  <si>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</si>
  <si>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</si>
  <si>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</si>
  <si>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</si>
  <si>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</si>
  <si>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</si>
  <si>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</si>
  <si>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</si>
  <si>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</si>
  <si>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</si>
  <si>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</si>
  <si>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</si>
  <si>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</si>
  <si>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</si>
  <si>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</si>
  <si>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</si>
  <si>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</si>
  <si>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</si>
  <si>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</si>
  <si>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</si>
  <si>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</si>
  <si>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</si>
  <si>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</si>
  <si>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</si>
  <si>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</si>
  <si>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</si>
  <si>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</si>
  <si>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</si>
  <si>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</si>
  <si>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</si>
  <si>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</si>
  <si>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</si>
  <si>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</si>
  <si>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</si>
  <si>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</si>
  <si>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</si>
  <si>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</si>
  <si>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</si>
  <si>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</si>
  <si>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</si>
  <si>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</si>
  <si>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</si>
  <si>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</si>
  <si>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</si>
  <si>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</si>
  <si>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</si>
  <si>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</si>
  <si>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</si>
  <si>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</si>
  <si>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</si>
  <si>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</si>
  <si>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</si>
  <si>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</si>
  <si>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</si>
  <si>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</si>
  <si>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</si>
  <si>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</si>
  <si>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</si>
  <si>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</si>
  <si>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</si>
  <si>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</si>
  <si>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</si>
  <si>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</si>
  <si>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</si>
  <si>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</si>
  <si>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</si>
  <si>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</si>
  <si>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</si>
  <si>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</si>
  <si>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</si>
  <si>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</si>
  <si>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</si>
  <si>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</si>
  <si>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</si>
  <si>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</si>
  <si>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</si>
  <si>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</si>
  <si>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</si>
  <si>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</si>
  <si>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</si>
  <si>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</si>
  <si>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</si>
  <si>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</si>
  <si>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</si>
  <si>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</si>
  <si>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</si>
  <si>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</si>
  <si>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</si>
  <si>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</si>
  <si>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</si>
  <si>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</si>
  <si>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</si>
  <si>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</si>
  <si>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</si>
  <si>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</si>
  <si>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</si>
  <si>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</si>
  <si>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</si>
  <si>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</si>
  <si>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</si>
  <si>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</si>
  <si>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</si>
  <si>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</si>
  <si>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</si>
  <si>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</si>
  <si>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</si>
  <si>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</si>
  <si>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</si>
  <si>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</si>
  <si>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</si>
  <si>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</si>
  <si>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</si>
  <si>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</si>
  <si>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</si>
  <si>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</si>
  <si>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</si>
  <si>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</si>
  <si>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</si>
  <si>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</si>
  <si>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</si>
  <si>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</si>
  <si>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</si>
  <si>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</si>
  <si>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</si>
  <si>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</si>
  <si>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</si>
  <si>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</si>
  <si>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</si>
  <si>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</si>
  <si>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</si>
  <si>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</si>
  <si>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</si>
  <si>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</si>
  <si>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</si>
  <si>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</si>
  <si>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</si>
  <si>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</si>
  <si>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</si>
  <si>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</si>
  <si>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</si>
  <si>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</si>
  <si>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</si>
  <si>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</si>
  <si>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</si>
  <si>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</si>
  <si>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</si>
  <si>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</si>
  <si>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</si>
  <si>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</si>
  <si>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</si>
  <si>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</si>
  <si>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</si>
  <si>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</si>
  <si>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</si>
  <si>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</si>
  <si>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</si>
  <si>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</si>
  <si>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</si>
  <si>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</si>
  <si>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</si>
  <si>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</si>
  <si>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</si>
  <si>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</si>
  <si>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</si>
  <si>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</si>
  <si>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</si>
  <si>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</si>
  <si>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</si>
  <si>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</si>
  <si>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</si>
  <si>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</si>
  <si>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</si>
  <si>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</si>
  <si>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</si>
  <si>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</si>
  <si>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</si>
  <si>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</si>
  <si>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</si>
  <si>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</si>
  <si>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</si>
  <si>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</si>
  <si>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</si>
  <si>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</si>
  <si>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</si>
  <si>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</si>
  <si>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</si>
  <si>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</si>
  <si>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</si>
  <si>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</si>
  <si>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</si>
  <si>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</si>
  <si>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</si>
  <si>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</si>
  <si>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</si>
  <si>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</si>
  <si>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</si>
  <si>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</si>
  <si>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</si>
  <si>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</si>
  <si>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</si>
  <si>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</si>
  <si>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</si>
  <si>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</si>
  <si>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</si>
  <si>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</si>
  <si>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</si>
  <si>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</si>
  <si>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</si>
  <si>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</si>
  <si>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</si>
  <si>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</si>
  <si>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</si>
  <si>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</si>
  <si>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</si>
  <si>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</si>
  <si>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</si>
  <si>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</si>
  <si>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</si>
  <si>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</si>
  <si>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</si>
  <si>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</si>
  <si>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</si>
  <si>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</si>
  <si>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</si>
  <si>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</si>
  <si>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</si>
  <si>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</si>
  <si>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</si>
  <si>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</si>
  <si>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</si>
  <si>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</si>
  <si>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</si>
  <si>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</si>
  <si>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</si>
  <si>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</si>
  <si>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</si>
  <si>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</si>
  <si>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</si>
  <si>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</si>
  <si>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</si>
  <si>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</si>
  <si>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</si>
  <si>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</si>
  <si>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</si>
  <si>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</si>
  <si>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</si>
  <si>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</si>
  <si>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</si>
  <si>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</si>
  <si>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</si>
  <si>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</si>
  <si>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</si>
  <si>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</si>
  <si>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</si>
  <si>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</si>
  <si>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</si>
  <si>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</si>
  <si>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</si>
  <si>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</si>
  <si>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</si>
  <si>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</si>
  <si>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</si>
  <si>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</si>
  <si>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</si>
  <si>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</si>
  <si>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</si>
  <si>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</si>
  <si>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</si>
  <si>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</si>
  <si>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</si>
  <si>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</si>
  <si>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</si>
  <si>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</si>
  <si>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</si>
  <si>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</si>
  <si>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</si>
  <si>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</si>
  <si>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</si>
  <si>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</si>
  <si>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</si>
  <si>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</si>
  <si>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</si>
  <si>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</si>
  <si>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</si>
  <si>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</si>
  <si>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</si>
  <si>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</si>
  <si>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</si>
  <si>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</si>
  <si>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</si>
  <si>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</si>
  <si>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</si>
  <si>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</si>
  <si>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</si>
  <si>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</si>
  <si>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</si>
  <si>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</si>
  <si>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</si>
  <si>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</si>
  <si>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</si>
  <si>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</si>
  <si>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</si>
  <si>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</si>
  <si>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</si>
  <si>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</si>
  <si>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</si>
  <si>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</si>
  <si>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</si>
  <si>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</si>
  <si>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</si>
  <si>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</si>
  <si>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</si>
  <si>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</si>
  <si>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</si>
  <si>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</si>
  <si>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</si>
  <si>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</si>
  <si>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</si>
  <si>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</si>
  <si>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</si>
  <si>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</si>
  <si>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</si>
  <si>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</si>
  <si>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</si>
  <si>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</si>
  <si>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</si>
  <si>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</si>
  <si>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</si>
  <si>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</si>
  <si>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</si>
  <si>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</si>
  <si>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</si>
  <si>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</si>
  <si>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</si>
  <si>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</si>
  <si>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</si>
  <si>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</si>
  <si>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</si>
  <si>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</si>
  <si>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</si>
  <si>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</si>
  <si>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</si>
  <si>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</si>
  <si>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</si>
  <si>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</si>
  <si>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</si>
  <si>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</si>
  <si>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</si>
  <si>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</si>
  <si>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</si>
  <si>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</si>
  <si>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</si>
  <si>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</si>
  <si>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</si>
  <si>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</si>
  <si>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</si>
  <si>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</si>
  <si>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</si>
  <si>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</si>
  <si>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</si>
  <si>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</si>
  <si>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</si>
  <si>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</si>
  <si>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</si>
  <si>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</si>
  <si>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</si>
  <si>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</si>
  <si>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</si>
  <si>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</si>
  <si>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</si>
  <si>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</si>
  <si>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</si>
  <si>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</si>
  <si>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</si>
  <si>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</si>
  <si>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</si>
  <si>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</si>
  <si>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</si>
  <si>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</si>
  <si>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</si>
  <si>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</si>
  <si>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</si>
  <si>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</si>
  <si>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</si>
  <si>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</si>
  <si>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</si>
  <si>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</si>
  <si>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</si>
  <si>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</si>
  <si>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</si>
  <si>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</si>
  <si>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</si>
  <si>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</si>
  <si>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</si>
  <si>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</si>
  <si>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</si>
  <si>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</si>
  <si>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</si>
  <si>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</si>
  <si>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</si>
  <si>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</si>
  <si>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</si>
  <si>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</si>
  <si>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</si>
  <si>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</si>
  <si>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</si>
  <si>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</si>
  <si>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</si>
  <si>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</si>
  <si>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</si>
  <si>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</si>
  <si>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</si>
  <si>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</si>
  <si>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</si>
  <si>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</si>
  <si>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</si>
  <si>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</si>
  <si>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</si>
  <si>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</si>
  <si>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</si>
  <si>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</si>
  <si>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</si>
  <si>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</si>
  <si>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</si>
  <si>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</si>
  <si>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</si>
  <si>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</si>
  <si>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</si>
  <si>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</si>
  <si>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</si>
  <si>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</si>
  <si>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</si>
  <si>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</si>
  <si>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</si>
  <si>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</si>
  <si>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</si>
  <si>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</si>
  <si>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</si>
  <si>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</si>
  <si>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</si>
  <si>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</si>
  <si>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</si>
  <si>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</si>
  <si>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</si>
  <si>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</si>
  <si>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</si>
  <si>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</si>
  <si>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</si>
  <si>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</si>
  <si>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</si>
  <si>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</si>
  <si>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</si>
  <si>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</si>
  <si>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</si>
  <si>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</si>
  <si>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</si>
  <si>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</si>
  <si>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</si>
  <si>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</si>
  <si>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</si>
  <si>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</si>
  <si>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</si>
  <si>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</si>
  <si>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</si>
  <si>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</si>
  <si>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</si>
  <si>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</si>
  <si>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</si>
  <si>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</si>
  <si>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</si>
  <si>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</si>
  <si>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</si>
  <si>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</si>
  <si>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</si>
  <si>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</si>
  <si>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</si>
  <si>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</si>
  <si>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</si>
  <si>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</si>
  <si>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</si>
  <si>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</si>
  <si>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</si>
  <si>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</si>
  <si>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</si>
  <si>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</si>
  <si>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</si>
  <si>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</si>
  <si>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</si>
  <si>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</si>
  <si>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</si>
  <si>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</si>
  <si>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</si>
  <si>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</si>
  <si>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</si>
  <si>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</si>
  <si>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</si>
  <si>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</si>
  <si>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</si>
  <si>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</si>
  <si>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</si>
  <si>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</si>
  <si>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</si>
  <si>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</si>
  <si>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</si>
  <si>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</si>
  <si>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</si>
  <si>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</si>
  <si>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</si>
  <si>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</si>
  <si>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</si>
  <si>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</si>
  <si>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</si>
  <si>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</si>
  <si>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</si>
  <si>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</si>
  <si>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</si>
  <si>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</si>
  <si>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</si>
  <si>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</si>
  <si>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</si>
  <si>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</si>
  <si>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</si>
  <si>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</si>
  <si>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</si>
  <si>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</si>
  <si>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</si>
  <si>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</si>
  <si>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</si>
  <si>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</si>
  <si>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</si>
  <si>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</si>
  <si>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</si>
  <si>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</si>
  <si>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</si>
  <si>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</si>
  <si>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</si>
  <si>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</si>
  <si>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</si>
  <si>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</si>
  <si>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</si>
  <si>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</si>
  <si>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</si>
  <si>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</si>
  <si>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</si>
  <si>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</si>
  <si>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</si>
  <si>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</si>
  <si>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</si>
  <si>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</si>
  <si>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</si>
  <si>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</si>
  <si>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</si>
  <si>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</si>
  <si>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</si>
  <si>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</si>
  <si>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</si>
  <si>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</si>
  <si>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</si>
  <si>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</si>
  <si>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</si>
  <si>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</si>
  <si>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</si>
  <si>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</si>
  <si>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</si>
  <si>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</si>
  <si>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</si>
  <si>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</si>
  <si>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</si>
  <si>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</si>
  <si>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</si>
  <si>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</si>
  <si>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</si>
  <si>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</si>
  <si>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</si>
  <si>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</si>
  <si>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</si>
  <si>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</si>
  <si>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</si>
  <si>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</si>
  <si>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</si>
  <si>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</si>
  <si>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</si>
  <si>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</si>
  <si>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</si>
  <si>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</si>
  <si>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</si>
  <si>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</si>
  <si>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</si>
  <si>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</si>
  <si>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</si>
  <si>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</si>
  <si>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</si>
  <si>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</si>
  <si>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</si>
  <si>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</si>
  <si>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</si>
  <si>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</si>
  <si>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</si>
  <si>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</si>
  <si>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</si>
  <si>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</si>
  <si>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</si>
  <si>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</si>
  <si>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</si>
  <si>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</si>
  <si>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</si>
  <si>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</si>
  <si>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</si>
  <si>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</si>
  <si>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</si>
  <si>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</si>
  <si>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</si>
  <si>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</si>
  <si>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</si>
  <si>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</si>
  <si>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</si>
  <si>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</si>
  <si>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</si>
  <si>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</si>
  <si>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</si>
  <si>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</si>
  <si>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</si>
  <si>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</si>
  <si>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</si>
  <si>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</si>
  <si>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</si>
  <si>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</si>
  <si>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</si>
  <si>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</si>
  <si>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</si>
  <si>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</si>
  <si>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</si>
  <si>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</si>
  <si>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</si>
  <si>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</si>
  <si>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</si>
  <si>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</si>
  <si>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</si>
  <si>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</si>
  <si>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</si>
  <si>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</si>
  <si>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</si>
  <si>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</si>
  <si>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</si>
  <si>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</si>
  <si>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</si>
  <si>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</si>
  <si>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</si>
  <si>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</si>
  <si>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</si>
  <si>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</si>
  <si>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</si>
  <si>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</si>
  <si>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</si>
  <si>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</si>
  <si>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</si>
  <si>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</si>
  <si>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</si>
  <si>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</si>
  <si>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</si>
  <si>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</si>
  <si>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</si>
  <si>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</si>
  <si>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</si>
  <si>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</si>
  <si>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</si>
  <si>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</si>
  <si>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</si>
  <si>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</si>
  <si>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</si>
  <si>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</si>
  <si>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</si>
  <si>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</si>
  <si>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</si>
  <si>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</si>
  <si>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</si>
  <si>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</si>
  <si>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</si>
  <si>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</si>
  <si>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</si>
  <si>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</si>
  <si>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</si>
  <si>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</si>
  <si>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</si>
  <si>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</si>
  <si>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</si>
  <si>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</si>
  <si>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</si>
  <si>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</si>
  <si>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</si>
  <si>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</si>
  <si>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</si>
  <si>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</si>
  <si>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</si>
  <si>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</si>
  <si>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</si>
  <si>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</si>
  <si>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</si>
  <si>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</si>
  <si>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</si>
  <si>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</si>
  <si>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</si>
  <si>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</si>
  <si>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</si>
  <si>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</si>
  <si>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</si>
  <si>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</si>
  <si>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</si>
  <si>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</si>
  <si>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</si>
  <si>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</si>
  <si>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</si>
  <si>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</si>
  <si>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</si>
  <si>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</si>
  <si>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</si>
  <si>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</si>
  <si>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</si>
  <si>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</si>
  <si>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</si>
  <si>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</si>
  <si>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</si>
  <si>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</si>
  <si>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</si>
  <si>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</si>
  <si>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</si>
  <si>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</si>
  <si>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</si>
  <si>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</si>
  <si>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</si>
  <si>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</si>
  <si>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</si>
  <si>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</si>
  <si>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</si>
  <si>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</si>
  <si>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</si>
  <si>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</si>
  <si>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</si>
  <si>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</si>
  <si>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</si>
  <si>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</si>
  <si>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</si>
  <si>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</si>
  <si>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</si>
  <si>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</si>
  <si>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</si>
  <si>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</si>
  <si>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</si>
  <si>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</si>
  <si>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</si>
  <si>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</si>
  <si>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</si>
  <si>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</si>
  <si>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</si>
  <si>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</si>
  <si>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</si>
  <si>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</si>
  <si>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</si>
  <si>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</si>
  <si>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</si>
  <si>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</si>
  <si>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</si>
  <si>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</si>
  <si>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</si>
  <si>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</si>
  <si>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</si>
  <si>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</si>
  <si>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</si>
  <si>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</si>
  <si>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</si>
  <si>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</si>
  <si>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</si>
  <si>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</si>
  <si>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</si>
  <si>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</si>
  <si>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</si>
  <si>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</si>
  <si>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</si>
  <si>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</si>
  <si>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</si>
  <si>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</si>
  <si>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</si>
  <si>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</si>
  <si>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</si>
  <si>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</si>
  <si>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</si>
  <si>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</si>
  <si>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</si>
  <si>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</si>
  <si>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</si>
  <si>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</si>
  <si>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</si>
  <si>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</si>
  <si>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</si>
  <si>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</si>
  <si>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</si>
  <si>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</si>
  <si>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</si>
  <si>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</si>
  <si>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</si>
  <si>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</si>
  <si>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</si>
  <si>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</si>
  <si>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</si>
  <si>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</si>
  <si>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</si>
  <si>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</si>
  <si>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</si>
  <si>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</si>
  <si>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</si>
  <si>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</si>
  <si>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</si>
  <si>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</si>
  <si>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</si>
  <si>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</si>
  <si>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</si>
  <si>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</si>
  <si>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</si>
  <si>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</si>
  <si>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</si>
  <si>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</si>
  <si>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</si>
  <si>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</si>
  <si>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</si>
  <si>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</si>
  <si>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</si>
  <si>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</si>
  <si>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</si>
  <si>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</si>
  <si>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</si>
  <si>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</si>
  <si>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</si>
  <si>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</si>
  <si>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</si>
  <si>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</si>
  <si>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</si>
  <si>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</si>
  <si>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</si>
  <si>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</si>
  <si>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</si>
  <si>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</si>
  <si>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</si>
  <si>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</si>
  <si>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</si>
  <si>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</si>
  <si>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</si>
  <si>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</si>
  <si>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</si>
  <si>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</si>
  <si>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</si>
  <si>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</si>
  <si>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</si>
  <si>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</si>
  <si>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</si>
  <si>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</si>
  <si>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</si>
  <si>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</si>
  <si>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</si>
  <si>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</si>
  <si>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</si>
  <si>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</si>
  <si>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</si>
  <si>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</si>
  <si>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</si>
  <si>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</si>
  <si>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</si>
  <si>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</si>
  <si>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</si>
  <si>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</si>
  <si>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</si>
  <si>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</si>
  <si>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</si>
  <si>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</si>
  <si>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</si>
  <si>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</si>
  <si>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</si>
  <si>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</si>
  <si>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</si>
  <si>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</si>
  <si>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</si>
  <si>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</si>
  <si>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</si>
  <si>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</si>
  <si>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</si>
  <si>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</si>
  <si>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</si>
  <si>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</si>
  <si>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</si>
  <si>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</si>
  <si>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</si>
  <si>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</si>
  <si>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</si>
  <si>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</si>
  <si>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</si>
  <si>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</si>
  <si>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</si>
  <si>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</si>
  <si>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</si>
  <si>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</si>
  <si>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</si>
  <si>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</si>
  <si>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</si>
  <si>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</si>
  <si>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</si>
  <si>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</si>
  <si>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</si>
  <si>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</si>
  <si>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</si>
  <si>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</si>
  <si>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</si>
  <si>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</si>
  <si>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</si>
  <si>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</si>
  <si>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</si>
  <si>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</si>
  <si>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</si>
  <si>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</si>
  <si>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</si>
  <si>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</si>
  <si>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</si>
  <si>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</si>
  <si>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</si>
  <si>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</si>
  <si>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</si>
  <si>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</si>
  <si>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</si>
  <si>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</si>
  <si>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</si>
  <si>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</si>
  <si>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</si>
  <si>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</si>
  <si>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</si>
  <si>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</si>
  <si>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</si>
  <si>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</si>
  <si>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</si>
  <si>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</si>
  <si>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</si>
  <si>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</si>
  <si>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</si>
  <si>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</si>
  <si>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</si>
  <si>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</si>
  <si>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</si>
  <si>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</si>
  <si>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</si>
  <si>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</si>
  <si>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</si>
  <si>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</si>
  <si>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</si>
  <si>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</si>
  <si>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</si>
  <si>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</si>
  <si>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</si>
  <si>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</si>
  <si>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</si>
  <si>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</si>
  <si>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</si>
  <si>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</si>
  <si>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</si>
  <si>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</si>
  <si>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</si>
  <si>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</si>
  <si>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</si>
  <si>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</si>
  <si>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</si>
  <si>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</si>
  <si>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</si>
  <si>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</si>
  <si>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</si>
  <si>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</si>
  <si>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</si>
  <si>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</si>
  <si>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</si>
  <si>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</si>
  <si>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</si>
  <si>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</si>
  <si>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</si>
  <si>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</si>
  <si>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</si>
  <si>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</si>
  <si>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</si>
  <si>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</si>
  <si>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</si>
  <si>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</si>
  <si>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</si>
  <si>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</si>
  <si>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</si>
  <si>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</si>
  <si>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</si>
  <si>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</si>
  <si>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</si>
  <si>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</si>
  <si>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</si>
  <si>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</si>
  <si>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</si>
  <si>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</si>
  <si>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</si>
  <si>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</si>
  <si>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</si>
  <si>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</si>
  <si>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</si>
  <si>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</si>
  <si>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</si>
  <si>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</si>
  <si>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</si>
  <si>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</si>
  <si>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</si>
  <si>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</si>
  <si>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</si>
  <si>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</si>
  <si>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</si>
  <si>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</si>
  <si>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</si>
  <si>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</si>
  <si>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</si>
  <si>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</si>
  <si>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</si>
  <si>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</si>
  <si>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</si>
  <si>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</si>
  <si>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</si>
  <si>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</si>
  <si>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</si>
  <si>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</si>
  <si>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</si>
  <si>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</si>
  <si>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</si>
  <si>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</si>
  <si>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</si>
  <si>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</si>
  <si>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</si>
  <si>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</si>
  <si>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</si>
  <si>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</si>
  <si>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</si>
  <si>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</si>
  <si>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</si>
  <si>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</si>
  <si>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</si>
  <si>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</si>
  <si>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</si>
  <si>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</si>
  <si>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</si>
  <si>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</si>
  <si>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</si>
  <si>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</si>
  <si>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</si>
  <si>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</si>
  <si>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</si>
  <si>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</si>
  <si>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</si>
  <si>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</si>
  <si>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</si>
  <si>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</si>
  <si>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</si>
  <si>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</si>
  <si>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</si>
  <si>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</si>
  <si>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</si>
  <si>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</si>
  <si>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</si>
  <si>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</si>
  <si>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</si>
  <si>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</si>
  <si>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</si>
  <si>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</si>
  <si>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</si>
  <si>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</si>
  <si>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</si>
  <si>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</si>
  <si>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</si>
  <si>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</si>
  <si>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</si>
  <si>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</si>
  <si>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</si>
  <si>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</si>
  <si>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</si>
  <si>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</si>
  <si>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</si>
  <si>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</si>
  <si>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</si>
  <si>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</si>
  <si>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</si>
  <si>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</si>
  <si>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</si>
  <si>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</si>
  <si>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</si>
  <si>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</si>
  <si>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</si>
  <si>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</si>
  <si>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</si>
  <si>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</si>
  <si>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</si>
  <si>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</si>
  <si>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</si>
  <si>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</si>
  <si>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</si>
  <si>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</si>
  <si>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</si>
  <si>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</si>
  <si>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</si>
  <si>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</si>
  <si>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</si>
  <si>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</si>
  <si>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</si>
  <si>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</si>
  <si>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</si>
  <si>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</si>
  <si>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</si>
  <si>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</si>
  <si>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</si>
  <si>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</si>
  <si>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</si>
  <si>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</si>
  <si>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</si>
  <si>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</si>
  <si>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</si>
  <si>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</si>
  <si>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</si>
  <si>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</si>
  <si>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</si>
  <si>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</si>
  <si>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</si>
  <si>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</si>
  <si>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</si>
  <si>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</si>
  <si>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</si>
  <si>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</si>
  <si>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</si>
  <si>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</si>
  <si>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</si>
  <si>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</si>
  <si>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</si>
  <si>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</si>
  <si>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</si>
  <si>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</si>
  <si>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</si>
  <si>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</si>
  <si>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</si>
  <si>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</si>
  <si>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</si>
  <si>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</si>
  <si>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</si>
  <si>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</si>
  <si>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</si>
  <si>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</si>
  <si>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</si>
  <si>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</si>
  <si>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</si>
  <si>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</si>
  <si>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</si>
  <si>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</si>
  <si>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</si>
  <si>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</si>
  <si>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</si>
  <si>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</si>
  <si>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</si>
  <si>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</si>
  <si>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</si>
  <si>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</si>
  <si>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</si>
  <si>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</si>
  <si>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</si>
  <si>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</si>
  <si>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</si>
  <si>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</si>
  <si>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</si>
  <si>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</si>
  <si>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</si>
  <si>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</si>
  <si>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</si>
  <si>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</si>
  <si>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</si>
  <si>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</si>
  <si>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</si>
  <si>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</si>
  <si>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</si>
  <si>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</si>
  <si>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</si>
  <si>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</si>
  <si>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</si>
  <si>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</si>
  <si>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</si>
  <si>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</si>
  <si>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</si>
  <si>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</si>
  <si>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</si>
  <si>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</si>
  <si>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</si>
  <si>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</si>
  <si>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</si>
  <si>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</si>
  <si>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</si>
  <si>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</si>
  <si>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</si>
  <si>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</si>
  <si>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</si>
  <si>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</si>
  <si>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</si>
  <si>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</si>
  <si>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</si>
  <si>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</si>
  <si>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</si>
  <si>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</si>
  <si>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</si>
  <si>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</si>
  <si>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</si>
  <si>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</si>
  <si>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</si>
  <si>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</si>
  <si>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</si>
  <si>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</si>
  <si>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</si>
  <si>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</si>
  <si>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</si>
  <si>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</si>
  <si>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</si>
  <si>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</si>
  <si>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</si>
  <si>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</si>
  <si>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</si>
  <si>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</si>
  <si>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</si>
  <si>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</si>
  <si>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</si>
  <si>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</si>
  <si>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</si>
  <si>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</si>
  <si>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</si>
  <si>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</si>
  <si>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</si>
  <si>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</si>
  <si>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</si>
  <si>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</si>
  <si>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</si>
  <si>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</si>
  <si>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</si>
  <si>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</si>
  <si>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</si>
  <si>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</si>
  <si>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</si>
  <si>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</si>
  <si>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</si>
  <si>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</si>
  <si>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</si>
  <si>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</si>
  <si>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</si>
  <si>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</si>
  <si>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</si>
  <si>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</si>
  <si>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</si>
  <si>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</si>
  <si>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</si>
  <si>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</si>
  <si>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</si>
  <si>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</si>
  <si>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</si>
  <si>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</si>
  <si>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</si>
  <si>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</si>
  <si>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</si>
  <si>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</si>
  <si>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</si>
  <si>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</si>
  <si>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</si>
  <si>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</si>
  <si>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</si>
  <si>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</si>
  <si>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</si>
  <si>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</si>
  <si>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</si>
  <si>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</si>
  <si>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</si>
  <si>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</si>
  <si>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</si>
  <si>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</si>
  <si>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</si>
  <si>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</si>
  <si>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</si>
  <si>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</si>
  <si>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</si>
  <si>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</si>
  <si>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</si>
  <si>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</si>
  <si>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</si>
  <si>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</si>
  <si>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</si>
  <si>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</si>
  <si>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</si>
  <si>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</si>
  <si>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</si>
  <si>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</si>
  <si>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</si>
  <si>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</si>
  <si>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</si>
  <si>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</si>
  <si>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</si>
  <si>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</si>
  <si>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</si>
  <si>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</si>
  <si>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</si>
  <si>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</si>
  <si>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</si>
  <si>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</si>
  <si>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</si>
  <si>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</si>
  <si>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</si>
  <si>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</si>
  <si>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</si>
  <si>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</si>
  <si>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</si>
  <si>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</si>
  <si>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</si>
  <si>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</si>
  <si>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</si>
  <si>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</si>
  <si>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</si>
  <si>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</si>
  <si>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</si>
  <si>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</si>
  <si>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</si>
  <si>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</si>
  <si>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</si>
  <si>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</si>
  <si>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</si>
  <si>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</si>
  <si>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</si>
  <si>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</si>
  <si>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</si>
  <si>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</si>
  <si>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</si>
  <si>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</si>
  <si>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</si>
  <si>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</si>
  <si>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</si>
  <si>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</si>
  <si>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</si>
  <si>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</si>
  <si>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</si>
  <si>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</si>
  <si>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</si>
  <si>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</si>
  <si>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</si>
  <si>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</si>
  <si>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</si>
  <si>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</si>
  <si>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</si>
  <si>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</si>
  <si>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</si>
  <si>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</si>
  <si>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</si>
  <si>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</si>
  <si>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</si>
  <si>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</si>
  <si>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</si>
  <si>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</si>
  <si>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</si>
  <si>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</si>
  <si>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</si>
  <si>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</si>
  <si>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</si>
  <si>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</si>
  <si>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</si>
  <si>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</si>
  <si>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</si>
  <si>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</si>
  <si>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</si>
  <si>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</si>
  <si>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</si>
  <si>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</si>
  <si>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</si>
  <si>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</si>
  <si>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</si>
  <si>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</si>
  <si>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</si>
  <si>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</si>
  <si>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</si>
  <si>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</si>
  <si>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</si>
  <si>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</si>
  <si>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</si>
  <si>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</si>
  <si>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</si>
  <si>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</si>
  <si>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</si>
  <si>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</si>
  <si>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</si>
  <si>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</si>
  <si>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</si>
  <si>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</si>
  <si>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</si>
  <si>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</si>
  <si>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</si>
  <si>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</si>
  <si>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</si>
  <si>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</si>
  <si>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</si>
  <si>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</si>
  <si>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</si>
  <si>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</si>
  <si>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</si>
  <si>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</si>
  <si>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</si>
  <si>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</si>
  <si>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</si>
  <si>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</si>
  <si>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</si>
  <si>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</si>
  <si>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</si>
  <si>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</si>
  <si>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</si>
  <si>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</si>
  <si>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</si>
  <si>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</si>
  <si>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</si>
  <si>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</si>
  <si>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</si>
  <si>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</si>
  <si>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</si>
  <si>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</si>
  <si>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</si>
  <si>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</si>
  <si>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</si>
  <si>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</si>
  <si>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</si>
  <si>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</si>
  <si>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</si>
  <si>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</si>
  <si>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</si>
  <si>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</si>
  <si>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</si>
  <si>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</si>
  <si>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</si>
  <si>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</si>
  <si>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</si>
  <si>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</si>
  <si>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</si>
  <si>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</si>
  <si>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</si>
  <si>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</si>
  <si>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</si>
  <si>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</si>
  <si>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</si>
  <si>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</si>
  <si>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</si>
  <si>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</si>
  <si>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</si>
  <si>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</si>
  <si>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</si>
  <si>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</si>
  <si>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</si>
  <si>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</si>
  <si>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</si>
  <si>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</si>
  <si>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</si>
  <si>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</si>
  <si>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</si>
  <si>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</si>
  <si>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</si>
  <si>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</si>
  <si>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</si>
  <si>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</si>
  <si>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</si>
  <si>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</si>
  <si>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</si>
  <si>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</si>
  <si>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</si>
  <si>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</si>
  <si>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</si>
  <si>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</si>
  <si>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</si>
  <si>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</si>
  <si>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</si>
  <si>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</si>
  <si>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</si>
  <si>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</si>
  <si>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</si>
  <si>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</si>
  <si>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</si>
  <si>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</si>
  <si>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</si>
  <si>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</si>
  <si>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</si>
  <si>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</si>
  <si>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</si>
  <si>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</si>
  <si>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</si>
  <si>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</si>
  <si>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</si>
  <si>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</si>
  <si>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</si>
  <si>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</si>
  <si>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</si>
  <si>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</si>
  <si>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</si>
  <si>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</si>
  <si>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</si>
  <si>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</si>
  <si>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</si>
  <si>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</si>
  <si>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</si>
  <si>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</si>
  <si>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</si>
  <si>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</si>
  <si>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</si>
  <si>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</si>
  <si>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</si>
  <si>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</si>
  <si>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</si>
  <si>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</si>
  <si>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</si>
  <si>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</si>
  <si>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</si>
  <si>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</si>
  <si>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</si>
  <si>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</si>
  <si>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</si>
  <si>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</si>
  <si>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</si>
  <si>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</si>
  <si>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</si>
  <si>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</si>
  <si>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</si>
  <si>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</si>
  <si>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</si>
  <si>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</si>
  <si>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</si>
  <si>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</si>
  <si>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</si>
  <si>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</si>
  <si>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</si>
  <si>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</si>
  <si>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</si>
  <si>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</si>
  <si>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</si>
  <si>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</si>
  <si>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</si>
  <si>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</si>
  <si>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</si>
  <si>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</si>
  <si>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</si>
  <si>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</si>
  <si>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</si>
  <si>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</si>
  <si>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</si>
  <si>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</si>
  <si>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</si>
  <si>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</si>
  <si>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</si>
  <si>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</si>
  <si>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</si>
  <si>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</si>
  <si>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</si>
  <si>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</si>
  <si>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</si>
  <si>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</si>
  <si>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</si>
  <si>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</si>
  <si>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</si>
  <si>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</si>
  <si>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</si>
  <si>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</si>
  <si>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</si>
  <si>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</si>
  <si>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</si>
  <si>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</si>
  <si>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</si>
  <si>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</si>
  <si>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</si>
  <si>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</si>
  <si>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</si>
  <si>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</si>
  <si>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</si>
  <si>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</si>
  <si>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</si>
  <si>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</si>
  <si>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</si>
  <si>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</si>
  <si>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</si>
  <si>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</si>
  <si>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</si>
  <si>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</si>
  <si>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</si>
  <si>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</si>
  <si>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</si>
  <si>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</si>
  <si>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</si>
  <si>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</si>
  <si>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</si>
  <si>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</si>
  <si>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</si>
  <si>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</si>
  <si>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</si>
  <si>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</si>
  <si>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</si>
  <si>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</si>
  <si>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</si>
  <si>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</si>
  <si>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</si>
  <si>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</si>
  <si>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</si>
  <si>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</si>
  <si>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</si>
  <si>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</si>
  <si>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</si>
  <si>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</si>
  <si>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</si>
  <si>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</si>
  <si>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</si>
  <si>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</si>
  <si>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</si>
  <si>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</si>
  <si>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</si>
  <si>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</si>
  <si>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</si>
  <si>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</si>
  <si>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</si>
  <si>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</si>
  <si>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</si>
  <si>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</si>
  <si>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</si>
  <si>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</si>
  <si>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</si>
  <si>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</si>
  <si>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</si>
  <si>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</si>
  <si>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</si>
  <si>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</si>
  <si>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</si>
  <si>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</si>
  <si>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</si>
  <si>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</si>
  <si>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PredtnHrznGenr_tiVectHrznSho_PHY/Energy Flow Coordinator</t>
  </si>
  <si>
    <t>PredtnHrznGenr_tiVectHrznLong_PHY/Energy Flow Coordinator</t>
  </si>
  <si>
    <t>PredtnHrznGenr_trqVectHrznLong_PHY/Energy Flow Coordinator</t>
  </si>
  <si>
    <t>PredtnHrznGenr_trqVectHrznSho_PHY/Energy Flow Coordinator</t>
  </si>
  <si>
    <t>PredtnHrznGenr_nVectHrznSho_PHY/Energy Flow Coordinator</t>
  </si>
  <si>
    <t>PredtnHrznGenr_nVectHrznLong_PHY/Energy Flow Coordinator</t>
  </si>
  <si>
    <t>PredtnHrznGenr_idxVectHrznLenLong_PHY/Energy Flow Coordinator</t>
  </si>
  <si>
    <t>PredtnHrznGenr_idxVectHrznLenSho_PHY/Energy Flow Coordinator</t>
  </si>
  <si>
    <t>PredtnHrznGenr_tiHrznLenSho_PHY/Energy Flow Coordinator</t>
  </si>
  <si>
    <t>PredtnHrznGenr_tiHrznLenLong_PHY/Energy Flow Coordinator</t>
  </si>
  <si>
    <t>PredtnHrznGenr_stTrigOptmr_PHY/Energy Flow Coordinator</t>
  </si>
  <si>
    <t>PredtnHrznGenr_swtExtSrcPredtnData_PHY/Energy Flow Coordinator</t>
  </si>
  <si>
    <t>ECUAuxSigCoorr_aVeh_PHY/Energy Flow Coordinator</t>
  </si>
  <si>
    <t>ECUAuxSigCoorr_omegaWhlSpd_PHY/Energy Flow Coordinator</t>
  </si>
  <si>
    <t>SpdTqTrcGenr_numGearHrzn_INT/Energy Flow Coordinator</t>
  </si>
  <si>
    <t>SpdTqTrcGenr_nEngSpdHrzn_INT/Energy Flow Coordinator</t>
  </si>
  <si>
    <t>SpdTqTrcGenr_trqEngTqHrzn_INT/Energy Flow Coordinator</t>
  </si>
  <si>
    <t>HrznAryCalcn_tiTiHrznVect_INT/Energy Flow Coordinator</t>
  </si>
  <si>
    <t>HrznAryCalcn_nEngSpdHrznVect_INT/Energy Flow Coordinator</t>
  </si>
  <si>
    <t>HrznAryCalcn_trqEngTqHrznVect_INT/Energy Flow Coordinator</t>
  </si>
  <si>
    <t>HrznAryCalcn_numNrHrznVldElm_INT/Energy Flow Coordinator</t>
  </si>
  <si>
    <t>HrznAryCalcn_tiHrznTiRng_INT/Energy Flow Coordinator</t>
  </si>
  <si>
    <t>HrznAryCalcn_stHrznVld_INT/Energy Flow Coordinator</t>
  </si>
  <si>
    <t>HrznAryCalcn_stRst_INT/Energy Flow Coordinator</t>
  </si>
  <si>
    <t>HrznAryCalcn_lHrznLen_INT/Energy Flow Coordinator</t>
  </si>
  <si>
    <t>HrznAryCalcn_stTrigOptmr_INT/Energy Flow Coordinator</t>
  </si>
  <si>
    <t>PCCMRPUIf_vVehSpdHrzn_PHY/Horizon Array Calculation</t>
  </si>
  <si>
    <t>PCCMRPUIf_lDstHrzn_PHY/Horizon Array Calculation</t>
  </si>
  <si>
    <t>PCCMRPUIf_pwrPwrHrzn_PHY/Horizon Array Calculation</t>
  </si>
  <si>
    <t>PCCMRPUIf_numNrHrznVldElm_PHY/Horizon Array Calculation</t>
  </si>
  <si>
    <t>PCCMRPUIf_stRst_PHY/Horizon Array Calculation</t>
  </si>
  <si>
    <t>PCCMRPUIf_stHrznVld_PHY/Horizon Array Calculation</t>
  </si>
  <si>
    <t>PCCMRPUIf_lVehPosn_PHY/Horizon Array Calculation</t>
  </si>
  <si>
    <t>SpdTqTrcGenr_numGearHrzn_INT/Horizon Array Calculation</t>
  </si>
  <si>
    <t>SpdTqTrcGenr_nEngSpdHrzn_INT/Horizon Array Calculation</t>
  </si>
  <si>
    <t>SpdTqTrcGenr_trqEngTqHrzn_INT/Horizon Array Calculation</t>
  </si>
  <si>
    <t>ECUAuxSigCoorr_nCrksft_PHY/Horizon Array Calculation</t>
  </si>
  <si>
    <t>ECUAuxSigCoorr_trqEngTqOut_PHY/Horizon Array Calculation</t>
  </si>
  <si>
    <t>ECUAuxSigCoorr_vVehSpd_PHY/Horizon Array Calculation</t>
  </si>
  <si>
    <t>ECUAuxSigCoorr_lDstTrvld_PHY/Horizon Array Calculation</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</si>
  <si>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</si>
  <si>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</si>
  <si>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</si>
  <si>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</si>
  <si>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</si>
  <si>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</si>
  <si>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</si>
  <si>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</si>
  <si>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</si>
  <si>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</si>
  <si>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</si>
  <si>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</si>
  <si>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</si>
  <si>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</si>
  <si>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</si>
  <si>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</si>
  <si>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</si>
  <si>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</si>
  <si>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</si>
  <si>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</si>
  <si>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</si>
  <si>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</si>
  <si>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</si>
  <si>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RouteGenr_lActDst_PHY/Speed Torque Trace Generator</t>
  </si>
  <si>
    <t>RouteGenr_lActDst_PHY/PCCM RPU Interface</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</si>
</sst>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371475</xdr:rowOff>
        </xdr:to>
        <xdr:sp macro="" textlink="">
          <xdr:nvSpPr>
            <xdr:cNvPr id="22" name="Button 1" descr="Add Signal" hidden="1">
              <a:extLst>
                <a:ext uri="{63B3BB69-23CF-44E3-9099-C40C66FF867C}">
                  <a14:compatExt spid="_x0000_s11265"/>
                </a:ext>
                <a:ext uri="{FF2B5EF4-FFF2-40B4-BE49-F238E27FC236}">
                  <a16:creationId xmlns=""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abSelected="1" topLeftCell="B1" zoomScale="85" zoomScaleNormal="85" zoomScalePageLayoutView="80" workbookViewId="0">
      <pane ySplit="2" topLeftCell="A246" activePane="bottomLeft" state="frozen"/>
      <selection pane="bottomLeft" activeCell="Q236" sqref="Q236"/>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5">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5">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5">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5">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5">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5">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5">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5">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5">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5">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5">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5">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5">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5">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5">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5">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5">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5">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5">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5">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5">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5">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5">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5">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5">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5">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5">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5">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5">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5">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5">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5">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5">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5">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5">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5">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5">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5">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5">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5">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5">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5">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5">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5">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5">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5">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5">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5">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5">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5">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5">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5">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5">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5">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5">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5">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5">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5">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5">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5">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5">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5">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5">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5">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5">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5">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5">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5">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5">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5">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5">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5">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5">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5">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5">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5">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5">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5">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5">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5">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5">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5">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5">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5">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5">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5">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5">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5">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5">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5">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5">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5">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5">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5">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5">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5">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5">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5">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5">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5">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5">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5">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5">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5">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5">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5">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5">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5">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5">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5">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5">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5">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5">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5">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5">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5">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5">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5">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5">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5">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5">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5">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5">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5">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5">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5">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5">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5">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5">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5">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5">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5">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5">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5">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5">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5">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5">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5">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5">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5">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5">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5">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5">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5">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5">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5">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5">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5">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5">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5">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5">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5">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5">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5">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5">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5">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5">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5">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5">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5">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5">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5">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5">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5">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5">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5">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5">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5">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5">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5">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5">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5">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5">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5">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5">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5">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5">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5">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5">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5">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5">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5">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5">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5">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5">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5">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5">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5">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5">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5">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5">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5">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5">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5">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5">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5">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5">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5">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5">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5">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5">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5">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5">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5">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5">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5">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5">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5">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5">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5">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5">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5">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5">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5">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5">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5">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5">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5">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5">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5">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5">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5">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5">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5">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5">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5">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5">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5">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5">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5">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5">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5">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5">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5">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5">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5">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5">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5">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5">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5">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5">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5">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5">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5">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5">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5">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5">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5">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5">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5">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5">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5">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5">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5">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5">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5">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5">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5">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5">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5">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5">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5">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5">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25">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25">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25">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25">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25">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25">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25">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25">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25">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25">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25">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25">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25">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5">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5">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5">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5">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5">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5">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5">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5">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5">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5">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5">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5">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5">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5">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5">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5">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5">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5">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5">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5">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5">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5">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5">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5">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5">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5">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5">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5">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5">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5">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5">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5">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5">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5">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5">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5">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5">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5">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5">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5">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5">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5">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5">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5">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5">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5">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5">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5">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5">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5">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5">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5">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5">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5">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5">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5">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5">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5">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5">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5">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5">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5">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5">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5">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5">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5">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5">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5">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5">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5">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5">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5">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5">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5">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5">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5">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5">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5">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5">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5">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5">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5">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5">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5">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5">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5">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5">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5">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5">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5">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5">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5">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5">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5">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5">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5">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5">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5">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5">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5">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5">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5">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5">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5">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5">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5">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5">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5">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5">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5">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5">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5">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5">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5">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5">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5">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5">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5">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5">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5">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5">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5">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5">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5">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5">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5">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5">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25">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25">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25">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25">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25">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25">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25">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25">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25">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25">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25">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25">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25">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25">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25">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25">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25">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25">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25">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25">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25">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25">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25">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25">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25">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25">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25">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25">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25">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25">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25">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25">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25">
      <c r="A462" t="s">
        <v>4259</v>
      </c>
      <c r="B462" t="s">
        <v>4260</v>
      </c>
      <c r="C462" t="s">
        <v>4261</v>
      </c>
      <c r="D462" t="s">
        <v>37</v>
      </c>
      <c r="E462" t="s">
        <v>3843</v>
      </c>
      <c r="F462" t="s">
        <v>35</v>
      </c>
      <c r="G462" t="s">
        <v>2694</v>
      </c>
      <c r="H462" s="8" t="s">
        <v>64</v>
      </c>
      <c r="J462" s="16" t="s">
        <v>4262</v>
      </c>
      <c r="K462" t="s">
        <v>14</v>
      </c>
      <c r="L462" t="s">
        <v>2659</v>
      </c>
      <c r="M462" s="17">
        <v>0</v>
      </c>
      <c r="N462" s="17">
        <v>1000000000</v>
      </c>
      <c r="O462" s="17">
        <v>2.3283064000000002E-3</v>
      </c>
      <c r="P462">
        <v>4294967296</v>
      </c>
      <c r="Q462" t="s">
        <v>2660</v>
      </c>
      <c r="R462" t="s">
        <v>2660</v>
      </c>
    </row>
    <row r="463" spans="1:18" x14ac:dyDescent="0.25">
      <c r="M463" s="17"/>
      <c r="N463" s="17"/>
      <c r="O463" s="17"/>
    </row>
    <row r="464" spans="1:18"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sheetData>
  <sheetProtection password="D3ED" sheet="1" objects="1" scenarios="1"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Normal="100" zoomScalePageLayoutView="70" workbookViewId="0">
      <pane xSplit="1" ySplit="2" topLeftCell="B362" activePane="bottomRight" state="frozen"/>
      <selection pane="topRight" activeCell="B1" sqref="B1"/>
      <selection pane="bottomLeft" activeCell="A3" sqref="A3"/>
      <selection pane="bottomRight" activeCell="A461" sqref="A461"/>
    </sheetView>
  </sheetViews>
  <sheetFormatPr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8" width="11.42578125" customWidth="1"/>
    <col min="39" max="39" width="59.28515625" customWidth="1"/>
    <col min="40" max="40" width="34"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45" customHeight="1"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45" customHeight="1"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45" customHeight="1"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45" customHeight="1"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45" customHeight="1" x14ac:dyDescent="0.25">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45" customHeight="1" x14ac:dyDescent="0.25">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45" customHeight="1" x14ac:dyDescent="0.25">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45" customHeight="1" x14ac:dyDescent="0.25">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45" customHeight="1" x14ac:dyDescent="0.25">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45" customHeight="1" x14ac:dyDescent="0.25">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45" customHeight="1" x14ac:dyDescent="0.25">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45" customHeight="1" x14ac:dyDescent="0.25">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45" customHeight="1" x14ac:dyDescent="0.25">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45" customHeight="1" x14ac:dyDescent="0.25">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45" customHeight="1" x14ac:dyDescent="0.25">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45" customHeight="1" x14ac:dyDescent="0.25">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45" customHeight="1" x14ac:dyDescent="0.25">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45" customHeight="1" x14ac:dyDescent="0.25">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45" customHeight="1" x14ac:dyDescent="0.25">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45" customHeight="1" x14ac:dyDescent="0.25">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45" customHeight="1" x14ac:dyDescent="0.25">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45" customHeight="1" x14ac:dyDescent="0.25">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45" customHeight="1" x14ac:dyDescent="0.25">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45" customHeight="1" x14ac:dyDescent="0.25">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45" customHeight="1" x14ac:dyDescent="0.25">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45" customHeight="1" x14ac:dyDescent="0.25">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45" customHeight="1" x14ac:dyDescent="0.25">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45" customHeight="1" x14ac:dyDescent="0.25">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45" customHeight="1" x14ac:dyDescent="0.25">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45" customHeight="1" x14ac:dyDescent="0.25">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45" customHeight="1" x14ac:dyDescent="0.25">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45" customHeight="1" x14ac:dyDescent="0.25">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45" customHeight="1" x14ac:dyDescent="0.25">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45" customHeight="1" x14ac:dyDescent="0.25">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45" customHeight="1" x14ac:dyDescent="0.25">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45" customHeight="1" x14ac:dyDescent="0.25">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45" customHeight="1" x14ac:dyDescent="0.25">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45" customHeight="1" x14ac:dyDescent="0.25">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45" customHeight="1" x14ac:dyDescent="0.25">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45" customHeight="1" x14ac:dyDescent="0.25">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45" customHeight="1" x14ac:dyDescent="0.25">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45" customHeight="1" x14ac:dyDescent="0.25">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45" customHeight="1" x14ac:dyDescent="0.25">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45" customHeight="1" x14ac:dyDescent="0.25">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45" customHeight="1" x14ac:dyDescent="0.25">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45" customHeight="1" x14ac:dyDescent="0.25">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45" customHeight="1" x14ac:dyDescent="0.25">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45" customHeight="1" x14ac:dyDescent="0.25">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45" customHeight="1" x14ac:dyDescent="0.25">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45" customHeight="1" x14ac:dyDescent="0.25">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45" customHeight="1" x14ac:dyDescent="0.25">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45" customHeight="1" x14ac:dyDescent="0.25">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45" customHeight="1" x14ac:dyDescent="0.25">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45" customHeight="1" x14ac:dyDescent="0.25">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45" customHeight="1" x14ac:dyDescent="0.25">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45" customHeight="1" x14ac:dyDescent="0.25">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45" customHeight="1" x14ac:dyDescent="0.25">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45" customHeight="1" x14ac:dyDescent="0.25">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45" customHeight="1" x14ac:dyDescent="0.25">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45" customHeight="1" x14ac:dyDescent="0.25">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45" customHeight="1" x14ac:dyDescent="0.25">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45" customHeight="1" x14ac:dyDescent="0.25">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45" customHeight="1" x14ac:dyDescent="0.25">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45" customHeight="1" x14ac:dyDescent="0.25">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45" customHeight="1" x14ac:dyDescent="0.25">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45" customHeight="1" x14ac:dyDescent="0.25">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45" customHeight="1" x14ac:dyDescent="0.25">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45" customHeight="1" x14ac:dyDescent="0.25">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45" customHeight="1" x14ac:dyDescent="0.25">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45" customHeight="1" x14ac:dyDescent="0.25">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45" customHeight="1" x14ac:dyDescent="0.25">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45" customHeight="1" x14ac:dyDescent="0.25">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45" customHeight="1" x14ac:dyDescent="0.25">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45" customHeight="1" x14ac:dyDescent="0.25">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45" customHeight="1" x14ac:dyDescent="0.25">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45" customHeight="1" x14ac:dyDescent="0.25">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45" customHeight="1" x14ac:dyDescent="0.25">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45" customHeight="1" x14ac:dyDescent="0.25">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45" customHeight="1" x14ac:dyDescent="0.25">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45" customHeight="1" x14ac:dyDescent="0.25">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45" customHeight="1" x14ac:dyDescent="0.25">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45" customHeight="1" x14ac:dyDescent="0.25">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45" customHeight="1" x14ac:dyDescent="0.25">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45" customHeight="1" x14ac:dyDescent="0.25">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45" customHeight="1" x14ac:dyDescent="0.25">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45" customHeight="1" x14ac:dyDescent="0.25">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45" customHeight="1" x14ac:dyDescent="0.25">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45" customHeight="1" x14ac:dyDescent="0.25">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45" customHeight="1" x14ac:dyDescent="0.25">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45" customHeight="1" x14ac:dyDescent="0.25">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45" customHeight="1" x14ac:dyDescent="0.25">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45" customHeight="1" x14ac:dyDescent="0.25">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45" customHeight="1" x14ac:dyDescent="0.25">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45" customHeight="1" x14ac:dyDescent="0.25">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45" customHeight="1" x14ac:dyDescent="0.25">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45" customHeight="1" x14ac:dyDescent="0.25">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45" customHeight="1" x14ac:dyDescent="0.25">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45" customHeight="1" x14ac:dyDescent="0.25">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45" customHeight="1" x14ac:dyDescent="0.25">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45" customHeight="1" x14ac:dyDescent="0.25">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45" customHeight="1" x14ac:dyDescent="0.25">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45" customHeight="1" x14ac:dyDescent="0.25">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45" customHeight="1" x14ac:dyDescent="0.25">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45" customHeight="1" x14ac:dyDescent="0.25">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45" customHeight="1" x14ac:dyDescent="0.25">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45" customHeight="1" x14ac:dyDescent="0.25">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45" customHeight="1" x14ac:dyDescent="0.25">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45" customHeight="1" x14ac:dyDescent="0.25">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45" customHeight="1" x14ac:dyDescent="0.25">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45" customHeight="1" x14ac:dyDescent="0.25">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45" customHeight="1" x14ac:dyDescent="0.25">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45" customHeight="1" x14ac:dyDescent="0.25">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45" customHeight="1" x14ac:dyDescent="0.25">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45" customHeight="1" x14ac:dyDescent="0.25">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45" customHeight="1" x14ac:dyDescent="0.25">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45" customHeight="1" x14ac:dyDescent="0.25">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45" customHeight="1" x14ac:dyDescent="0.25">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45" customHeight="1" x14ac:dyDescent="0.25">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45" customHeight="1" x14ac:dyDescent="0.25">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45" customHeight="1" x14ac:dyDescent="0.25">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45" customHeight="1" x14ac:dyDescent="0.25">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45" customHeight="1" x14ac:dyDescent="0.25">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45" customHeight="1" x14ac:dyDescent="0.25">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45" customHeight="1" x14ac:dyDescent="0.25">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45" customHeight="1" x14ac:dyDescent="0.25">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45" customHeight="1" x14ac:dyDescent="0.25">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45" customHeight="1" x14ac:dyDescent="0.25">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45" customHeight="1" x14ac:dyDescent="0.25">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45" customHeight="1" x14ac:dyDescent="0.25">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45" customHeight="1" x14ac:dyDescent="0.25">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45" customHeight="1" x14ac:dyDescent="0.25">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45" customHeight="1" x14ac:dyDescent="0.25">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45" customHeight="1" x14ac:dyDescent="0.25">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45" customHeight="1" x14ac:dyDescent="0.25">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45" customHeight="1" x14ac:dyDescent="0.25">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45" customHeight="1" x14ac:dyDescent="0.25">
      <c r="A138" s="9" t="str">
        <f>IF(ISBLANK('Signal Definition'!J138),"",'Signal Definition'!J138)</f>
        <v>EngMdl_tEngCoolt_PHY</v>
      </c>
      <c r="B138" s="9">
        <f t="array" ref="B138">COUNT(FIND("input",$D138:$BY138))</f>
        <v>4</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t="s">
        <v>2670</v>
      </c>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45" customHeight="1" x14ac:dyDescent="0.25">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45" customHeight="1" x14ac:dyDescent="0.25">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45" customHeight="1" x14ac:dyDescent="0.25">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45" customHeight="1" x14ac:dyDescent="0.25">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45" customHeight="1" x14ac:dyDescent="0.25">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45" customHeight="1" x14ac:dyDescent="0.25">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45" customHeight="1" x14ac:dyDescent="0.25">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45" customHeight="1" x14ac:dyDescent="0.25">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45" customHeight="1" x14ac:dyDescent="0.25">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45" customHeight="1" x14ac:dyDescent="0.25">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45" customHeight="1" x14ac:dyDescent="0.25">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45" customHeight="1" x14ac:dyDescent="0.25">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45" customHeight="1" x14ac:dyDescent="0.25">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45" customHeight="1" x14ac:dyDescent="0.25">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45" customHeight="1" x14ac:dyDescent="0.25">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45" customHeight="1" x14ac:dyDescent="0.25">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45" customHeight="1" x14ac:dyDescent="0.25">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45" customHeight="1" x14ac:dyDescent="0.25">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45" customHeight="1" x14ac:dyDescent="0.25">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45" customHeight="1" x14ac:dyDescent="0.25">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45" customHeight="1" x14ac:dyDescent="0.25">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45" customHeight="1" x14ac:dyDescent="0.25">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45" customHeight="1" x14ac:dyDescent="0.25">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45" customHeight="1" x14ac:dyDescent="0.25">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45" customHeight="1" x14ac:dyDescent="0.25">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45" customHeight="1" x14ac:dyDescent="0.25">
      <c r="A164" s="9" t="str">
        <f>IF(ISBLANK('Signal Definition'!J164),"",'Signal Definition'!J164)</f>
        <v>ElecSys_nGenr_PHY</v>
      </c>
      <c r="B164" s="9">
        <f t="array" ref="B164">COUNT(FIND("input",$D164:$BY164))</f>
        <v>1</v>
      </c>
      <c r="C164" s="9">
        <f t="array" ref="C164">COUNT(FIND("output",$D164:$BY164))</f>
        <v>1</v>
      </c>
      <c r="T164" t="s">
        <v>2661</v>
      </c>
      <c r="V164" t="s">
        <v>2670</v>
      </c>
    </row>
    <row r="165" spans="1:26" ht="14.45" customHeight="1" x14ac:dyDescent="0.25">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45" customHeight="1" x14ac:dyDescent="0.25">
      <c r="A166" s="9" t="str">
        <f>IF(ISBLANK('Signal Definition'!J166),"",'Signal Definition'!J166)</f>
        <v>AirCdn_pwrRqrdMecl_PHY</v>
      </c>
      <c r="B166" s="9">
        <f t="array" ref="B166">COUNT(FIND("input",$D166:$BY166))</f>
        <v>0</v>
      </c>
      <c r="C166" s="9">
        <f t="array" ref="C166">COUNT(FIND("output",$D166:$BY166))</f>
        <v>1</v>
      </c>
      <c r="Q166" t="s">
        <v>2661</v>
      </c>
    </row>
    <row r="167" spans="1:26" ht="14.45" customHeight="1" x14ac:dyDescent="0.25">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45" customHeight="1" x14ac:dyDescent="0.25">
      <c r="A168" s="9" t="str">
        <f>IF(ISBLANK('Signal Definition'!J168),"",'Signal Definition'!J168)</f>
        <v>AuxTqSum_jAuxJSum_PHY</v>
      </c>
      <c r="B168" s="9">
        <f t="array" ref="B168">COUNT(FIND("input",$D168:$BY168))</f>
        <v>0</v>
      </c>
      <c r="C168" s="9">
        <f t="array" ref="C168">COUNT(FIND("output",$D168:$BY168))</f>
        <v>1</v>
      </c>
      <c r="W168" t="s">
        <v>2661</v>
      </c>
    </row>
    <row r="169" spans="1:26" ht="14.45" customHeight="1" x14ac:dyDescent="0.25">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45" customHeight="1" x14ac:dyDescent="0.25">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45" customHeight="1" x14ac:dyDescent="0.25">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45" customHeight="1" x14ac:dyDescent="0.25">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45" customHeight="1" x14ac:dyDescent="0.25">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45" customHeight="1" x14ac:dyDescent="0.25">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45" customHeight="1" x14ac:dyDescent="0.25">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45" customHeight="1" x14ac:dyDescent="0.25">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45" customHeight="1" x14ac:dyDescent="0.25">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45" customHeight="1" x14ac:dyDescent="0.25">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45" customHeight="1" x14ac:dyDescent="0.25">
      <c r="A179" s="9" t="str">
        <f>IF(ISBLANK('Signal Definition'!J179),"",'Signal Definition'!J179)</f>
        <v>CoolgFan_trqCoolgFan_PHY</v>
      </c>
      <c r="B179" s="9">
        <f t="array" ref="B179">COUNT(FIND("input",$D179:$BY179))</f>
        <v>0</v>
      </c>
      <c r="C179" s="9">
        <f t="array" ref="C179">COUNT(FIND("output",$D179:$BY179))</f>
        <v>1</v>
      </c>
      <c r="R179" t="s">
        <v>2661</v>
      </c>
    </row>
    <row r="180" spans="1:23" ht="14.45" customHeight="1" x14ac:dyDescent="0.25">
      <c r="A180" s="9" t="str">
        <f>IF(ISBLANK('Signal Definition'!J180),"",'Signal Definition'!J180)</f>
        <v>ElecSys_pwrBattPwr_PHY</v>
      </c>
      <c r="B180" s="9">
        <f t="array" ref="B180">COUNT(FIND("input",$D180:$BY180))</f>
        <v>0</v>
      </c>
      <c r="C180" s="9">
        <f t="array" ref="C180">COUNT(FIND("output",$D180:$BY180))</f>
        <v>1</v>
      </c>
      <c r="T180" t="s">
        <v>2661</v>
      </c>
    </row>
    <row r="181" spans="1:23" ht="14.45" customHeight="1" x14ac:dyDescent="0.25">
      <c r="A181" s="9" t="str">
        <f>IF(ISBLANK('Signal Definition'!J181),"",'Signal Definition'!J181)</f>
        <v>ElecSys_uBattTerminalU_PHY</v>
      </c>
      <c r="B181" s="9">
        <f t="array" ref="B181">COUNT(FIND("input",$D181:$BY181))</f>
        <v>0</v>
      </c>
      <c r="C181" s="9">
        <f t="array" ref="C181">COUNT(FIND("output",$D181:$BY181))</f>
        <v>1</v>
      </c>
      <c r="T181" t="s">
        <v>2661</v>
      </c>
    </row>
    <row r="182" spans="1:23" ht="14.45" customHeight="1" x14ac:dyDescent="0.25">
      <c r="A182" s="9" t="str">
        <f>IF(ISBLANK('Signal Definition'!J182),"",'Signal Definition'!J182)</f>
        <v>ElecSys_chrgBattChrg_PHY</v>
      </c>
      <c r="B182" s="9">
        <f t="array" ref="B182">COUNT(FIND("input",$D182:$BY182))</f>
        <v>0</v>
      </c>
      <c r="C182" s="9">
        <f t="array" ref="C182">COUNT(FIND("output",$D182:$BY182))</f>
        <v>1</v>
      </c>
      <c r="T182" t="s">
        <v>2661</v>
      </c>
    </row>
    <row r="183" spans="1:23" ht="14.45" customHeight="1" x14ac:dyDescent="0.25">
      <c r="A183" s="9" t="str">
        <f>IF(ISBLANK('Signal Definition'!J183),"",'Signal Definition'!J183)</f>
        <v>ElecSys_tBattT_PHY</v>
      </c>
      <c r="B183" s="9">
        <f t="array" ref="B183">COUNT(FIND("input",$D183:$BY183))</f>
        <v>0</v>
      </c>
      <c r="C183" s="9">
        <f t="array" ref="C183">COUNT(FIND("output",$D183:$BY183))</f>
        <v>1</v>
      </c>
      <c r="T183" t="s">
        <v>2661</v>
      </c>
    </row>
    <row r="184" spans="1:23" ht="14.45" customHeight="1" x14ac:dyDescent="0.25">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45" customHeight="1" x14ac:dyDescent="0.25">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45" customHeight="1" x14ac:dyDescent="0.25">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45" customHeight="1" x14ac:dyDescent="0.25">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45" customHeight="1" x14ac:dyDescent="0.25">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45" customHeight="1" x14ac:dyDescent="0.25">
      <c r="A189" s="9" t="str">
        <f>IF(ISBLANK('Signal Definition'!J189),"",'Signal Definition'!J189)</f>
        <v>ElecSys_pwrMotGenrElecPwr_PHY</v>
      </c>
      <c r="B189" s="9">
        <f t="array" ref="B189">COUNT(FIND("input",$D189:$BY189))</f>
        <v>0</v>
      </c>
      <c r="C189" s="9">
        <f t="array" ref="C189">COUNT(FIND("output",$D189:$BY189))</f>
        <v>1</v>
      </c>
      <c r="T189" t="s">
        <v>2661</v>
      </c>
    </row>
    <row r="190" spans="1:23" ht="14.45" customHeight="1" x14ac:dyDescent="0.25">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45" customHeight="1" x14ac:dyDescent="0.25">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45" customHeight="1" x14ac:dyDescent="0.25">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45" customHeight="1" x14ac:dyDescent="0.25">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45" customHeight="1" x14ac:dyDescent="0.25">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45" customHeight="1" x14ac:dyDescent="0.25">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45" customHeight="1" x14ac:dyDescent="0.25">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45" customHeight="1" x14ac:dyDescent="0.25">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45" customHeight="1" x14ac:dyDescent="0.25">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45" customHeight="1" x14ac:dyDescent="0.25">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45" customHeight="1" x14ac:dyDescent="0.25">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45" customHeight="1" x14ac:dyDescent="0.25">
      <c r="A201" s="9" t="str">
        <f>IF(ISBLANK('Signal Definition'!J201),"",'Signal Definition'!J201)</f>
        <v>ECU_trqEstimdTotAux_PHY</v>
      </c>
      <c r="B201" s="9">
        <f t="array" ref="B201">COUNT(FIND("input",$D201:$BY201))</f>
        <v>0</v>
      </c>
      <c r="C201" s="9">
        <f t="array" ref="C201">COUNT(FIND("output",$D201:$BY201))</f>
        <v>1</v>
      </c>
      <c r="J201" t="s">
        <v>2661</v>
      </c>
    </row>
    <row r="202" spans="1:41" ht="14.45" customHeight="1" x14ac:dyDescent="0.25">
      <c r="A202" s="9" t="str">
        <f>IF(ISBLANK('Signal Definition'!J202),"",'Signal Definition'!J202)</f>
        <v>AuxCtrl_tCooltSp_PHY</v>
      </c>
      <c r="B202" s="9">
        <f t="array" ref="B202">COUNT(FIND("input",$D202:$BY202))</f>
        <v>1</v>
      </c>
      <c r="C202" s="9">
        <f t="array" ref="C202">COUNT(FIND("output",$D202:$BY202))</f>
        <v>1</v>
      </c>
      <c r="N202" t="s">
        <v>2661</v>
      </c>
      <c r="V202" t="s">
        <v>2670</v>
      </c>
    </row>
    <row r="203" spans="1:41" ht="14.45" customHeight="1" x14ac:dyDescent="0.25">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45" customHeight="1" x14ac:dyDescent="0.25">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45" customHeight="1" x14ac:dyDescent="0.25">
      <c r="A205" s="9" t="str">
        <f>IF(ISBLANK('Signal Definition'!J205),"",'Signal Definition'!J205)</f>
        <v>AuxCtrl_tIntrTSp_PHY</v>
      </c>
      <c r="B205" s="9">
        <f t="array" ref="B205">COUNT(FIND("input",$D205:$BY205))</f>
        <v>1</v>
      </c>
      <c r="C205" s="9">
        <f t="array" ref="C205">COUNT(FIND("output",$D205:$BY205))</f>
        <v>1</v>
      </c>
      <c r="N205" t="s">
        <v>2661</v>
      </c>
      <c r="V205" t="s">
        <v>2670</v>
      </c>
    </row>
    <row r="206" spans="1:41" ht="14.45" customHeight="1" x14ac:dyDescent="0.25">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45" customHeight="1" x14ac:dyDescent="0.25">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45" customHeight="1" x14ac:dyDescent="0.25">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45" customHeight="1" x14ac:dyDescent="0.25">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45" customHeight="1" x14ac:dyDescent="0.25">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45" customHeight="1" x14ac:dyDescent="0.25">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45" customHeight="1" x14ac:dyDescent="0.25">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45" customHeight="1" x14ac:dyDescent="0.25">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45" customHeight="1" x14ac:dyDescent="0.25">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45" customHeight="1" x14ac:dyDescent="0.25">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45" customHeight="1" x14ac:dyDescent="0.25">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45" customHeight="1" x14ac:dyDescent="0.25">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45" customHeight="1" x14ac:dyDescent="0.25">
      <c r="A218" s="9" t="str">
        <f>IF(ISBLANK('Signal Definition'!J218),"",'Signal Definition'!J218)</f>
        <v>EngMdl_pAftTrb_PHY</v>
      </c>
      <c r="B218" s="9">
        <f t="array" ref="B218">COUNT(FIND("input",$D218:$BY218))</f>
        <v>0</v>
      </c>
      <c r="C218" s="9">
        <f t="array" ref="C218">COUNT(FIND("output",$D218:$BY218))</f>
        <v>1</v>
      </c>
      <c r="K218" t="s">
        <v>2661</v>
      </c>
    </row>
    <row r="219" spans="1:40" ht="14.45" customHeight="1" x14ac:dyDescent="0.25">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45" customHeight="1" x14ac:dyDescent="0.25">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45" customHeight="1" x14ac:dyDescent="0.25">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45" customHeight="1" x14ac:dyDescent="0.25">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45" customHeight="1" x14ac:dyDescent="0.25">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45" customHeight="1" x14ac:dyDescent="0.25">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45" customHeight="1" x14ac:dyDescent="0.25">
      <c r="A225" s="9" t="str">
        <f>IF(ISBLANK('Signal Definition'!J225),"",'Signal Definition'!J225)</f>
        <v>AirCdn_tAirCdnIntrAirT_PHY</v>
      </c>
      <c r="B225" s="9">
        <f t="array" ref="B225">COUNT(FIND("input",$D225:$BY225))</f>
        <v>0</v>
      </c>
      <c r="C225" s="9">
        <f t="array" ref="C225">COUNT(FIND("output",$D225:$BY225))</f>
        <v>1</v>
      </c>
      <c r="Q225" t="s">
        <v>2661</v>
      </c>
    </row>
    <row r="226" spans="1:40" ht="14.45" customHeight="1" x14ac:dyDescent="0.25">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45" customHeight="1" x14ac:dyDescent="0.25">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45" customHeight="1" x14ac:dyDescent="0.25">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45" customHeight="1" x14ac:dyDescent="0.25">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45" customHeight="1" x14ac:dyDescent="0.25">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45" customHeight="1" x14ac:dyDescent="0.25">
      <c r="A231" s="9" t="str">
        <f>IF(ISBLANK('Signal Definition'!J231),"",'Signal Definition'!J231)</f>
        <v>EngMdl_trqIndcdTqOut_PHY</v>
      </c>
      <c r="B231" s="9">
        <f t="array" ref="B231">COUNT(FIND("input",$D231:$BY231))</f>
        <v>0</v>
      </c>
      <c r="C231" s="9">
        <f t="array" ref="C231">COUNT(FIND("output",$D231:$BY231))</f>
        <v>1</v>
      </c>
      <c r="K231" t="s">
        <v>2661</v>
      </c>
    </row>
    <row r="232" spans="1:40" ht="14.45" customHeight="1" x14ac:dyDescent="0.25">
      <c r="A232" s="9" t="str">
        <f>IF(ISBLANK('Signal Definition'!J232),"",'Signal Definition'!J232)</f>
        <v>ExhATSysMdl_ratNh3SnsrDs_PHY</v>
      </c>
      <c r="B232" s="9">
        <f t="array" ref="B232">COUNT(FIND("input",$D232:$BY232))</f>
        <v>0</v>
      </c>
      <c r="C232" s="9">
        <f t="array" ref="C232">COUNT(FIND("output",$D232:$BY232))</f>
        <v>1</v>
      </c>
      <c r="L232" t="s">
        <v>2661</v>
      </c>
    </row>
    <row r="233" spans="1:40" ht="14.45" customHeight="1" x14ac:dyDescent="0.25">
      <c r="A233" s="9" t="str">
        <f>IF(ISBLANK('Signal Definition'!J233),"",'Signal Definition'!J233)</f>
        <v>ExhATSysMdl_mNh3SCR_PHY</v>
      </c>
      <c r="B233" s="9">
        <f t="array" ref="B233">COUNT(FIND("input",$D233:$BY233))</f>
        <v>0</v>
      </c>
      <c r="C233" s="9">
        <f t="array" ref="C233">COUNT(FIND("output",$D233:$BY233))</f>
        <v>1</v>
      </c>
      <c r="L233" t="s">
        <v>2661</v>
      </c>
    </row>
    <row r="234" spans="1:40" ht="14.45" customHeight="1" x14ac:dyDescent="0.25">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45" customHeight="1" x14ac:dyDescent="0.25">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45" customHeight="1" x14ac:dyDescent="0.25">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45" customHeight="1" x14ac:dyDescent="0.25">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45" customHeight="1" x14ac:dyDescent="0.25">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45" customHeight="1" x14ac:dyDescent="0.25">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45" customHeight="1" x14ac:dyDescent="0.25">
      <c r="A240" s="9" t="str">
        <f>IF(ISBLANK('Signal Definition'!J240),"",'Signal Definition'!J240)</f>
        <v>EgyFlowCoorr_stEcoCoolgActv_INT</v>
      </c>
      <c r="B240" s="9">
        <f t="array" ref="B240">COUNT(FIND("input",$D240:$BY240))</f>
        <v>0</v>
      </c>
      <c r="C240" s="9">
        <f t="array" ref="C240">COUNT(FIND("output",$D240:$BY240))</f>
        <v>1</v>
      </c>
      <c r="Z240" t="s">
        <v>2661</v>
      </c>
    </row>
    <row r="241" spans="1:31" ht="14.45" customHeight="1" x14ac:dyDescent="0.25">
      <c r="A241" s="9" t="str">
        <f>IF(ISBLANK('Signal Definition'!J241),"",'Signal Definition'!J241)</f>
        <v>EgyFlowCoorr_stPreCoolgHiLoad_INT</v>
      </c>
      <c r="B241" s="9">
        <f t="array" ref="B241">COUNT(FIND("input",$D241:$BY241))</f>
        <v>0</v>
      </c>
      <c r="C241" s="9">
        <f t="array" ref="C241">COUNT(FIND("output",$D241:$BY241))</f>
        <v>1</v>
      </c>
      <c r="Z241" t="s">
        <v>2661</v>
      </c>
    </row>
    <row r="242" spans="1:31" ht="14.45" customHeight="1" x14ac:dyDescent="0.25">
      <c r="A242" s="9" t="str">
        <f>IF(ISBLANK('Signal Definition'!J242),"",'Signal Definition'!J242)</f>
        <v>EgyFlowCoorr_stPreCoolgActv_INT</v>
      </c>
      <c r="B242" s="9">
        <f t="array" ref="B242">COUNT(FIND("input",$D242:$BY242))</f>
        <v>0</v>
      </c>
      <c r="C242" s="9">
        <f t="array" ref="C242">COUNT(FIND("output",$D242:$BY242))</f>
        <v>1</v>
      </c>
      <c r="Z242" t="s">
        <v>2661</v>
      </c>
    </row>
    <row r="243" spans="1:31" ht="14.45" customHeight="1" x14ac:dyDescent="0.25">
      <c r="A243" s="9" t="str">
        <f>IF(ISBLANK('Signal Definition'!J243),"",'Signal Definition'!J243)</f>
        <v>EgyFlowCoorr_stPreCoolgDi_INT</v>
      </c>
      <c r="B243" s="9">
        <f t="array" ref="B243">COUNT(FIND("input",$D243:$BY243))</f>
        <v>0</v>
      </c>
      <c r="C243" s="9">
        <f t="array" ref="C243">COUNT(FIND("output",$D243:$BY243))</f>
        <v>1</v>
      </c>
      <c r="Z243" t="s">
        <v>2661</v>
      </c>
    </row>
    <row r="244" spans="1:31" ht="14.45" customHeight="1" x14ac:dyDescent="0.25">
      <c r="A244" s="9" t="str">
        <f>IF(ISBLANK('Signal Definition'!J244),"",'Signal Definition'!J244)</f>
        <v>EgyFlowCoorr_stTIncActv_INT</v>
      </c>
      <c r="B244" s="9">
        <f t="array" ref="B244">COUNT(FIND("input",$D244:$BY244))</f>
        <v>0</v>
      </c>
      <c r="C244" s="9">
        <f t="array" ref="C244">COUNT(FIND("output",$D244:$BY244))</f>
        <v>1</v>
      </c>
      <c r="Z244" t="s">
        <v>2661</v>
      </c>
    </row>
    <row r="245" spans="1:31" ht="14.45" customHeight="1" x14ac:dyDescent="0.25">
      <c r="A245" s="9" t="str">
        <f>IF(ISBLANK('Signal Definition'!J245),"",'Signal Definition'!J245)</f>
        <v>EgyFlowCoorr_tiPreCoolgHiLoadDurn_INT</v>
      </c>
      <c r="B245" s="9">
        <f t="array" ref="B245">COUNT(FIND("input",$D245:$BY245))</f>
        <v>0</v>
      </c>
      <c r="C245" s="9">
        <f t="array" ref="C245">COUNT(FIND("output",$D245:$BY245))</f>
        <v>1</v>
      </c>
      <c r="Z245" t="s">
        <v>2661</v>
      </c>
    </row>
    <row r="246" spans="1:31" ht="14.45" customHeight="1" x14ac:dyDescent="0.25">
      <c r="A246" s="9" t="str">
        <f>IF(ISBLANK('Signal Definition'!J246),"",'Signal Definition'!J246)</f>
        <v>EgyFlowCoorr_prcEngLoadFlMeanPred_INT</v>
      </c>
      <c r="B246" s="9">
        <f t="array" ref="B246">COUNT(FIND("input",$D246:$BY246))</f>
        <v>0</v>
      </c>
      <c r="C246" s="9">
        <f t="array" ref="C246">COUNT(FIND("output",$D246:$BY246))</f>
        <v>1</v>
      </c>
      <c r="Z246" t="s">
        <v>2661</v>
      </c>
    </row>
    <row r="247" spans="1:31" ht="14.45" customHeight="1" x14ac:dyDescent="0.25">
      <c r="A247" s="9" t="str">
        <f>IF(ISBLANK('Signal Definition'!J247),"",'Signal Definition'!J247)</f>
        <v>EgyFlowCoorr_prcEngLoadPred_INT</v>
      </c>
      <c r="B247" s="9">
        <f t="array" ref="B247">COUNT(FIND("input",$D247:$BY247))</f>
        <v>0</v>
      </c>
      <c r="C247" s="9">
        <f t="array" ref="C247">COUNT(FIND("output",$D247:$BY247))</f>
        <v>1</v>
      </c>
      <c r="Z247" t="s">
        <v>2661</v>
      </c>
    </row>
    <row r="248" spans="1:31" ht="14.45" customHeight="1" x14ac:dyDescent="0.25">
      <c r="A248" s="9" t="str">
        <f>IF(ISBLANK('Signal Definition'!J248),"",'Signal Definition'!J248)</f>
        <v>EgyFlowCoorr_prcEngDrgLoadPred_INT</v>
      </c>
      <c r="B248" s="9">
        <f t="array" ref="B248">COUNT(FIND("input",$D248:$BY248))</f>
        <v>0</v>
      </c>
      <c r="C248" s="9">
        <f t="array" ref="C248">COUNT(FIND("output",$D248:$BY248))</f>
        <v>1</v>
      </c>
      <c r="Z248" t="s">
        <v>2661</v>
      </c>
    </row>
    <row r="249" spans="1:31" ht="14.45" customHeight="1" x14ac:dyDescent="0.25">
      <c r="A249" s="9" t="str">
        <f>IF(ISBLANK('Signal Definition'!J249),"",'Signal Definition'!J249)</f>
        <v>EgyFlowCoorr_prcEngDrgLoadFlMeanPred_INT</v>
      </c>
      <c r="B249" s="9">
        <f t="array" ref="B249">COUNT(FIND("input",$D249:$BY249))</f>
        <v>0</v>
      </c>
      <c r="C249" s="9">
        <f t="array" ref="C249">COUNT(FIND("output",$D249:$BY249))</f>
        <v>1</v>
      </c>
      <c r="Z249" t="s">
        <v>2661</v>
      </c>
    </row>
    <row r="250" spans="1:31" ht="14.45" customHeight="1" x14ac:dyDescent="0.25">
      <c r="A250" s="9" t="str">
        <f>IF(ISBLANK('Signal Definition'!J250),"",'Signal Definition'!J250)</f>
        <v>EgyFlowCoorr_stTDecDi_INT</v>
      </c>
      <c r="B250" s="9">
        <f t="array" ref="B250">COUNT(FIND("input",$D250:$BY250))</f>
        <v>0</v>
      </c>
      <c r="C250" s="9">
        <f t="array" ref="C250">COUNT(FIND("output",$D250:$BY250))</f>
        <v>1</v>
      </c>
      <c r="Z250" t="s">
        <v>2661</v>
      </c>
    </row>
    <row r="251" spans="1:31" ht="14.45" customHeight="1" x14ac:dyDescent="0.25">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45" customHeight="1" x14ac:dyDescent="0.25">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45" customHeight="1" x14ac:dyDescent="0.25">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45" customHeight="1" x14ac:dyDescent="0.25">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45" customHeight="1" x14ac:dyDescent="0.25">
      <c r="A255" s="9" t="str">
        <f>IF(ISBLANK('Signal Definition'!J255),"",'Signal Definition'!J255)</f>
        <v>PredtnHrznGenr_tiVectHrznSho_PHY</v>
      </c>
      <c r="B255" s="9">
        <f t="array" ref="B255">COUNT(FIND("input",$D255:$BY255))</f>
        <v>0</v>
      </c>
      <c r="C255" s="9">
        <f t="array" ref="C255">COUNT(FIND("output",$D255:$BY255))</f>
        <v>1</v>
      </c>
      <c r="AE255" t="s">
        <v>2661</v>
      </c>
    </row>
    <row r="256" spans="1:31" ht="14.45" customHeight="1" x14ac:dyDescent="0.25">
      <c r="A256" s="9" t="str">
        <f>IF(ISBLANK('Signal Definition'!J256),"",'Signal Definition'!J256)</f>
        <v>PredtnHrznGenr_tiVectHrznLong_PHY</v>
      </c>
      <c r="B256" s="9">
        <f t="array" ref="B256">COUNT(FIND("input",$D256:$BY256))</f>
        <v>0</v>
      </c>
      <c r="C256" s="9">
        <f t="array" ref="C256">COUNT(FIND("output",$D256:$BY256))</f>
        <v>1</v>
      </c>
      <c r="AE256" t="s">
        <v>2661</v>
      </c>
    </row>
    <row r="257" spans="1:41" ht="14.45" customHeight="1" x14ac:dyDescent="0.25">
      <c r="A257" s="9" t="str">
        <f>IF(ISBLANK('Signal Definition'!J257),"",'Signal Definition'!J257)</f>
        <v>PredtnHrznGenr_trqVectHrznLong_PHY</v>
      </c>
      <c r="B257" s="9">
        <f t="array" ref="B257">COUNT(FIND("input",$D257:$BY257))</f>
        <v>0</v>
      </c>
      <c r="C257" s="9">
        <f t="array" ref="C257">COUNT(FIND("output",$D257:$BY257))</f>
        <v>1</v>
      </c>
      <c r="AE257" t="s">
        <v>2661</v>
      </c>
    </row>
    <row r="258" spans="1:41" ht="14.45" customHeight="1" x14ac:dyDescent="0.25">
      <c r="A258" s="9" t="str">
        <f>IF(ISBLANK('Signal Definition'!J258),"",'Signal Definition'!J258)</f>
        <v>PredtnHrznGenr_trqVectHrznSho_PHY</v>
      </c>
      <c r="B258" s="9">
        <f t="array" ref="B258">COUNT(FIND("input",$D258:$BY258))</f>
        <v>0</v>
      </c>
      <c r="C258" s="9">
        <f t="array" ref="C258">COUNT(FIND("output",$D258:$BY258))</f>
        <v>1</v>
      </c>
      <c r="AE258" t="s">
        <v>2661</v>
      </c>
    </row>
    <row r="259" spans="1:41" ht="14.45" customHeight="1" x14ac:dyDescent="0.25">
      <c r="A259" s="9" t="str">
        <f>IF(ISBLANK('Signal Definition'!J259),"",'Signal Definition'!J259)</f>
        <v>PredtnHrznGenr_nVectHrznSho_PHY</v>
      </c>
      <c r="B259" s="9">
        <f t="array" ref="B259">COUNT(FIND("input",$D259:$BY259))</f>
        <v>0</v>
      </c>
      <c r="C259" s="9">
        <f t="array" ref="C259">COUNT(FIND("output",$D259:$BY259))</f>
        <v>1</v>
      </c>
      <c r="AE259" t="s">
        <v>2661</v>
      </c>
    </row>
    <row r="260" spans="1:41" ht="14.45" customHeight="1" x14ac:dyDescent="0.25">
      <c r="A260" s="9" t="str">
        <f>IF(ISBLANK('Signal Definition'!J260),"",'Signal Definition'!J260)</f>
        <v>PredtnHrznGenr_nVectHrznLong_PHY</v>
      </c>
      <c r="B260" s="9">
        <f t="array" ref="B260">COUNT(FIND("input",$D260:$BY260))</f>
        <v>0</v>
      </c>
      <c r="C260" s="9">
        <f t="array" ref="C260">COUNT(FIND("output",$D260:$BY260))</f>
        <v>1</v>
      </c>
      <c r="AE260" t="s">
        <v>2661</v>
      </c>
    </row>
    <row r="261" spans="1:41" ht="14.45" customHeight="1" x14ac:dyDescent="0.25">
      <c r="A261" s="9" t="str">
        <f>IF(ISBLANK('Signal Definition'!J261),"",'Signal Definition'!J261)</f>
        <v>PredtnHrznGenr_idxVectHrznLenLong_PHY</v>
      </c>
      <c r="B261" s="9">
        <f t="array" ref="B261">COUNT(FIND("input",$D261:$BY261))</f>
        <v>0</v>
      </c>
      <c r="C261" s="9">
        <f t="array" ref="C261">COUNT(FIND("output",$D261:$BY261))</f>
        <v>1</v>
      </c>
      <c r="AE261" t="s">
        <v>2661</v>
      </c>
    </row>
    <row r="262" spans="1:41" ht="14.45" customHeight="1" x14ac:dyDescent="0.25">
      <c r="A262" s="9" t="str">
        <f>IF(ISBLANK('Signal Definition'!J262),"",'Signal Definition'!J262)</f>
        <v>PredtnHrznGenr_idxVectHrznLenSho_PHY</v>
      </c>
      <c r="B262" s="9">
        <f t="array" ref="B262">COUNT(FIND("input",$D262:$BY262))</f>
        <v>0</v>
      </c>
      <c r="C262" s="9">
        <f t="array" ref="C262">COUNT(FIND("output",$D262:$BY262))</f>
        <v>1</v>
      </c>
      <c r="AE262" t="s">
        <v>2661</v>
      </c>
    </row>
    <row r="263" spans="1:41" ht="14.45" customHeight="1" x14ac:dyDescent="0.25">
      <c r="A263" s="9" t="str">
        <f>IF(ISBLANK('Signal Definition'!J263),"",'Signal Definition'!J263)</f>
        <v>PredtnHrznGenr_tiHrznLenSho_PHY</v>
      </c>
      <c r="B263" s="9">
        <f t="array" ref="B263">COUNT(FIND("input",$D263:$BY263))</f>
        <v>0</v>
      </c>
      <c r="C263" s="9">
        <f t="array" ref="C263">COUNT(FIND("output",$D263:$BY263))</f>
        <v>1</v>
      </c>
      <c r="AE263" t="s">
        <v>2661</v>
      </c>
    </row>
    <row r="264" spans="1:41" ht="14.45" customHeight="1" x14ac:dyDescent="0.25">
      <c r="A264" s="9" t="str">
        <f>IF(ISBLANK('Signal Definition'!J264),"",'Signal Definition'!J264)</f>
        <v>PredtnHrznGenr_tiHrznLenLong_PHY</v>
      </c>
      <c r="B264" s="9">
        <f t="array" ref="B264">COUNT(FIND("input",$D264:$BY264))</f>
        <v>0</v>
      </c>
      <c r="C264" s="9">
        <f t="array" ref="C264">COUNT(FIND("output",$D264:$BY264))</f>
        <v>1</v>
      </c>
      <c r="AE264" t="s">
        <v>2661</v>
      </c>
    </row>
    <row r="265" spans="1:41" ht="14.45" customHeight="1" x14ac:dyDescent="0.25">
      <c r="A265" s="9" t="str">
        <f>IF(ISBLANK('Signal Definition'!J265),"",'Signal Definition'!J265)</f>
        <v>PredtnHrznGenr_stTrigOptmr_PHY</v>
      </c>
      <c r="B265" s="9">
        <f t="array" ref="B265">COUNT(FIND("input",$D265:$BY265))</f>
        <v>0</v>
      </c>
      <c r="C265" s="9">
        <f t="array" ref="C265">COUNT(FIND("output",$D265:$BY265))</f>
        <v>1</v>
      </c>
      <c r="AE265" t="s">
        <v>2661</v>
      </c>
    </row>
    <row r="266" spans="1:41" ht="14.45" customHeight="1" x14ac:dyDescent="0.25">
      <c r="A266" s="9" t="str">
        <f>IF(ISBLANK('Signal Definition'!J266),"",'Signal Definition'!J266)</f>
        <v>PredtnHrznGenr_swtExtSrcPredtnData_PHY</v>
      </c>
      <c r="B266" s="9">
        <f t="array" ref="B266">COUNT(FIND("input",$D266:$BY266))</f>
        <v>0</v>
      </c>
      <c r="C266" s="9">
        <f t="array" ref="C266">COUNT(FIND("output",$D266:$BY266))</f>
        <v>1</v>
      </c>
      <c r="AE266" t="s">
        <v>2661</v>
      </c>
    </row>
    <row r="267" spans="1:41" ht="14.45" customHeight="1" x14ac:dyDescent="0.25">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45" customHeight="1" x14ac:dyDescent="0.25">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45" customHeight="1" x14ac:dyDescent="0.25">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45" customHeight="1" x14ac:dyDescent="0.25">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45" customHeight="1" x14ac:dyDescent="0.25">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45" customHeight="1" x14ac:dyDescent="0.25">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45" customHeight="1" x14ac:dyDescent="0.25">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45" customHeight="1" x14ac:dyDescent="0.25">
      <c r="A274" s="9" t="str">
        <f>IF(ISBLANK('Signal Definition'!J274),"",'Signal Definition'!J274)</f>
        <v>VirtFuAirSpGenr_qInjPil2VectHrzn_INT</v>
      </c>
      <c r="B274" s="9">
        <f t="array" ref="B274">COUNT(FIND("input",$D274:$BY274))</f>
        <v>0</v>
      </c>
      <c r="C274" s="9">
        <f t="array" ref="C274">COUNT(FIND("output",$D274:$BY274))</f>
        <v>1</v>
      </c>
      <c r="AF274" t="s">
        <v>2661</v>
      </c>
    </row>
    <row r="275" spans="1:40" ht="14.45" customHeight="1" x14ac:dyDescent="0.25">
      <c r="A275" s="9" t="str">
        <f>IF(ISBLANK('Signal Definition'!J275),"",'Signal Definition'!J275)</f>
        <v>VirtFuAirSpGenr_qInjPost1VectHrzn_INT</v>
      </c>
      <c r="B275" s="9">
        <f t="array" ref="B275">COUNT(FIND("input",$D275:$BY275))</f>
        <v>0</v>
      </c>
      <c r="C275" s="9">
        <f t="array" ref="C275">COUNT(FIND("output",$D275:$BY275))</f>
        <v>1</v>
      </c>
      <c r="AF275" t="s">
        <v>2661</v>
      </c>
    </row>
    <row r="276" spans="1:40" ht="14.45" customHeight="1" x14ac:dyDescent="0.25">
      <c r="A276" s="9" t="str">
        <f>IF(ISBLANK('Signal Definition'!J276),"",'Signal Definition'!J276)</f>
        <v>VirtFuAirSpGenr_qInjPost2VectHrzn_INT</v>
      </c>
      <c r="B276" s="9">
        <f t="array" ref="B276">COUNT(FIND("input",$D276:$BY276))</f>
        <v>0</v>
      </c>
      <c r="C276" s="9">
        <f t="array" ref="C276">COUNT(FIND("output",$D276:$BY276))</f>
        <v>1</v>
      </c>
      <c r="AF276" t="s">
        <v>2661</v>
      </c>
    </row>
    <row r="277" spans="1:40" ht="14.45" customHeight="1" x14ac:dyDescent="0.25">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45" customHeight="1" x14ac:dyDescent="0.25">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45" customHeight="1" x14ac:dyDescent="0.25">
      <c r="A279" s="9" t="str">
        <f>IF(ISBLANK('Signal Definition'!J279),"",'Signal Definition'!J279)</f>
        <v>VirtFuAirSpGenr_phiInjPil2VectHrzn_INT</v>
      </c>
      <c r="B279" s="9">
        <f t="array" ref="B279">COUNT(FIND("input",$D279:$BY279))</f>
        <v>0</v>
      </c>
      <c r="C279" s="9">
        <f t="array" ref="C279">COUNT(FIND("output",$D279:$BY279))</f>
        <v>1</v>
      </c>
      <c r="AF279" t="s">
        <v>2661</v>
      </c>
    </row>
    <row r="280" spans="1:40" ht="14.45" customHeight="1" x14ac:dyDescent="0.25">
      <c r="A280" s="9" t="str">
        <f>IF(ISBLANK('Signal Definition'!J280),"",'Signal Definition'!J280)</f>
        <v>VirtFuAirSpGenr_phiInjPost1VectHrzn_INT</v>
      </c>
      <c r="B280" s="9">
        <f t="array" ref="B280">COUNT(FIND("input",$D280:$BY280))</f>
        <v>0</v>
      </c>
      <c r="C280" s="9">
        <f t="array" ref="C280">COUNT(FIND("output",$D280:$BY280))</f>
        <v>1</v>
      </c>
      <c r="AF280" t="s">
        <v>2661</v>
      </c>
    </row>
    <row r="281" spans="1:40" ht="14.45" customHeight="1" x14ac:dyDescent="0.25">
      <c r="A281" s="9" t="str">
        <f>IF(ISBLANK('Signal Definition'!J281),"",'Signal Definition'!J281)</f>
        <v>VirtFuAirSpGenr_phiInjPost2VectHrzn_INT</v>
      </c>
      <c r="B281" s="9">
        <f t="array" ref="B281">COUNT(FIND("input",$D281:$BY281))</f>
        <v>0</v>
      </c>
      <c r="C281" s="9">
        <f t="array" ref="C281">COUNT(FIND("output",$D281:$BY281))</f>
        <v>1</v>
      </c>
      <c r="AF281" t="s">
        <v>2661</v>
      </c>
    </row>
    <row r="282" spans="1:40" ht="14.45" customHeight="1" x14ac:dyDescent="0.25">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45" customHeight="1" x14ac:dyDescent="0.25">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45" customHeight="1" x14ac:dyDescent="0.25">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45" customHeight="1" x14ac:dyDescent="0.25">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45" customHeight="1" x14ac:dyDescent="0.25">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45" customHeight="1" x14ac:dyDescent="0.25">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45" customHeight="1" x14ac:dyDescent="0.25">
      <c r="A288" s="9" t="str">
        <f>IF(ISBLANK('Signal Definition'!J288),"",'Signal Definition'!J288)</f>
        <v>EngCtrl_numEngOpertgModOvrd_INT</v>
      </c>
      <c r="B288" s="9">
        <f t="array" ref="B288">COUNT(FIND("input",$D288:$BY288))</f>
        <v>0</v>
      </c>
      <c r="C288" s="9">
        <f t="array" ref="C288">COUNT(FIND("output",$D288:$BY288))</f>
        <v>1</v>
      </c>
      <c r="Y288" t="s">
        <v>2661</v>
      </c>
    </row>
    <row r="289" spans="1:41" ht="14.45" customHeight="1" x14ac:dyDescent="0.25">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45" customHeight="1" x14ac:dyDescent="0.25">
      <c r="A290" s="9" t="str">
        <f>IF(ISBLANK('Signal Definition'!J290),"",'Signal Definition'!J290)</f>
        <v>RouteGenr_lDst_PHY</v>
      </c>
      <c r="B290" s="9">
        <f t="array" ref="B290">COUNT(FIND("input",$D290:$BY290))</f>
        <v>1</v>
      </c>
      <c r="C290" s="9">
        <f t="array" ref="C290">COUNT(FIND("output",$D290:$BY290))</f>
        <v>1</v>
      </c>
      <c r="AI290" t="s">
        <v>2661</v>
      </c>
      <c r="AJ290" t="s">
        <v>2670</v>
      </c>
    </row>
    <row r="291" spans="1:41" ht="14.45" customHeight="1" x14ac:dyDescent="0.25">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45" customHeight="1" x14ac:dyDescent="0.25">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45" customHeight="1" x14ac:dyDescent="0.25">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45" customHeight="1" x14ac:dyDescent="0.25">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45" customHeight="1" x14ac:dyDescent="0.25">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45" customHeight="1" x14ac:dyDescent="0.25">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45" customHeight="1" x14ac:dyDescent="0.25">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45" customHeight="1" x14ac:dyDescent="0.25">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45" customHeight="1" x14ac:dyDescent="0.25">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45" customHeight="1" x14ac:dyDescent="0.25">
      <c r="A300" s="9" t="str">
        <f>IF(ISBLANK('Signal Definition'!J300),"",'Signal Definition'!J300)</f>
        <v>SpdTqTrcGenr_nEngSpdHrzn_INT</v>
      </c>
      <c r="B300" s="9">
        <f t="array" ref="B300">COUNT(FIND("input",$D300:$BY300))</f>
        <v>7</v>
      </c>
      <c r="C300" s="9">
        <f t="array" ref="C300">COUNT(FIND("output",$D300:$BY300))</f>
        <v>1</v>
      </c>
      <c r="AB300" t="s">
        <v>2670</v>
      </c>
      <c r="AC300" t="s">
        <v>2670</v>
      </c>
      <c r="AD300" t="s">
        <v>2670</v>
      </c>
      <c r="AF300" t="s">
        <v>2670</v>
      </c>
      <c r="AK300" t="s">
        <v>2661</v>
      </c>
      <c r="AM300" t="s">
        <v>2670</v>
      </c>
      <c r="AN300" t="s">
        <v>2670</v>
      </c>
      <c r="AO300" t="s">
        <v>2670</v>
      </c>
    </row>
    <row r="301" spans="1:41" ht="14.45" customHeight="1" x14ac:dyDescent="0.25">
      <c r="A301" s="9" t="str">
        <f>IF(ISBLANK('Signal Definition'!J301),"",'Signal Definition'!J301)</f>
        <v>SpdTqTrcGenr_trqEngTqHrzn_INT</v>
      </c>
      <c r="B301" s="9">
        <f t="array" ref="B301">COUNT(FIND("input",$D301:$BY301))</f>
        <v>4</v>
      </c>
      <c r="C301" s="9">
        <f t="array" ref="C301">COUNT(FIND("output",$D301:$BY301))</f>
        <v>1</v>
      </c>
      <c r="AB301" t="s">
        <v>2670</v>
      </c>
      <c r="AF301" t="s">
        <v>2670</v>
      </c>
      <c r="AK301" t="s">
        <v>2661</v>
      </c>
      <c r="AM301" t="s">
        <v>2670</v>
      </c>
      <c r="AO301" t="s">
        <v>2670</v>
      </c>
    </row>
    <row r="302" spans="1:41" ht="14.45" customHeight="1" x14ac:dyDescent="0.25">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45" customHeight="1" x14ac:dyDescent="0.25">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45" customHeight="1" x14ac:dyDescent="0.25">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45" customHeight="1" x14ac:dyDescent="0.25">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45" customHeight="1" x14ac:dyDescent="0.25">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45" customHeight="1" x14ac:dyDescent="0.25">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45" customHeight="1" x14ac:dyDescent="0.25">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45" customHeight="1" x14ac:dyDescent="0.25">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45" customHeight="1" x14ac:dyDescent="0.25">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45" customHeight="1" x14ac:dyDescent="0.25">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45" customHeight="1" x14ac:dyDescent="0.25">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45" customHeight="1" x14ac:dyDescent="0.25">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45" customHeight="1" x14ac:dyDescent="0.25">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45" customHeight="1" x14ac:dyDescent="0.25">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45" customHeight="1" x14ac:dyDescent="0.25">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45" customHeight="1" x14ac:dyDescent="0.25">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45" customHeight="1" x14ac:dyDescent="0.25">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45" customHeight="1" x14ac:dyDescent="0.25">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45" customHeight="1" x14ac:dyDescent="0.25">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45" customHeight="1" x14ac:dyDescent="0.25">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45" customHeight="1" x14ac:dyDescent="0.25">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45" customHeight="1" x14ac:dyDescent="0.25">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45" customHeight="1" x14ac:dyDescent="0.25">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45" customHeight="1" x14ac:dyDescent="0.25">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45" customHeight="1" x14ac:dyDescent="0.25">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45" customHeight="1" x14ac:dyDescent="0.25">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45" customHeight="1" x14ac:dyDescent="0.25">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45" customHeight="1" x14ac:dyDescent="0.25">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45" customHeight="1" x14ac:dyDescent="0.25">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45" customHeight="1" x14ac:dyDescent="0.25">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45" customHeight="1" x14ac:dyDescent="0.25">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45" customHeight="1" x14ac:dyDescent="0.25">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45" customHeight="1" x14ac:dyDescent="0.25">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45" customHeight="1" x14ac:dyDescent="0.25">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45" customHeight="1" x14ac:dyDescent="0.25">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45" customHeight="1" x14ac:dyDescent="0.25">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45" customHeight="1" x14ac:dyDescent="0.25">
      <c r="A338" s="9" t="str">
        <f>IF(ISBLANK('Signal Definition'!J338),"",'Signal Definition'!J338)</f>
        <v>InpOutp_nGenr_PHY</v>
      </c>
      <c r="B338" s="9">
        <f t="array" ref="B338">COUNT(FIND("input",$D338:$BY338))</f>
        <v>1</v>
      </c>
      <c r="C338" s="9">
        <f t="array" ref="C338">COUNT(FIND("output",$D338:$BY338))</f>
        <v>1</v>
      </c>
      <c r="AG338" t="s">
        <v>2661</v>
      </c>
      <c r="AH338" t="s">
        <v>2670</v>
      </c>
    </row>
    <row r="339" spans="1:34" ht="14.45" customHeight="1" x14ac:dyDescent="0.25">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45" customHeight="1" x14ac:dyDescent="0.25">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45" customHeight="1" x14ac:dyDescent="0.25">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45" customHeight="1" x14ac:dyDescent="0.25">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45" customHeight="1" x14ac:dyDescent="0.25">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45" customHeight="1" x14ac:dyDescent="0.25">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45" customHeight="1" x14ac:dyDescent="0.25">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45" customHeight="1" x14ac:dyDescent="0.25">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45" customHeight="1" x14ac:dyDescent="0.25">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45" customHeight="1" x14ac:dyDescent="0.25">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45" customHeight="1" x14ac:dyDescent="0.25">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45" customHeight="1" x14ac:dyDescent="0.25">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45" customHeight="1" x14ac:dyDescent="0.25">
      <c r="A351" s="9" t="str">
        <f>IF(ISBLANK('Signal Definition'!J351),"",'Signal Definition'!J351)</f>
        <v>InpOutp_aVeh_PHY</v>
      </c>
      <c r="B351" s="9">
        <f t="array" ref="B351">COUNT(FIND("input",$D351:$BY351))</f>
        <v>1</v>
      </c>
      <c r="C351" s="9">
        <f t="array" ref="C351">COUNT(FIND("output",$D351:$BY351))</f>
        <v>1</v>
      </c>
      <c r="AG351" t="s">
        <v>2661</v>
      </c>
      <c r="AH351" t="s">
        <v>2670</v>
      </c>
    </row>
    <row r="352" spans="1:34" ht="14.45" customHeight="1" x14ac:dyDescent="0.25">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45" customHeight="1" x14ac:dyDescent="0.25">
      <c r="A353" s="9" t="str">
        <f>IF(ISBLANK('Signal Definition'!J353),"",'Signal Definition'!J353)</f>
        <v>DrvrMdl_swtCrk_PHY</v>
      </c>
      <c r="B353" s="9">
        <f t="array" ref="B353">COUNT(FIND("input",$D353:$BY353))</f>
        <v>1</v>
      </c>
      <c r="C353" s="9">
        <f t="array" ref="C353">COUNT(FIND("output",$D353:$BY353))</f>
        <v>1</v>
      </c>
      <c r="E353" t="s">
        <v>2661</v>
      </c>
      <c r="AG353" t="s">
        <v>2670</v>
      </c>
    </row>
    <row r="354" spans="1:34" ht="14.45" customHeight="1" x14ac:dyDescent="0.25">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45" customHeight="1" x14ac:dyDescent="0.25">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45" customHeight="1" x14ac:dyDescent="0.25">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45" customHeight="1" x14ac:dyDescent="0.25">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45" customHeight="1" x14ac:dyDescent="0.25">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45" customHeight="1" x14ac:dyDescent="0.25">
      <c r="A359" s="9" t="str">
        <f>IF(ISBLANK('Signal Definition'!J359),"",'Signal Definition'!J359)</f>
        <v>EngMdl_pFuRail_PHY</v>
      </c>
      <c r="B359" s="9">
        <f t="array" ref="B359">COUNT(FIND("input",$D359:$BY359))</f>
        <v>1</v>
      </c>
      <c r="C359" s="9">
        <f t="array" ref="C359">COUNT(FIND("output",$D359:$BY359))</f>
        <v>1</v>
      </c>
      <c r="K359" t="s">
        <v>2661</v>
      </c>
      <c r="AG359" t="s">
        <v>2670</v>
      </c>
    </row>
    <row r="360" spans="1:34" ht="14.45" customHeight="1" x14ac:dyDescent="0.25">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45" customHeight="1" x14ac:dyDescent="0.25">
      <c r="A361" s="9" t="str">
        <f>IF(ISBLANK('Signal Definition'!J361),"",'Signal Definition'!J361)</f>
        <v>RealECU_numOperModAct_PHY</v>
      </c>
      <c r="B361" s="9">
        <f t="array" ref="B361">COUNT(FIND("input",$D361:$BY361))</f>
        <v>0</v>
      </c>
      <c r="C361" s="9">
        <f t="array" ref="C361">COUNT(FIND("output",$D361:$BY361))</f>
        <v>1</v>
      </c>
      <c r="AH361" t="s">
        <v>2661</v>
      </c>
    </row>
    <row r="362" spans="1:34" ht="14.45" customHeight="1" x14ac:dyDescent="0.25">
      <c r="A362" s="9" t="str">
        <f>IF(ISBLANK('Signal Definition'!J362),"",'Signal Definition'!J362)</f>
        <v>RealECU_qInjTot_PHY</v>
      </c>
      <c r="B362" s="9">
        <f t="array" ref="B362">COUNT(FIND("input",$D362:$BY362))</f>
        <v>0</v>
      </c>
      <c r="C362" s="9">
        <f t="array" ref="C362">COUNT(FIND("output",$D362:$BY362))</f>
        <v>1</v>
      </c>
      <c r="AH362" t="s">
        <v>2661</v>
      </c>
    </row>
    <row r="363" spans="1:34" ht="14.45" customHeight="1" x14ac:dyDescent="0.25">
      <c r="A363" s="9" t="str">
        <f>IF(ISBLANK('Signal Definition'!J363),"",'Signal Definition'!J363)</f>
        <v>RealECU_qInjMai1_PHY</v>
      </c>
      <c r="B363" s="9">
        <f t="array" ref="B363">COUNT(FIND("input",$D363:$BY363))</f>
        <v>0</v>
      </c>
      <c r="C363" s="9">
        <f t="array" ref="C363">COUNT(FIND("output",$D363:$BY363))</f>
        <v>1</v>
      </c>
      <c r="AH363" t="s">
        <v>2661</v>
      </c>
    </row>
    <row r="364" spans="1:34" ht="14.45" customHeight="1" x14ac:dyDescent="0.25">
      <c r="A364" s="9" t="str">
        <f>IF(ISBLANK('Signal Definition'!J364),"",'Signal Definition'!J364)</f>
        <v>RealECU_qInjPil1_PHY</v>
      </c>
      <c r="B364" s="9">
        <f t="array" ref="B364">COUNT(FIND("input",$D364:$BY364))</f>
        <v>0</v>
      </c>
      <c r="C364" s="9">
        <f t="array" ref="C364">COUNT(FIND("output",$D364:$BY364))</f>
        <v>1</v>
      </c>
      <c r="AH364" t="s">
        <v>2661</v>
      </c>
    </row>
    <row r="365" spans="1:34" ht="14.45" customHeight="1" x14ac:dyDescent="0.25">
      <c r="A365" s="9" t="str">
        <f>IF(ISBLANK('Signal Definition'!J365),"",'Signal Definition'!J365)</f>
        <v>RealECU_qInjPil2_PHY</v>
      </c>
      <c r="B365" s="9">
        <f t="array" ref="B365">COUNT(FIND("input",$D365:$BY365))</f>
        <v>0</v>
      </c>
      <c r="C365" s="9">
        <f t="array" ref="C365">COUNT(FIND("output",$D365:$BY365))</f>
        <v>1</v>
      </c>
      <c r="AH365" t="s">
        <v>2661</v>
      </c>
    </row>
    <row r="366" spans="1:34" ht="14.45" customHeight="1" x14ac:dyDescent="0.25">
      <c r="A366" s="9" t="str">
        <f>IF(ISBLANK('Signal Definition'!J366),"",'Signal Definition'!J366)</f>
        <v>RealECU_qInjPost1_PHY</v>
      </c>
      <c r="B366" s="9">
        <f t="array" ref="B366">COUNT(FIND("input",$D366:$BY366))</f>
        <v>0</v>
      </c>
      <c r="C366" s="9">
        <f t="array" ref="C366">COUNT(FIND("output",$D366:$BY366))</f>
        <v>1</v>
      </c>
      <c r="AH366" t="s">
        <v>2661</v>
      </c>
    </row>
    <row r="367" spans="1:34" ht="14.45" customHeight="1" x14ac:dyDescent="0.25">
      <c r="A367" s="9" t="str">
        <f>IF(ISBLANK('Signal Definition'!J367),"",'Signal Definition'!J367)</f>
        <v>RealECU_qInjPost2_PHY</v>
      </c>
      <c r="B367" s="9">
        <f t="array" ref="B367">COUNT(FIND("input",$D367:$BY367))</f>
        <v>0</v>
      </c>
      <c r="C367" s="9">
        <f t="array" ref="C367">COUNT(FIND("output",$D367:$BY367))</f>
        <v>1</v>
      </c>
      <c r="AH367" t="s">
        <v>2661</v>
      </c>
    </row>
    <row r="368" spans="1:34" ht="14.45" customHeight="1" x14ac:dyDescent="0.25">
      <c r="A368" s="9" t="str">
        <f>IF(ISBLANK('Signal Definition'!J368),"",'Signal Definition'!J368)</f>
        <v>RealECU_phiInjMai1_PHY</v>
      </c>
      <c r="B368" s="9">
        <f t="array" ref="B368">COUNT(FIND("input",$D368:$BY368))</f>
        <v>0</v>
      </c>
      <c r="C368" s="9">
        <f t="array" ref="C368">COUNT(FIND("output",$D368:$BY368))</f>
        <v>1</v>
      </c>
      <c r="AH368" t="s">
        <v>2661</v>
      </c>
    </row>
    <row r="369" spans="1:34" ht="14.45" customHeight="1" x14ac:dyDescent="0.25">
      <c r="A369" s="9" t="str">
        <f>IF(ISBLANK('Signal Definition'!J369),"",'Signal Definition'!J369)</f>
        <v>RealECU_phiInjPil1_PHY</v>
      </c>
      <c r="B369" s="9">
        <f t="array" ref="B369">COUNT(FIND("input",$D369:$BY369))</f>
        <v>0</v>
      </c>
      <c r="C369" s="9">
        <f t="array" ref="C369">COUNT(FIND("output",$D369:$BY369))</f>
        <v>1</v>
      </c>
      <c r="AH369" t="s">
        <v>2661</v>
      </c>
    </row>
    <row r="370" spans="1:34" ht="14.45" customHeight="1" x14ac:dyDescent="0.25">
      <c r="A370" s="9" t="str">
        <f>IF(ISBLANK('Signal Definition'!J370),"",'Signal Definition'!J370)</f>
        <v>RealECU_phiInjPil2_PHY</v>
      </c>
      <c r="B370" s="9">
        <f t="array" ref="B370">COUNT(FIND("input",$D370:$BY370))</f>
        <v>0</v>
      </c>
      <c r="C370" s="9">
        <f t="array" ref="C370">COUNT(FIND("output",$D370:$BY370))</f>
        <v>1</v>
      </c>
      <c r="AH370" t="s">
        <v>2661</v>
      </c>
    </row>
    <row r="371" spans="1:34" ht="14.45" customHeight="1" x14ac:dyDescent="0.25">
      <c r="A371" s="9" t="str">
        <f>IF(ISBLANK('Signal Definition'!J371),"",'Signal Definition'!J371)</f>
        <v>RealECU_phiInjPost1_PHY</v>
      </c>
      <c r="B371" s="9">
        <f t="array" ref="B371">COUNT(FIND("input",$D371:$BY371))</f>
        <v>0</v>
      </c>
      <c r="C371" s="9">
        <f t="array" ref="C371">COUNT(FIND("output",$D371:$BY371))</f>
        <v>1</v>
      </c>
      <c r="AH371" t="s">
        <v>2661</v>
      </c>
    </row>
    <row r="372" spans="1:34" ht="14.45" customHeight="1" x14ac:dyDescent="0.25">
      <c r="A372" s="9" t="str">
        <f>IF(ISBLANK('Signal Definition'!J372),"",'Signal Definition'!J372)</f>
        <v>RealECU_phiInjPost2_PHY</v>
      </c>
      <c r="B372" s="9">
        <f t="array" ref="B372">COUNT(FIND("input",$D372:$BY372))</f>
        <v>0</v>
      </c>
      <c r="C372" s="9">
        <f t="array" ref="C372">COUNT(FIND("output",$D372:$BY372))</f>
        <v>1</v>
      </c>
      <c r="AH372" t="s">
        <v>2661</v>
      </c>
    </row>
    <row r="373" spans="1:34" ht="14.45" customHeight="1" x14ac:dyDescent="0.25">
      <c r="A373" s="9" t="str">
        <f>IF(ISBLANK('Signal Definition'!J373),"",'Signal Definition'!J373)</f>
        <v>RealECU_pFuRailDes_PHY</v>
      </c>
      <c r="B373" s="9">
        <f t="array" ref="B373">COUNT(FIND("input",$D373:$BY373))</f>
        <v>0</v>
      </c>
      <c r="C373" s="9">
        <f t="array" ref="C373">COUNT(FIND("output",$D373:$BY373))</f>
        <v>1</v>
      </c>
      <c r="AH373" t="s">
        <v>2661</v>
      </c>
    </row>
    <row r="374" spans="1:34" ht="14.45" customHeight="1" x14ac:dyDescent="0.25">
      <c r="A374" s="9" t="str">
        <f>IF(ISBLANK('Signal Definition'!J374),"",'Signal Definition'!J374)</f>
        <v>RealECU_nEngSetLo_PHY</v>
      </c>
      <c r="B374" s="9">
        <f t="array" ref="B374">COUNT(FIND("input",$D374:$BY374))</f>
        <v>0</v>
      </c>
      <c r="C374" s="9">
        <f t="array" ref="C374">COUNT(FIND("output",$D374:$BY374))</f>
        <v>1</v>
      </c>
      <c r="AH374" t="s">
        <v>2661</v>
      </c>
    </row>
    <row r="375" spans="1:34" ht="14.45" customHeight="1" x14ac:dyDescent="0.25">
      <c r="A375" s="9" t="str">
        <f>IF(ISBLANK('Signal Definition'!J375),"",'Signal Definition'!J375)</f>
        <v>RealECU_trqEngMax_PHY</v>
      </c>
      <c r="B375" s="9">
        <f t="array" ref="B375">COUNT(FIND("input",$D375:$BY375))</f>
        <v>0</v>
      </c>
      <c r="C375" s="9">
        <f t="array" ref="C375">COUNT(FIND("output",$D375:$BY375))</f>
        <v>1</v>
      </c>
      <c r="AH375" t="s">
        <v>2661</v>
      </c>
    </row>
    <row r="376" spans="1:34" ht="14.45" customHeight="1" x14ac:dyDescent="0.25">
      <c r="A376" s="9" t="str">
        <f>IF(ISBLANK('Signal Definition'!J376),"",'Signal Definition'!J376)</f>
        <v>RealECU_prcEngActTq_PHY</v>
      </c>
      <c r="B376" s="9">
        <f t="array" ref="B376">COUNT(FIND("input",$D376:$BY376))</f>
        <v>0</v>
      </c>
      <c r="C376" s="9">
        <f t="array" ref="C376">COUNT(FIND("output",$D376:$BY376))</f>
        <v>1</v>
      </c>
      <c r="AH376" t="s">
        <v>2661</v>
      </c>
    </row>
    <row r="377" spans="1:34" ht="14.45" customHeight="1" x14ac:dyDescent="0.25">
      <c r="A377" s="9" t="str">
        <f>IF(ISBLANK('Signal Definition'!J377),"",'Signal Definition'!J377)</f>
        <v>RealECU_prcEngActTqFrac_PHY</v>
      </c>
      <c r="B377" s="9">
        <f t="array" ref="B377">COUNT(FIND("input",$D377:$BY377))</f>
        <v>0</v>
      </c>
      <c r="C377" s="9">
        <f t="array" ref="C377">COUNT(FIND("output",$D377:$BY377))</f>
        <v>1</v>
      </c>
      <c r="AH377" t="s">
        <v>2661</v>
      </c>
    </row>
    <row r="378" spans="1:34" ht="14.45" customHeight="1" x14ac:dyDescent="0.25">
      <c r="A378" s="9" t="str">
        <f>IF(ISBLANK('Signal Definition'!J378),"",'Signal Definition'!J378)</f>
        <v>RealECU_prcEngFricTq_PHY</v>
      </c>
      <c r="B378" s="9">
        <f t="array" ref="B378">COUNT(FIND("input",$D378:$BY378))</f>
        <v>0</v>
      </c>
      <c r="C378" s="9">
        <f t="array" ref="C378">COUNT(FIND("output",$D378:$BY378))</f>
        <v>1</v>
      </c>
      <c r="AH378" t="s">
        <v>2661</v>
      </c>
    </row>
    <row r="379" spans="1:34" ht="14.45" customHeight="1" x14ac:dyDescent="0.25">
      <c r="A379" s="9" t="str">
        <f>IF(ISBLANK('Signal Definition'!J379),"",'Signal Definition'!J379)</f>
        <v>RealECU_mflUreaDes_PHY</v>
      </c>
      <c r="B379" s="9">
        <f t="array" ref="B379">COUNT(FIND("input",$D379:$BY379))</f>
        <v>0</v>
      </c>
      <c r="C379" s="9">
        <f t="array" ref="C379">COUNT(FIND("output",$D379:$BY379))</f>
        <v>1</v>
      </c>
      <c r="AH379" t="s">
        <v>2661</v>
      </c>
    </row>
    <row r="380" spans="1:34" ht="14.45" customHeight="1" x14ac:dyDescent="0.25">
      <c r="A380" s="9" t="str">
        <f>IF(ISBLANK('Signal Definition'!J380),"",'Signal Definition'!J380)</f>
        <v>RealECU_nFanDes_PHY</v>
      </c>
      <c r="B380" s="9">
        <f t="array" ref="B380">COUNT(FIND("input",$D380:$BY380))</f>
        <v>0</v>
      </c>
      <c r="C380" s="9">
        <f t="array" ref="C380">COUNT(FIND("output",$D380:$BY380))</f>
        <v>1</v>
      </c>
      <c r="AH380" t="s">
        <v>2661</v>
      </c>
    </row>
    <row r="381" spans="1:34" ht="14.45" customHeight="1" x14ac:dyDescent="0.25">
      <c r="A381" s="9" t="str">
        <f>IF(ISBLANK('Signal Definition'!J381),"",'Signal Definition'!J381)</f>
        <v>RealECU_prcEngDrvrDmdTq_PHY</v>
      </c>
      <c r="B381" s="9">
        <f t="array" ref="B381">COUNT(FIND("input",$D381:$BY381))</f>
        <v>0</v>
      </c>
      <c r="C381" s="9">
        <f t="array" ref="C381">COUNT(FIND("output",$D381:$BY381))</f>
        <v>1</v>
      </c>
      <c r="AH381" t="s">
        <v>2661</v>
      </c>
    </row>
    <row r="382" spans="1:34" ht="14.45" customHeight="1" x14ac:dyDescent="0.25">
      <c r="A382" s="9" t="str">
        <f>IF(ISBLANK('Signal Definition'!J382),"",'Signal Definition'!J382)</f>
        <v>RealECU_trqEngSetInr_PHY</v>
      </c>
      <c r="B382" s="9">
        <f t="array" ref="B382">COUNT(FIND("input",$D382:$BY382))</f>
        <v>0</v>
      </c>
      <c r="C382" s="9">
        <f t="array" ref="C382">COUNT(FIND("output",$D382:$BY382))</f>
        <v>1</v>
      </c>
      <c r="AH382" t="s">
        <v>2661</v>
      </c>
    </row>
    <row r="383" spans="1:34" ht="14.45" customHeight="1" x14ac:dyDescent="0.25">
      <c r="A383" s="9" t="str">
        <f>IF(ISBLANK('Signal Definition'!J383),"",'Signal Definition'!J383)</f>
        <v>RealECU_prcTrbVlvDes_PHY</v>
      </c>
      <c r="B383" s="9">
        <f t="array" ref="B383">COUNT(FIND("input",$D383:$BY383))</f>
        <v>0</v>
      </c>
      <c r="C383" s="9">
        <f t="array" ref="C383">COUNT(FIND("output",$D383:$BY383))</f>
        <v>1</v>
      </c>
      <c r="AH383" t="s">
        <v>2661</v>
      </c>
    </row>
    <row r="384" spans="1:34" ht="14.45" customHeight="1" x14ac:dyDescent="0.25">
      <c r="A384" s="9" t="str">
        <f>IF(ISBLANK('Signal Definition'!J384),"",'Signal Definition'!J384)</f>
        <v>RealECU_prcEgrVlvDes_PHY</v>
      </c>
      <c r="B384" s="9">
        <f t="array" ref="B384">COUNT(FIND("input",$D384:$BY384))</f>
        <v>0</v>
      </c>
      <c r="C384" s="9">
        <f t="array" ref="C384">COUNT(FIND("output",$D384:$BY384))</f>
        <v>1</v>
      </c>
      <c r="AH384" t="s">
        <v>2661</v>
      </c>
    </row>
    <row r="385" spans="1:34" ht="14.45" customHeight="1" x14ac:dyDescent="0.25">
      <c r="A385" s="9" t="str">
        <f>IF(ISBLANK('Signal Definition'!J385),"",'Signal Definition'!J385)</f>
        <v>RealECU_prcThrVlvDes_PHY</v>
      </c>
      <c r="B385" s="9">
        <f t="array" ref="B385">COUNT(FIND("input",$D385:$BY385))</f>
        <v>0</v>
      </c>
      <c r="C385" s="9">
        <f t="array" ref="C385">COUNT(FIND("output",$D385:$BY385))</f>
        <v>1</v>
      </c>
      <c r="AH385" t="s">
        <v>2661</v>
      </c>
    </row>
    <row r="386" spans="1:34" ht="14.45" customHeight="1" x14ac:dyDescent="0.25">
      <c r="A386" s="9" t="str">
        <f>IF(ISBLANK('Signal Definition'!J386),"",'Signal Definition'!J386)</f>
        <v>RealECU_stCrsCtrl_PHY</v>
      </c>
      <c r="B386" s="9">
        <f t="array" ref="B386">COUNT(FIND("input",$D386:$BY386))</f>
        <v>0</v>
      </c>
      <c r="C386" s="9">
        <f t="array" ref="C386">COUNT(FIND("output",$D386:$BY386))</f>
        <v>1</v>
      </c>
      <c r="AH386" t="s">
        <v>2661</v>
      </c>
    </row>
    <row r="387" spans="1:34" ht="14.45" customHeight="1" x14ac:dyDescent="0.25">
      <c r="A387" s="9" t="str">
        <f>IF(ISBLANK('Signal Definition'!J387),"",'Signal Definition'!J387)</f>
        <v>RealECU_vVehDesCrsCtrl_PHY</v>
      </c>
      <c r="B387" s="9">
        <f t="array" ref="B387">COUNT(FIND("input",$D387:$BY387))</f>
        <v>0</v>
      </c>
      <c r="C387" s="9">
        <f t="array" ref="C387">COUNT(FIND("output",$D387:$BY387))</f>
        <v>1</v>
      </c>
      <c r="AH387" t="s">
        <v>2661</v>
      </c>
    </row>
    <row r="388" spans="1:34" ht="14.45" customHeight="1" x14ac:dyDescent="0.25">
      <c r="A388" s="9" t="str">
        <f>IF(ISBLANK('Signal Definition'!J388),"",'Signal Definition'!J388)</f>
        <v>RealECU_vVehCrsCtrl_PHY</v>
      </c>
      <c r="B388" s="9">
        <f t="array" ref="B388">COUNT(FIND("input",$D388:$BY388))</f>
        <v>0</v>
      </c>
      <c r="C388" s="9">
        <f t="array" ref="C388">COUNT(FIND("output",$D388:$BY388))</f>
        <v>1</v>
      </c>
      <c r="AH388" t="s">
        <v>2661</v>
      </c>
    </row>
    <row r="389" spans="1:34" ht="14.45" customHeight="1" x14ac:dyDescent="0.25">
      <c r="A389" s="9" t="str">
        <f>IF(ISBLANK('Signal Definition'!J389),"",'Signal Definition'!J389)</f>
        <v>RealECU_pIntkMnfldDes_PHY</v>
      </c>
      <c r="B389" s="9">
        <f t="array" ref="B389">COUNT(FIND("input",$D389:$BY389))</f>
        <v>0</v>
      </c>
      <c r="C389" s="9">
        <f t="array" ref="C389">COUNT(FIND("output",$D389:$BY389))</f>
        <v>1</v>
      </c>
      <c r="AH389" t="s">
        <v>2661</v>
      </c>
    </row>
    <row r="390" spans="1:34" ht="14.45" customHeight="1" x14ac:dyDescent="0.25">
      <c r="A390" s="9" t="str">
        <f>IF(ISBLANK('Signal Definition'!J390),"",'Signal Definition'!J390)</f>
        <v>RealECU_mflChrgdAirDes_PHY</v>
      </c>
      <c r="B390" s="9">
        <f t="array" ref="B390">COUNT(FIND("input",$D390:$BY390))</f>
        <v>0</v>
      </c>
      <c r="C390" s="9">
        <f t="array" ref="C390">COUNT(FIND("output",$D390:$BY390))</f>
        <v>1</v>
      </c>
      <c r="AH390" t="s">
        <v>2661</v>
      </c>
    </row>
    <row r="391" spans="1:34" ht="14.45" customHeight="1" x14ac:dyDescent="0.25">
      <c r="A391" s="9" t="str">
        <f>IF(ISBLANK('Signal Definition'!J391),"",'Signal Definition'!J391)</f>
        <v>RealECU_trqEstimdTotAux_PHY</v>
      </c>
      <c r="B391" s="9">
        <f t="array" ref="B391">COUNT(FIND("input",$D391:$BY391))</f>
        <v>0</v>
      </c>
      <c r="C391" s="9">
        <f t="array" ref="C391">COUNT(FIND("output",$D391:$BY391))</f>
        <v>1</v>
      </c>
      <c r="AH391" t="s">
        <v>2661</v>
      </c>
    </row>
    <row r="392" spans="1:34" ht="14.45" customHeight="1" x14ac:dyDescent="0.25">
      <c r="A392" s="9" t="str">
        <f>IF(ISBLANK('Signal Definition'!J392),"",'Signal Definition'!J392)</f>
        <v>RealECU_swtAirCmpr_PHY</v>
      </c>
      <c r="B392" s="9">
        <f t="array" ref="B392">COUNT(FIND("input",$D392:$BY392))</f>
        <v>0</v>
      </c>
      <c r="C392" s="9">
        <f t="array" ref="C392">COUNT(FIND("output",$D392:$BY392))</f>
        <v>1</v>
      </c>
      <c r="AH392" t="s">
        <v>2661</v>
      </c>
    </row>
    <row r="393" spans="1:34" ht="14.45" customHeight="1" x14ac:dyDescent="0.25">
      <c r="A393" s="9" t="str">
        <f>IF(ISBLANK('Signal Definition'!J393),"",'Signal Definition'!J393)</f>
        <v>RealECU_pAirTank_PHY</v>
      </c>
      <c r="B393" s="9">
        <f t="array" ref="B393">COUNT(FIND("input",$D393:$BY393))</f>
        <v>0</v>
      </c>
      <c r="C393" s="9">
        <f t="array" ref="C393">COUNT(FIND("output",$D393:$BY393))</f>
        <v>1</v>
      </c>
      <c r="AH393" t="s">
        <v>2661</v>
      </c>
    </row>
    <row r="394" spans="1:34" ht="14.45" customHeight="1" x14ac:dyDescent="0.25">
      <c r="A394" s="9" t="str">
        <f>IF(ISBLANK('Signal Definition'!J394),"",'Signal Definition'!J394)</f>
        <v>RealECU_swtAirCmprOpertgMod_PHY</v>
      </c>
      <c r="B394" s="9">
        <f t="array" ref="B394">COUNT(FIND("input",$D394:$BY394))</f>
        <v>0</v>
      </c>
      <c r="C394" s="9">
        <f t="array" ref="C394">COUNT(FIND("output",$D394:$BY394))</f>
        <v>1</v>
      </c>
      <c r="AH394" t="s">
        <v>2661</v>
      </c>
    </row>
    <row r="395" spans="1:34" ht="14.45" customHeight="1" x14ac:dyDescent="0.25">
      <c r="A395" s="9" t="str">
        <f>IF(ISBLANK('Signal Definition'!J395),"",'Signal Definition'!J395)</f>
        <v>RealECU_stBattStOfChrg_PHY</v>
      </c>
      <c r="B395" s="9">
        <f t="array" ref="B395">COUNT(FIND("input",$D395:$BY395))</f>
        <v>0</v>
      </c>
      <c r="C395" s="9">
        <f t="array" ref="C395">COUNT(FIND("output",$D395:$BY395))</f>
        <v>1</v>
      </c>
      <c r="AH395" t="s">
        <v>2661</v>
      </c>
    </row>
    <row r="396" spans="1:34" ht="14.45" customHeight="1" x14ac:dyDescent="0.25">
      <c r="A396" s="9" t="str">
        <f>IF(ISBLANK('Signal Definition'!J396),"",'Signal Definition'!J396)</f>
        <v>RealECU_trqGenr_PHY</v>
      </c>
      <c r="B396" s="9">
        <f t="array" ref="B396">COUNT(FIND("input",$D396:$BY396))</f>
        <v>0</v>
      </c>
      <c r="C396" s="9">
        <f t="array" ref="C396">COUNT(FIND("output",$D396:$BY396))</f>
        <v>1</v>
      </c>
      <c r="AH396" t="s">
        <v>2661</v>
      </c>
    </row>
    <row r="397" spans="1:34" ht="14.45" customHeight="1" x14ac:dyDescent="0.25">
      <c r="A397" s="9" t="str">
        <f>IF(ISBLANK('Signal Definition'!J397),"",'Signal Definition'!J397)</f>
        <v>RealECU_nGenr_PHY</v>
      </c>
      <c r="B397" s="9">
        <f t="array" ref="B397">COUNT(FIND("input",$D397:$BY397))</f>
        <v>0</v>
      </c>
      <c r="C397" s="9">
        <f t="array" ref="C397">COUNT(FIND("output",$D397:$BY397))</f>
        <v>1</v>
      </c>
      <c r="AH397" t="s">
        <v>2661</v>
      </c>
    </row>
    <row r="398" spans="1:34" ht="14.45" customHeight="1" x14ac:dyDescent="0.25">
      <c r="A398" s="9" t="str">
        <f>IF(ISBLANK('Signal Definition'!J398),"",'Signal Definition'!J398)</f>
        <v>RealECU_tCooltSp_PHY</v>
      </c>
      <c r="B398" s="9">
        <f t="array" ref="B398">COUNT(FIND("input",$D398:$BY398))</f>
        <v>0</v>
      </c>
      <c r="C398" s="9">
        <f t="array" ref="C398">COUNT(FIND("output",$D398:$BY398))</f>
        <v>1</v>
      </c>
      <c r="AH398" t="s">
        <v>2661</v>
      </c>
    </row>
    <row r="399" spans="1:34" ht="14.45" customHeight="1" x14ac:dyDescent="0.25">
      <c r="A399" s="9" t="str">
        <f>IF(ISBLANK('Signal Definition'!J399),"",'Signal Definition'!J399)</f>
        <v>RealECU_tIntrTSp_PHY</v>
      </c>
      <c r="B399" s="9">
        <f t="array" ref="B399">COUNT(FIND("input",$D399:$BY399))</f>
        <v>0</v>
      </c>
      <c r="C399" s="9">
        <f t="array" ref="C399">COUNT(FIND("output",$D399:$BY399))</f>
        <v>1</v>
      </c>
      <c r="AH399" t="s">
        <v>2661</v>
      </c>
    </row>
    <row r="400" spans="1:34" ht="14.45" customHeight="1" x14ac:dyDescent="0.25">
      <c r="A400" s="9" t="str">
        <f>IF(ISBLANK('Signal Definition'!J400),"",'Signal Definition'!J400)</f>
        <v>RealECU_nCrksft_PHY</v>
      </c>
      <c r="B400" s="9">
        <f t="array" ref="B400">COUNT(FIND("input",$D400:$BY400))</f>
        <v>0</v>
      </c>
      <c r="C400" s="9">
        <f t="array" ref="C400">COUNT(FIND("output",$D400:$BY400))</f>
        <v>1</v>
      </c>
      <c r="AH400" t="s">
        <v>2661</v>
      </c>
    </row>
    <row r="401" spans="1:38" ht="14.45" customHeight="1" x14ac:dyDescent="0.25">
      <c r="A401" s="9" t="str">
        <f>IF(ISBLANK('Signal Definition'!J401),"",'Signal Definition'!J401)</f>
        <v>RealECU_trqEngTqOut_PHY</v>
      </c>
      <c r="B401" s="9">
        <f t="array" ref="B401">COUNT(FIND("input",$D401:$BY401))</f>
        <v>0</v>
      </c>
      <c r="C401" s="9">
        <f t="array" ref="C401">COUNT(FIND("output",$D401:$BY401))</f>
        <v>1</v>
      </c>
      <c r="AH401" t="s">
        <v>2661</v>
      </c>
    </row>
    <row r="402" spans="1:38" ht="14.45" customHeight="1" x14ac:dyDescent="0.25">
      <c r="A402" s="9" t="str">
        <f>IF(ISBLANK('Signal Definition'!J402),"",'Signal Definition'!J402)</f>
        <v>RealECU_pwrRqrdElecPwrConsumer_PHY</v>
      </c>
      <c r="B402" s="9">
        <f t="array" ref="B402">COUNT(FIND("input",$D402:$BY402))</f>
        <v>0</v>
      </c>
      <c r="C402" s="9">
        <f t="array" ref="C402">COUNT(FIND("output",$D402:$BY402))</f>
        <v>1</v>
      </c>
      <c r="AH402" t="s">
        <v>2661</v>
      </c>
    </row>
    <row r="403" spans="1:38" ht="14.45" customHeight="1" x14ac:dyDescent="0.25">
      <c r="A403" s="9" t="str">
        <f>IF(ISBLANK('Signal Definition'!J403),"",'Signal Definition'!J403)</f>
        <v>RealECU_pwrMotGenrSetPwr_PHY</v>
      </c>
      <c r="B403" s="9">
        <f t="array" ref="B403">COUNT(FIND("input",$D403:$BY403))</f>
        <v>0</v>
      </c>
      <c r="C403" s="9">
        <f t="array" ref="C403">COUNT(FIND("output",$D403:$BY403))</f>
        <v>1</v>
      </c>
      <c r="AH403" t="s">
        <v>2661</v>
      </c>
    </row>
    <row r="404" spans="1:38" ht="14.45" customHeight="1" x14ac:dyDescent="0.25">
      <c r="A404" s="9" t="str">
        <f>IF(ISBLANK('Signal Definition'!J404),"",'Signal Definition'!J404)</f>
        <v>RealECU_pwrMotGenrPwrMax_PHY</v>
      </c>
      <c r="B404" s="9">
        <f t="array" ref="B404">COUNT(FIND("input",$D404:$BY404))</f>
        <v>0</v>
      </c>
      <c r="C404" s="9">
        <f t="array" ref="C404">COUNT(FIND("output",$D404:$BY404))</f>
        <v>1</v>
      </c>
      <c r="AH404" t="s">
        <v>2661</v>
      </c>
    </row>
    <row r="405" spans="1:38" ht="14.45" customHeight="1" x14ac:dyDescent="0.25">
      <c r="A405" s="9" t="str">
        <f>IF(ISBLANK('Signal Definition'!J405),"",'Signal Definition'!J405)</f>
        <v>RealECU_pwrMotGenrPwrMin_PHY</v>
      </c>
      <c r="B405" s="9">
        <f t="array" ref="B405">COUNT(FIND("input",$D405:$BY405))</f>
        <v>0</v>
      </c>
      <c r="C405" s="9">
        <f t="array" ref="C405">COUNT(FIND("output",$D405:$BY405))</f>
        <v>1</v>
      </c>
      <c r="AH405" t="s">
        <v>2661</v>
      </c>
    </row>
    <row r="406" spans="1:38" ht="14.45" customHeight="1" x14ac:dyDescent="0.25">
      <c r="A406" s="9" t="str">
        <f>IF(ISBLANK('Signal Definition'!J406),"",'Signal Definition'!J406)</f>
        <v>RealECU_pwrBattPwrMaxAvl_PHY</v>
      </c>
      <c r="B406" s="9">
        <f t="array" ref="B406">COUNT(FIND("input",$D406:$BY406))</f>
        <v>0</v>
      </c>
      <c r="C406" s="9">
        <f t="array" ref="C406">COUNT(FIND("output",$D406:$BY406))</f>
        <v>1</v>
      </c>
      <c r="AH406" t="s">
        <v>2661</v>
      </c>
    </row>
    <row r="407" spans="1:38" ht="14.45" customHeight="1" x14ac:dyDescent="0.25">
      <c r="A407" s="9" t="str">
        <f>IF(ISBLANK('Signal Definition'!J407),"",'Signal Definition'!J407)</f>
        <v>RealECU_pwrBattPwrMinAvl_PHY</v>
      </c>
      <c r="B407" s="9">
        <f t="array" ref="B407">COUNT(FIND("input",$D407:$BY407))</f>
        <v>0</v>
      </c>
      <c r="C407" s="9">
        <f t="array" ref="C407">COUNT(FIND("output",$D407:$BY407))</f>
        <v>1</v>
      </c>
      <c r="AH407" t="s">
        <v>2661</v>
      </c>
    </row>
    <row r="408" spans="1:38" ht="14.45" customHeight="1" x14ac:dyDescent="0.25">
      <c r="A408" s="9" t="str">
        <f>IF(ISBLANK('Signal Definition'!J408),"",'Signal Definition'!J408)</f>
        <v>RealECU_vVehSpd_PHY</v>
      </c>
      <c r="B408" s="9">
        <f t="array" ref="B408">COUNT(FIND("input",$D408:$BY408))</f>
        <v>0</v>
      </c>
      <c r="C408" s="9">
        <f t="array" ref="C408">COUNT(FIND("output",$D408:$BY408))</f>
        <v>1</v>
      </c>
      <c r="AH408" t="s">
        <v>2661</v>
      </c>
    </row>
    <row r="409" spans="1:38" ht="14.45" customHeight="1" x14ac:dyDescent="0.25">
      <c r="A409" s="9" t="str">
        <f>IF(ISBLANK('Signal Definition'!J409),"",'Signal Definition'!J409)</f>
        <v>RealECU_lDstTrvld_PHY</v>
      </c>
      <c r="B409" s="9">
        <f t="array" ref="B409">COUNT(FIND("input",$D409:$BY409))</f>
        <v>0</v>
      </c>
      <c r="C409" s="9">
        <f t="array" ref="C409">COUNT(FIND("output",$D409:$BY409))</f>
        <v>1</v>
      </c>
      <c r="AH409" t="s">
        <v>2661</v>
      </c>
    </row>
    <row r="410" spans="1:38" ht="14.45" customHeight="1" x14ac:dyDescent="0.25">
      <c r="A410" s="9" t="str">
        <f>IF(ISBLANK('Signal Definition'!J410),"",'Signal Definition'!J410)</f>
        <v>RealECU_aVeh_PHY</v>
      </c>
      <c r="B410" s="9">
        <f t="array" ref="B410">COUNT(FIND("input",$D410:$BY410))</f>
        <v>0</v>
      </c>
      <c r="C410" s="9">
        <f t="array" ref="C410">COUNT(FIND("output",$D410:$BY410))</f>
        <v>1</v>
      </c>
      <c r="AH410" t="s">
        <v>2661</v>
      </c>
    </row>
    <row r="411" spans="1:38" ht="14.45" customHeight="1" x14ac:dyDescent="0.25">
      <c r="A411" s="9" t="str">
        <f>IF(ISBLANK('Signal Definition'!J411),"",'Signal Definition'!J411)</f>
        <v>RealECU_omegaWhlSpd_PHY</v>
      </c>
      <c r="B411" s="9">
        <f t="array" ref="B411">COUNT(FIND("input",$D411:$BY411))</f>
        <v>0</v>
      </c>
      <c r="C411" s="9">
        <f t="array" ref="C411">COUNT(FIND("output",$D411:$BY411))</f>
        <v>1</v>
      </c>
      <c r="AH411" t="s">
        <v>2661</v>
      </c>
    </row>
    <row r="412" spans="1:38" x14ac:dyDescent="0.25">
      <c r="A412" s="9" t="str">
        <f>IF(ISBLANK('Signal Definition'!J412),"",'Signal Definition'!J412)</f>
        <v>RealRPU_swtAirCmpr_PHY</v>
      </c>
      <c r="B412" s="9">
        <f t="array" ref="B412">COUNT(FIND("input",$D412:$BY412))</f>
        <v>0</v>
      </c>
      <c r="C412" s="9">
        <f t="array" ref="C412">COUNT(FIND("output",$D412:$BY412))</f>
        <v>1</v>
      </c>
      <c r="AL412" t="s">
        <v>2661</v>
      </c>
    </row>
    <row r="413" spans="1:38" ht="14.45" customHeight="1" x14ac:dyDescent="0.25">
      <c r="A413" s="9" t="str">
        <f>IF(ISBLANK('Signal Definition'!J413),"",'Signal Definition'!J413)</f>
        <v>RealRPU_swtAirCmprOpertgMod_PHY</v>
      </c>
      <c r="B413" s="9">
        <f t="array" ref="B413">COUNT(FIND("input",$D413:$BY413))</f>
        <v>0</v>
      </c>
      <c r="C413" s="9">
        <f t="array" ref="C413">COUNT(FIND("output",$D413:$BY413))</f>
        <v>1</v>
      </c>
      <c r="AL413" t="s">
        <v>2661</v>
      </c>
    </row>
    <row r="414" spans="1:38" ht="14.45" customHeight="1" x14ac:dyDescent="0.25">
      <c r="A414" s="9" t="str">
        <f>IF(ISBLANK('Signal Definition'!J414),"",'Signal Definition'!J414)</f>
        <v>RealRPU_swtEngOpertgModOvrd_PHY</v>
      </c>
      <c r="B414" s="9">
        <f t="array" ref="B414">COUNT(FIND("input",$D414:$BY414))</f>
        <v>0</v>
      </c>
      <c r="C414" s="9">
        <f t="array" ref="C414">COUNT(FIND("output",$D414:$BY414))</f>
        <v>1</v>
      </c>
      <c r="AL414" t="s">
        <v>2661</v>
      </c>
    </row>
    <row r="415" spans="1:38" ht="14.45" customHeight="1" x14ac:dyDescent="0.25">
      <c r="A415" s="9" t="str">
        <f>IF(ISBLANK('Signal Definition'!J415),"",'Signal Definition'!J415)</f>
        <v>RealRPU_numEngOpertgModOvrd_PHY</v>
      </c>
      <c r="B415" s="9">
        <f t="array" ref="B415">COUNT(FIND("input",$D415:$BY415))</f>
        <v>0</v>
      </c>
      <c r="C415" s="9">
        <f t="array" ref="C415">COUNT(FIND("output",$D415:$BY415))</f>
        <v>1</v>
      </c>
      <c r="AL415" t="s">
        <v>2661</v>
      </c>
    </row>
    <row r="416" spans="1:38" ht="14.45" customHeight="1" x14ac:dyDescent="0.25">
      <c r="A416" s="9" t="str">
        <f>IF(ISBLANK('Signal Definition'!J416),"",'Signal Definition'!J416)</f>
        <v>RealRPU_tCooltSp_PHY</v>
      </c>
      <c r="B416" s="9">
        <f t="array" ref="B416">COUNT(FIND("input",$D416:$BY416))</f>
        <v>0</v>
      </c>
      <c r="C416" s="9">
        <f t="array" ref="C416">COUNT(FIND("output",$D416:$BY416))</f>
        <v>1</v>
      </c>
      <c r="AL416" t="s">
        <v>2661</v>
      </c>
    </row>
    <row r="417" spans="1:41" ht="14.45" customHeight="1" x14ac:dyDescent="0.25">
      <c r="A417" s="9" t="str">
        <f>IF(ISBLANK('Signal Definition'!J417),"",'Signal Definition'!J417)</f>
        <v>RealRPU_tIntrTSp_PHY</v>
      </c>
      <c r="B417" s="9">
        <f t="array" ref="B417">COUNT(FIND("input",$D417:$BY417))</f>
        <v>0</v>
      </c>
      <c r="C417" s="9">
        <f t="array" ref="C417">COUNT(FIND("output",$D417:$BY417))</f>
        <v>1</v>
      </c>
      <c r="AL417" t="s">
        <v>2661</v>
      </c>
    </row>
    <row r="418" spans="1:41" ht="14.45" customHeight="1" x14ac:dyDescent="0.25">
      <c r="A418" s="9" t="str">
        <f>IF(ISBLANK('Signal Definition'!J418),"",'Signal Definition'!J418)</f>
        <v>RealRPU_pwrMotGenrSetPwr_PHY</v>
      </c>
      <c r="B418" s="9">
        <f t="array" ref="B418">COUNT(FIND("input",$D418:$BY418))</f>
        <v>0</v>
      </c>
      <c r="C418" s="9">
        <f t="array" ref="C418">COUNT(FIND("output",$D418:$BY418))</f>
        <v>1</v>
      </c>
      <c r="AL418" t="s">
        <v>2661</v>
      </c>
    </row>
    <row r="419" spans="1:41" x14ac:dyDescent="0.25">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25">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45" customHeight="1" x14ac:dyDescent="0.25">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45" customHeight="1" x14ac:dyDescent="0.25">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45" customHeight="1" x14ac:dyDescent="0.25">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45" customHeight="1" x14ac:dyDescent="0.25">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25">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25">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25">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25">
      <c r="A428" s="9" t="str">
        <f>IF(ISBLANK('Signal Definition'!J428),"",'Signal Definition'!J428)</f>
        <v>EmiCoorr_numDesEngOperModVectHrzn_INT</v>
      </c>
      <c r="B428" s="9">
        <f t="array" ref="B428">COUNT(FIND("input",$D428:$BY428))</f>
        <v>2</v>
      </c>
      <c r="C428" s="9">
        <f t="array" ref="C428">COUNT(FIND("output",$D428:$BY428))</f>
        <v>1</v>
      </c>
      <c r="AB428" t="s">
        <v>2661</v>
      </c>
      <c r="AF428" t="s">
        <v>2670</v>
      </c>
      <c r="AM428" t="s">
        <v>2670</v>
      </c>
    </row>
    <row r="429" spans="1:41" x14ac:dyDescent="0.25">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25">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25">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25">
      <c r="A432" s="9" t="str">
        <f>IF(ISBLANK('Signal Definition'!J432),"",'Signal Definition'!J432)</f>
        <v>HrznAryCalcn_nEngSpdHrznCurrVal_INT</v>
      </c>
      <c r="B432" s="9">
        <f t="array" ref="B432">COUNT(FIND("input",$D432:$BY432))</f>
        <v>0</v>
      </c>
      <c r="C432" s="9">
        <f t="array" ref="C432">COUNT(FIND("output",$D432:$BY432))</f>
        <v>1</v>
      </c>
      <c r="AO432" t="s">
        <v>2661</v>
      </c>
    </row>
    <row r="433" spans="1:41" x14ac:dyDescent="0.25">
      <c r="A433" s="9" t="str">
        <f>IF(ISBLANK('Signal Definition'!J433),"",'Signal Definition'!J433)</f>
        <v>HrznAryCalcn_trqEngTqHrznCurrVal_INT</v>
      </c>
      <c r="B433" s="9">
        <f t="array" ref="B433">COUNT(FIND("input",$D433:$BY433))</f>
        <v>0</v>
      </c>
      <c r="C433" s="9">
        <f t="array" ref="C433">COUNT(FIND("output",$D433:$BY433))</f>
        <v>1</v>
      </c>
      <c r="AO433" t="s">
        <v>2661</v>
      </c>
    </row>
    <row r="434" spans="1:41" x14ac:dyDescent="0.25">
      <c r="A434" s="9" t="str">
        <f>IF(ISBLANK('Signal Definition'!J434),"",'Signal Definition'!J434)</f>
        <v>HrznAryCalcn_tiTiHrznCurrVal_INT</v>
      </c>
      <c r="B434" s="9">
        <f t="array" ref="B434">COUNT(FIND("input",$D434:$BY434))</f>
        <v>0</v>
      </c>
      <c r="C434" s="9">
        <f t="array" ref="C434">COUNT(FIND("output",$D434:$BY434))</f>
        <v>1</v>
      </c>
      <c r="AO434" t="s">
        <v>2661</v>
      </c>
    </row>
    <row r="435" spans="1:41" x14ac:dyDescent="0.25">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25">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25">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25">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25">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25">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25">
      <c r="A441" s="9" t="str">
        <f>IF(ISBLANK('Signal Definition'!J441),"",'Signal Definition'!J441)</f>
        <v>HrznAryCalcn_lDstPredCurrValDe_INT</v>
      </c>
      <c r="B441" s="9">
        <f t="array" ref="B441">COUNT(FIND("input",$D441:$BY441))</f>
        <v>0</v>
      </c>
      <c r="C441" s="9">
        <f t="array" ref="C441">COUNT(FIND("output",$D441:$BY441))</f>
        <v>1</v>
      </c>
      <c r="AO441" t="s">
        <v>2661</v>
      </c>
    </row>
    <row r="442" spans="1:41" x14ac:dyDescent="0.25">
      <c r="A442" s="9" t="str">
        <f>IF(ISBLANK('Signal Definition'!J442),"",'Signal Definition'!J442)</f>
        <v>HrznAryCalcn_lDstPredCurrVal_INT</v>
      </c>
      <c r="B442" s="9">
        <f t="array" ref="B442">COUNT(FIND("input",$D442:$BY442))</f>
        <v>0</v>
      </c>
      <c r="C442" s="9">
        <f t="array" ref="C442">COUNT(FIND("output",$D442:$BY442))</f>
        <v>1</v>
      </c>
      <c r="AO442" t="s">
        <v>2661</v>
      </c>
    </row>
    <row r="443" spans="1:41" x14ac:dyDescent="0.25">
      <c r="A443" s="9" t="str">
        <f>IF(ISBLANK('Signal Definition'!J443),"",'Signal Definition'!J443)</f>
        <v>HrznAryCalcn_vVehVPredCurrVal_INT</v>
      </c>
      <c r="B443" s="9">
        <f t="array" ref="B443">COUNT(FIND("input",$D443:$BY443))</f>
        <v>0</v>
      </c>
      <c r="C443" s="9">
        <f t="array" ref="C443">COUNT(FIND("output",$D443:$BY443))</f>
        <v>1</v>
      </c>
      <c r="AO443" t="s">
        <v>2661</v>
      </c>
    </row>
    <row r="444" spans="1:41" x14ac:dyDescent="0.25">
      <c r="A444" s="9" t="str">
        <f>IF(ISBLANK('Signal Definition'!J444),"",'Signal Definition'!J444)</f>
        <v>HrznAryCalcn_vVehVPredDeltaStep_INT</v>
      </c>
      <c r="B444" s="9">
        <f t="array" ref="B444">COUNT(FIND("input",$D444:$BY444))</f>
        <v>0</v>
      </c>
      <c r="C444" s="9">
        <f t="array" ref="C444">COUNT(FIND("output",$D444:$BY444))</f>
        <v>1</v>
      </c>
      <c r="AO444" t="s">
        <v>2661</v>
      </c>
    </row>
    <row r="445" spans="1:41" x14ac:dyDescent="0.25">
      <c r="A445" s="9" t="str">
        <f>IF(ISBLANK('Signal Definition'!J445),"",'Signal Definition'!J445)</f>
        <v>HrznAryCalcn_nEngSpdPredTrcCurrVal_INT</v>
      </c>
      <c r="B445" s="9">
        <f t="array" ref="B445">COUNT(FIND("input",$D445:$BY445))</f>
        <v>0</v>
      </c>
      <c r="C445" s="9">
        <f t="array" ref="C445">COUNT(FIND("output",$D445:$BY445))</f>
        <v>1</v>
      </c>
      <c r="AO445" t="s">
        <v>2661</v>
      </c>
    </row>
    <row r="446" spans="1:41" x14ac:dyDescent="0.25">
      <c r="A446" s="9" t="str">
        <f>IF(ISBLANK('Signal Definition'!J446),"",'Signal Definition'!J446)</f>
        <v>HrznAryCalcn_trqEngTqPredTrcCurrVal_INT</v>
      </c>
      <c r="B446" s="9">
        <f t="array" ref="B446">COUNT(FIND("input",$D446:$BY446))</f>
        <v>0</v>
      </c>
      <c r="C446" s="9">
        <f t="array" ref="C446">COUNT(FIND("output",$D446:$BY446))</f>
        <v>1</v>
      </c>
      <c r="AO446" t="s">
        <v>2661</v>
      </c>
    </row>
    <row r="447" spans="1:41" x14ac:dyDescent="0.25">
      <c r="A447" s="9" t="str">
        <f>IF(ISBLANK('Signal Definition'!J447),"",'Signal Definition'!J447)</f>
        <v>HrznAryCalcn_lPredtnHrznPosnStrt_INT</v>
      </c>
      <c r="B447" s="9">
        <f t="array" ref="B447">COUNT(FIND("input",$D447:$BY447))</f>
        <v>0</v>
      </c>
      <c r="C447" s="9">
        <f t="array" ref="C447">COUNT(FIND("output",$D447:$BY447))</f>
        <v>1</v>
      </c>
      <c r="AO447" t="s">
        <v>2661</v>
      </c>
    </row>
    <row r="448" spans="1:41" x14ac:dyDescent="0.25">
      <c r="A448" s="9" t="str">
        <f>IF(ISBLANK('Signal Definition'!J448),"",'Signal Definition'!J448)</f>
        <v>HrznAryCalcn_lPredtnHrznPosnEnd_INT</v>
      </c>
      <c r="B448" s="9">
        <f t="array" ref="B448">COUNT(FIND("input",$D448:$BY448))</f>
        <v>0</v>
      </c>
      <c r="C448" s="9">
        <f t="array" ref="C448">COUNT(FIND("output",$D448:$BY448))</f>
        <v>1</v>
      </c>
      <c r="AO448" t="s">
        <v>2661</v>
      </c>
    </row>
    <row r="449" spans="1:41" x14ac:dyDescent="0.25">
      <c r="A449" s="9" t="str">
        <f>IF(ISBLANK('Signal Definition'!J449),"",'Signal Definition'!J449)</f>
        <v>HrznAryCalcn_tiPredtnHrznTiStrt_INT</v>
      </c>
      <c r="B449" s="9">
        <f t="array" ref="B449">COUNT(FIND("input",$D449:$BY449))</f>
        <v>0</v>
      </c>
      <c r="C449" s="9">
        <f t="array" ref="C449">COUNT(FIND("output",$D449:$BY449))</f>
        <v>1</v>
      </c>
      <c r="AO449" t="s">
        <v>2661</v>
      </c>
    </row>
    <row r="450" spans="1:41" x14ac:dyDescent="0.25">
      <c r="A450" s="9" t="str">
        <f>IF(ISBLANK('Signal Definition'!J450),"",'Signal Definition'!J450)</f>
        <v>HrznAryCalcn_tiPredtnHrznTiEnd_INT</v>
      </c>
      <c r="B450" s="9">
        <f t="array" ref="B450">COUNT(FIND("input",$D450:$BY450))</f>
        <v>0</v>
      </c>
      <c r="C450" s="9">
        <f t="array" ref="C450">COUNT(FIND("output",$D450:$BY450))</f>
        <v>1</v>
      </c>
      <c r="AO450" t="s">
        <v>2661</v>
      </c>
    </row>
    <row r="451" spans="1:41" x14ac:dyDescent="0.25">
      <c r="A451" s="9" t="str">
        <f>IF(ISBLANK('Signal Definition'!J451),"",'Signal Definition'!J451)</f>
        <v>HrznAryCalcn_lDstHrznFirst_INT</v>
      </c>
      <c r="B451" s="9">
        <f t="array" ref="B451">COUNT(FIND("input",$D451:$BY451))</f>
        <v>0</v>
      </c>
      <c r="C451" s="9">
        <f t="array" ref="C451">COUNT(FIND("output",$D451:$BY451))</f>
        <v>1</v>
      </c>
      <c r="AO451" t="s">
        <v>2661</v>
      </c>
    </row>
    <row r="452" spans="1:41" x14ac:dyDescent="0.25">
      <c r="A452" s="9" t="str">
        <f>IF(ISBLANK('Signal Definition'!J452),"",'Signal Definition'!J452)</f>
        <v>HrznAryCalcn_lDstHrznLst_INT</v>
      </c>
      <c r="B452" s="9">
        <f t="array" ref="B452">COUNT(FIND("input",$D452:$BY452))</f>
        <v>0</v>
      </c>
      <c r="C452" s="9">
        <f t="array" ref="C452">COUNT(FIND("output",$D452:$BY452))</f>
        <v>1</v>
      </c>
      <c r="AO452" t="s">
        <v>2661</v>
      </c>
    </row>
    <row r="453" spans="1:41" x14ac:dyDescent="0.25">
      <c r="A453" s="9" t="str">
        <f>IF(ISBLANK('Signal Definition'!J453),"",'Signal Definition'!J453)</f>
        <v>HrznAryCalcn_vVehVHrznFirst_INT</v>
      </c>
      <c r="B453" s="9">
        <f t="array" ref="B453">COUNT(FIND("input",$D453:$BY453))</f>
        <v>0</v>
      </c>
      <c r="C453" s="9">
        <f t="array" ref="C453">COUNT(FIND("output",$D453:$BY453))</f>
        <v>1</v>
      </c>
      <c r="AO453" t="s">
        <v>2661</v>
      </c>
    </row>
    <row r="454" spans="1:41" x14ac:dyDescent="0.25">
      <c r="A454" s="9" t="str">
        <f>IF(ISBLANK('Signal Definition'!J454),"",'Signal Definition'!J454)</f>
        <v>HrznAryCalcn_vVehVHrznLst_INT</v>
      </c>
      <c r="B454" s="9">
        <f t="array" ref="B454">COUNT(FIND("input",$D454:$BY454))</f>
        <v>0</v>
      </c>
      <c r="C454" s="9">
        <f t="array" ref="C454">COUNT(FIND("output",$D454:$BY454))</f>
        <v>1</v>
      </c>
      <c r="AO454" t="s">
        <v>2661</v>
      </c>
    </row>
    <row r="455" spans="1:41" x14ac:dyDescent="0.25">
      <c r="A455" s="9" t="str">
        <f>IF(ISBLANK('Signal Definition'!J455),"",'Signal Definition'!J455)</f>
        <v>HrznAryCalcn_pwrPwrHrznFirst_INT</v>
      </c>
      <c r="B455" s="9">
        <f t="array" ref="B455">COUNT(FIND("input",$D455:$BY455))</f>
        <v>0</v>
      </c>
      <c r="C455" s="9">
        <f t="array" ref="C455">COUNT(FIND("output",$D455:$BY455))</f>
        <v>1</v>
      </c>
      <c r="AO455" t="s">
        <v>2661</v>
      </c>
    </row>
    <row r="456" spans="1:41" x14ac:dyDescent="0.25">
      <c r="A456" s="9" t="str">
        <f>IF(ISBLANK('Signal Definition'!J456),"",'Signal Definition'!J456)</f>
        <v>HrznAryCalcn_pwrPwrHrznLst_INT</v>
      </c>
      <c r="B456" s="9">
        <f t="array" ref="B456">COUNT(FIND("input",$D456:$BY456))</f>
        <v>0</v>
      </c>
      <c r="C456" s="9">
        <f t="array" ref="C456">COUNT(FIND("output",$D456:$BY456))</f>
        <v>1</v>
      </c>
      <c r="AO456" t="s">
        <v>2661</v>
      </c>
    </row>
    <row r="457" spans="1:41" x14ac:dyDescent="0.25">
      <c r="A457" s="9" t="str">
        <f>IF(ISBLANK('Signal Definition'!J457),"",'Signal Definition'!J457)</f>
        <v>HrznAryCalcn_pwrPwrPredCurrVal_INT</v>
      </c>
      <c r="B457" s="9">
        <f t="array" ref="B457">COUNT(FIND("input",$D457:$BY457))</f>
        <v>0</v>
      </c>
      <c r="C457" s="9">
        <f t="array" ref="C457">COUNT(FIND("output",$D457:$BY457))</f>
        <v>1</v>
      </c>
      <c r="AO457" t="s">
        <v>2661</v>
      </c>
    </row>
    <row r="458" spans="1:41" x14ac:dyDescent="0.25">
      <c r="A458" s="9" t="str">
        <f>IF(ISBLANK('Signal Definition'!J458),"",'Signal Definition'!J458)</f>
        <v>HrznAryCalcn_nEngSpdHrznFirst_INT</v>
      </c>
      <c r="B458" s="9">
        <f t="array" ref="B458">COUNT(FIND("input",$D458:$BY458))</f>
        <v>0</v>
      </c>
      <c r="C458" s="9">
        <f t="array" ref="C458">COUNT(FIND("output",$D458:$BY458))</f>
        <v>1</v>
      </c>
      <c r="AO458" t="s">
        <v>2661</v>
      </c>
    </row>
    <row r="459" spans="1:41" x14ac:dyDescent="0.25">
      <c r="A459" s="9" t="str">
        <f>IF(ISBLANK('Signal Definition'!J459),"",'Signal Definition'!J459)</f>
        <v>HrznAryCalcn_nEngSpdHrznLst_INT</v>
      </c>
      <c r="B459" s="9">
        <f t="array" ref="B459">COUNT(FIND("input",$D459:$BY459))</f>
        <v>0</v>
      </c>
      <c r="C459" s="9">
        <f t="array" ref="C459">COUNT(FIND("output",$D459:$BY459))</f>
        <v>1</v>
      </c>
      <c r="AO459" t="s">
        <v>2661</v>
      </c>
    </row>
    <row r="460" spans="1:41" x14ac:dyDescent="0.25">
      <c r="A460" s="9" t="str">
        <f>IF(ISBLANK('Signal Definition'!J460),"",'Signal Definition'!J460)</f>
        <v>HrznAryCalcn_trqEngTqHrznFirst_INT</v>
      </c>
      <c r="B460" s="9">
        <f t="array" ref="B460">COUNT(FIND("input",$D460:$BY460))</f>
        <v>0</v>
      </c>
      <c r="C460" s="9">
        <f t="array" ref="C460">COUNT(FIND("output",$D460:$BY460))</f>
        <v>1</v>
      </c>
      <c r="AO460" t="s">
        <v>2661</v>
      </c>
    </row>
    <row r="461" spans="1:41" x14ac:dyDescent="0.25">
      <c r="A461" s="9" t="str">
        <f>IF(ISBLANK('Signal Definition'!J461),"",'Signal Definition'!J461)</f>
        <v>HrznAryCalcn_trqEngTqHrznLst_INT</v>
      </c>
      <c r="B461" s="9">
        <f t="array" ref="B461">COUNT(FIND("input",$D461:$BY461))</f>
        <v>0</v>
      </c>
      <c r="C461" s="9">
        <f t="array" ref="C461">COUNT(FIND("output",$D461:$BY461))</f>
        <v>1</v>
      </c>
      <c r="AO461" t="s">
        <v>2661</v>
      </c>
    </row>
    <row r="462" spans="1:41" x14ac:dyDescent="0.25">
      <c r="A462" s="9" t="str">
        <f>IF(ISBLANK('Signal Definition'!J462),"",'Signal Definition'!J462)</f>
        <v>RouteGenr_lActDst_PHY</v>
      </c>
      <c r="B462" s="9">
        <f t="array" ref="B462">COUNT(FIND("input",$D462:$BY462))</f>
        <v>2</v>
      </c>
      <c r="C462" s="9">
        <f t="array" ref="C462">COUNT(FIND("output",$D462:$BY462))</f>
        <v>1</v>
      </c>
      <c r="AI462" t="s">
        <v>2661</v>
      </c>
      <c r="AJ462" t="s">
        <v>2670</v>
      </c>
      <c r="AK462" t="s">
        <v>2670</v>
      </c>
    </row>
    <row r="463" spans="1:41" x14ac:dyDescent="0.25">
      <c r="A463" s="9" t="str">
        <f>IF(ISBLANK('Signal Definition'!J463),"",'Signal Definition'!J463)</f>
        <v/>
      </c>
      <c r="B463" s="9">
        <f t="array" ref="B463">COUNT(FIND("input",$D463:$BY463))</f>
        <v>0</v>
      </c>
      <c r="C463" s="9">
        <f t="array" ref="C463">COUNT(FIND("output",$D463:$BY463))</f>
        <v>0</v>
      </c>
    </row>
    <row r="464" spans="1:41"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sheetData>
  <sheetProtection password="D3ED"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5"/>
  <sheetViews>
    <sheetView topLeftCell="A22" zoomScale="95" zoomScaleNormal="95" workbookViewId="0">
      <selection activeCell="B54" sqref="B54"/>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5">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5">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5">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5">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5">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5">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5">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5">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5">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5">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5">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5">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5">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5">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5">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5">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5">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5">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5">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5">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5">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5">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5">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5">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5">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5">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5">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5">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5">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5">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5">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5">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5">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5">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5">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5">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5">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5">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5">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5">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5">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5">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5">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5">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5">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5">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5">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5">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0.01</v>
      </c>
    </row>
    <row r="52" spans="1:16" x14ac:dyDescent="0.25">
      <c r="A52" t="s">
        <v>4240</v>
      </c>
      <c r="B52" t="s">
        <v>4241</v>
      </c>
      <c r="C52" t="s">
        <v>4242</v>
      </c>
      <c r="D52" t="s">
        <v>3697</v>
      </c>
      <c r="E52" t="s">
        <v>3849</v>
      </c>
      <c r="F52" t="s">
        <v>2701</v>
      </c>
      <c r="G52" t="s">
        <v>113</v>
      </c>
      <c r="H52" t="s">
        <v>2568</v>
      </c>
      <c r="I52" s="68" t="s">
        <v>4243</v>
      </c>
      <c r="J52" t="s">
        <v>14</v>
      </c>
      <c r="K52">
        <v>0</v>
      </c>
      <c r="L52">
        <v>0</v>
      </c>
      <c r="M52">
        <v>1</v>
      </c>
      <c r="N52">
        <v>2.0000000000000001E-10</v>
      </c>
      <c r="O52">
        <v>4294967296</v>
      </c>
      <c r="P52" s="54">
        <v>0</v>
      </c>
    </row>
    <row r="53" spans="1:16" x14ac:dyDescent="0.25">
      <c r="A53" t="s">
        <v>4244</v>
      </c>
      <c r="B53" t="s">
        <v>4245</v>
      </c>
      <c r="C53" t="s">
        <v>4246</v>
      </c>
      <c r="D53" t="s">
        <v>2716</v>
      </c>
      <c r="E53" t="s">
        <v>2717</v>
      </c>
      <c r="F53" t="s">
        <v>2669</v>
      </c>
      <c r="G53" t="s">
        <v>113</v>
      </c>
      <c r="H53" t="s">
        <v>2568</v>
      </c>
      <c r="I53" s="68" t="s">
        <v>4247</v>
      </c>
      <c r="J53" t="s">
        <v>14</v>
      </c>
      <c r="K53">
        <v>0</v>
      </c>
      <c r="L53">
        <v>0</v>
      </c>
      <c r="M53">
        <v>1</v>
      </c>
      <c r="N53">
        <v>2.0000000000000001E-10</v>
      </c>
      <c r="O53">
        <v>4294967296</v>
      </c>
      <c r="P53" s="54">
        <v>1</v>
      </c>
    </row>
    <row r="54" spans="1:16" x14ac:dyDescent="0.25">
      <c r="A54" t="s">
        <v>4248</v>
      </c>
      <c r="B54" t="s">
        <v>4249</v>
      </c>
      <c r="C54" t="s">
        <v>4250</v>
      </c>
      <c r="D54" t="s">
        <v>2716</v>
      </c>
      <c r="E54" t="s">
        <v>2717</v>
      </c>
      <c r="F54" t="s">
        <v>2669</v>
      </c>
      <c r="G54" t="s">
        <v>113</v>
      </c>
      <c r="H54" t="s">
        <v>2637</v>
      </c>
      <c r="I54" s="68" t="s">
        <v>4251</v>
      </c>
      <c r="J54" t="s">
        <v>14</v>
      </c>
      <c r="K54" t="s">
        <v>4252</v>
      </c>
      <c r="L54">
        <v>0</v>
      </c>
      <c r="M54">
        <v>5</v>
      </c>
      <c r="N54">
        <v>1.2E-9</v>
      </c>
      <c r="O54">
        <v>4294967296</v>
      </c>
      <c r="P54" s="54" t="s">
        <v>4253</v>
      </c>
    </row>
    <row r="55" spans="1:16" x14ac:dyDescent="0.25">
      <c r="A55" t="s">
        <v>4254</v>
      </c>
      <c r="B55" t="s">
        <v>4255</v>
      </c>
      <c r="C55" t="s">
        <v>4256</v>
      </c>
      <c r="D55" t="s">
        <v>2716</v>
      </c>
      <c r="E55" t="s">
        <v>2717</v>
      </c>
      <c r="F55" t="s">
        <v>2669</v>
      </c>
      <c r="G55" t="s">
        <v>113</v>
      </c>
      <c r="H55" t="s">
        <v>2638</v>
      </c>
      <c r="I55" s="68" t="s">
        <v>4257</v>
      </c>
      <c r="J55" t="s">
        <v>14</v>
      </c>
      <c r="K55" t="s">
        <v>4252</v>
      </c>
      <c r="L55">
        <v>0</v>
      </c>
      <c r="M55">
        <v>10</v>
      </c>
      <c r="N55">
        <v>2.2999999999999999E-9</v>
      </c>
      <c r="O55">
        <v>4294967296</v>
      </c>
      <c r="P55" s="54" t="s">
        <v>4258</v>
      </c>
    </row>
  </sheetData>
  <sheetProtection password="D3ED" sheet="1" objects="1" scenarios="1"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2789</v>
      </c>
      <c r="E9" s="20" t="s">
        <v>2828</v>
      </c>
      <c r="H9" s="34" t="s">
        <v>90</v>
      </c>
      <c r="I9" s="30" t="s">
        <v>89</v>
      </c>
      <c r="J9" s="32" t="s">
        <v>2604</v>
      </c>
      <c r="L9" s="64"/>
      <c r="M9" s="58" t="s">
        <v>2782</v>
      </c>
      <c r="N9" s="61" t="s">
        <v>2827</v>
      </c>
    </row>
    <row r="10" spans="1:16" x14ac:dyDescent="0.25">
      <c r="A10" s="21" t="s">
        <v>153</v>
      </c>
      <c r="B10" s="21" t="s">
        <v>154</v>
      </c>
      <c r="C10" s="36"/>
      <c r="D10" s="19" t="s">
        <v>2792</v>
      </c>
      <c r="E10" s="20" t="s">
        <v>2831</v>
      </c>
      <c r="H10" s="34" t="s">
        <v>115</v>
      </c>
      <c r="I10" s="30" t="s">
        <v>114</v>
      </c>
      <c r="J10" s="32" t="s">
        <v>113</v>
      </c>
      <c r="M10" s="57" t="s">
        <v>2789</v>
      </c>
      <c r="N10" s="60" t="s">
        <v>2828</v>
      </c>
    </row>
    <row r="11" spans="1:16" x14ac:dyDescent="0.25">
      <c r="A11" s="21" t="s">
        <v>155</v>
      </c>
      <c r="B11" s="21" t="s">
        <v>156</v>
      </c>
      <c r="C11" s="36"/>
      <c r="D11" s="19" t="s">
        <v>2858</v>
      </c>
      <c r="E11" s="20" t="s">
        <v>2858</v>
      </c>
      <c r="H11" s="34" t="s">
        <v>117</v>
      </c>
      <c r="I11" s="30" t="s">
        <v>116</v>
      </c>
      <c r="J11" s="32" t="s">
        <v>113</v>
      </c>
      <c r="M11" s="57" t="s">
        <v>2784</v>
      </c>
      <c r="N11" s="60" t="s">
        <v>2829</v>
      </c>
    </row>
    <row r="12" spans="1:16" x14ac:dyDescent="0.25">
      <c r="A12" s="21" t="s">
        <v>157</v>
      </c>
      <c r="B12" s="21" t="s">
        <v>158</v>
      </c>
      <c r="C12" s="36"/>
      <c r="D12" s="19" t="s">
        <v>3198</v>
      </c>
      <c r="E12" s="20" t="s">
        <v>3205</v>
      </c>
      <c r="H12" s="34" t="s">
        <v>50</v>
      </c>
      <c r="I12" s="30" t="s">
        <v>49</v>
      </c>
      <c r="J12" s="32" t="s">
        <v>51</v>
      </c>
      <c r="M12" s="57" t="s">
        <v>2791</v>
      </c>
      <c r="N12" s="60" t="s">
        <v>2830</v>
      </c>
    </row>
    <row r="13" spans="1:16" x14ac:dyDescent="0.25">
      <c r="A13" s="21" t="s">
        <v>159</v>
      </c>
      <c r="B13" s="21" t="s">
        <v>160</v>
      </c>
      <c r="C13" s="36"/>
      <c r="D13" s="19" t="s">
        <v>3109</v>
      </c>
      <c r="E13" s="20" t="s">
        <v>3206</v>
      </c>
      <c r="H13" s="34" t="s">
        <v>47</v>
      </c>
      <c r="I13" s="30" t="s">
        <v>46</v>
      </c>
      <c r="J13" s="32" t="s">
        <v>48</v>
      </c>
      <c r="M13" s="57" t="s">
        <v>2856</v>
      </c>
      <c r="N13" s="60" t="s">
        <v>2857</v>
      </c>
    </row>
    <row r="14" spans="1:16" x14ac:dyDescent="0.25">
      <c r="A14" s="21" t="s">
        <v>161</v>
      </c>
      <c r="B14" s="21" t="s">
        <v>162</v>
      </c>
      <c r="C14" s="36"/>
      <c r="D14" s="19" t="s">
        <v>3114</v>
      </c>
      <c r="E14" s="20" t="s">
        <v>3207</v>
      </c>
      <c r="H14" s="34" t="s">
        <v>84</v>
      </c>
      <c r="I14" s="30" t="s">
        <v>83</v>
      </c>
      <c r="J14" s="32" t="s">
        <v>85</v>
      </c>
      <c r="M14" s="57" t="s">
        <v>2625</v>
      </c>
      <c r="N14" s="60" t="s">
        <v>309</v>
      </c>
    </row>
    <row r="15" spans="1:16" x14ac:dyDescent="0.25">
      <c r="A15" s="21" t="s">
        <v>163</v>
      </c>
      <c r="B15" s="21" t="s">
        <v>164</v>
      </c>
      <c r="C15" s="36"/>
      <c r="D15" s="19" t="s">
        <v>3155</v>
      </c>
      <c r="E15" s="20" t="s">
        <v>3160</v>
      </c>
      <c r="H15" s="34" t="s">
        <v>52</v>
      </c>
      <c r="I15" s="30" t="s">
        <v>2607</v>
      </c>
      <c r="J15" s="32" t="s">
        <v>53</v>
      </c>
      <c r="M15" s="57" t="s">
        <v>3697</v>
      </c>
      <c r="N15" s="60" t="s">
        <v>3746</v>
      </c>
    </row>
    <row r="16" spans="1:16" x14ac:dyDescent="0.25">
      <c r="A16" s="21" t="s">
        <v>165</v>
      </c>
      <c r="B16" s="21" t="s">
        <v>166</v>
      </c>
      <c r="C16" s="36"/>
      <c r="D16" s="19" t="s">
        <v>3146</v>
      </c>
      <c r="E16" s="20" t="s">
        <v>3149</v>
      </c>
      <c r="H16" s="34" t="s">
        <v>55</v>
      </c>
      <c r="I16" s="30" t="s">
        <v>54</v>
      </c>
      <c r="J16" s="32" t="s">
        <v>56</v>
      </c>
      <c r="M16" s="57" t="s">
        <v>3837</v>
      </c>
      <c r="N16" s="60" t="s">
        <v>3881</v>
      </c>
    </row>
    <row r="17" spans="1:14" x14ac:dyDescent="0.25">
      <c r="A17" s="21" t="s">
        <v>167</v>
      </c>
      <c r="B17" s="21" t="s">
        <v>168</v>
      </c>
      <c r="C17" s="36"/>
      <c r="D17" s="19" t="s">
        <v>3128</v>
      </c>
      <c r="E17" s="20" t="s">
        <v>3129</v>
      </c>
      <c r="H17" s="34" t="s">
        <v>119</v>
      </c>
      <c r="I17" s="30" t="s">
        <v>118</v>
      </c>
      <c r="J17" s="32" t="s">
        <v>113</v>
      </c>
      <c r="M17" s="57" t="s">
        <v>37</v>
      </c>
      <c r="N17" s="60" t="s">
        <v>133</v>
      </c>
    </row>
    <row r="18" spans="1:14" x14ac:dyDescent="0.25">
      <c r="A18" s="21" t="s">
        <v>169</v>
      </c>
      <c r="B18" s="21" t="s">
        <v>170</v>
      </c>
      <c r="C18" s="36"/>
      <c r="D18" s="19" t="s">
        <v>3162</v>
      </c>
      <c r="E18" s="20" t="s">
        <v>3208</v>
      </c>
      <c r="H18" s="34" t="s">
        <v>3387</v>
      </c>
      <c r="I18" s="30" t="s">
        <v>3388</v>
      </c>
      <c r="J18" s="32" t="s">
        <v>3359</v>
      </c>
    </row>
    <row r="19" spans="1:14" x14ac:dyDescent="0.25">
      <c r="A19" s="21" t="s">
        <v>171</v>
      </c>
      <c r="B19" s="21" t="s">
        <v>172</v>
      </c>
      <c r="C19" s="36"/>
      <c r="D19" s="19" t="s">
        <v>3321</v>
      </c>
      <c r="E19" s="20" t="s">
        <v>3322</v>
      </c>
      <c r="H19" s="34" t="s">
        <v>63</v>
      </c>
      <c r="I19" s="30" t="s">
        <v>62</v>
      </c>
      <c r="J19" s="32" t="s">
        <v>64</v>
      </c>
    </row>
    <row r="20" spans="1:14" x14ac:dyDescent="0.25">
      <c r="A20" s="21" t="s">
        <v>173</v>
      </c>
      <c r="B20" s="21" t="s">
        <v>174</v>
      </c>
      <c r="C20" s="36"/>
      <c r="D20" s="19" t="s">
        <v>3351</v>
      </c>
      <c r="E20" s="20" t="s">
        <v>3352</v>
      </c>
      <c r="H20" s="34" t="s">
        <v>105</v>
      </c>
      <c r="I20" s="30" t="s">
        <v>104</v>
      </c>
      <c r="J20" s="32" t="s">
        <v>3053</v>
      </c>
    </row>
    <row r="21" spans="1:14" x14ac:dyDescent="0.25">
      <c r="A21" s="21" t="s">
        <v>175</v>
      </c>
      <c r="B21" s="21" t="s">
        <v>176</v>
      </c>
      <c r="C21" s="36"/>
      <c r="D21" s="19" t="s">
        <v>3391</v>
      </c>
      <c r="E21" s="20" t="s">
        <v>3392</v>
      </c>
      <c r="H21" s="34" t="s">
        <v>65</v>
      </c>
      <c r="I21" s="30" t="s">
        <v>64</v>
      </c>
      <c r="J21" s="32" t="s">
        <v>66</v>
      </c>
    </row>
    <row r="22" spans="1:14" x14ac:dyDescent="0.25">
      <c r="A22" s="21" t="s">
        <v>177</v>
      </c>
      <c r="B22" s="21" t="s">
        <v>178</v>
      </c>
      <c r="C22" s="36"/>
      <c r="D22" s="19" t="s">
        <v>3495</v>
      </c>
      <c r="E22" s="20" t="s">
        <v>3524</v>
      </c>
      <c r="H22" s="34" t="s">
        <v>68</v>
      </c>
      <c r="I22" s="30" t="s">
        <v>67</v>
      </c>
      <c r="J22" s="32" t="s">
        <v>2599</v>
      </c>
    </row>
    <row r="23" spans="1:14" x14ac:dyDescent="0.25">
      <c r="A23" s="21" t="s">
        <v>179</v>
      </c>
      <c r="B23" s="21" t="s">
        <v>180</v>
      </c>
      <c r="C23" s="36"/>
      <c r="D23" s="19" t="s">
        <v>3514</v>
      </c>
      <c r="E23" s="20" t="s">
        <v>3525</v>
      </c>
      <c r="H23" s="34" t="s">
        <v>61</v>
      </c>
      <c r="I23" s="30" t="s">
        <v>60</v>
      </c>
      <c r="J23" s="32" t="s">
        <v>2605</v>
      </c>
    </row>
    <row r="24" spans="1:14" x14ac:dyDescent="0.25">
      <c r="A24" s="21" t="s">
        <v>181</v>
      </c>
      <c r="B24" s="21" t="s">
        <v>182</v>
      </c>
      <c r="C24" s="36"/>
      <c r="D24" s="19" t="s">
        <v>3535</v>
      </c>
      <c r="E24" s="20" t="s">
        <v>3553</v>
      </c>
      <c r="H24" s="34" t="s">
        <v>121</v>
      </c>
      <c r="I24" s="30" t="s">
        <v>120</v>
      </c>
      <c r="J24" s="32" t="s">
        <v>113</v>
      </c>
    </row>
    <row r="25" spans="1:14" x14ac:dyDescent="0.25">
      <c r="A25" s="21" t="s">
        <v>183</v>
      </c>
      <c r="B25" s="21" t="s">
        <v>184</v>
      </c>
      <c r="C25" s="36"/>
      <c r="D25" s="19" t="s">
        <v>3556</v>
      </c>
      <c r="E25" s="20" t="s">
        <v>3562</v>
      </c>
      <c r="H25" s="34" t="s">
        <v>78</v>
      </c>
      <c r="I25" s="30" t="s">
        <v>77</v>
      </c>
      <c r="J25" s="32" t="s">
        <v>79</v>
      </c>
    </row>
    <row r="26" spans="1:14" x14ac:dyDescent="0.25">
      <c r="A26" s="21" t="s">
        <v>185</v>
      </c>
      <c r="B26" s="21" t="s">
        <v>186</v>
      </c>
      <c r="C26" s="36"/>
      <c r="D26" s="19" t="s">
        <v>3616</v>
      </c>
      <c r="E26" s="20" t="s">
        <v>3623</v>
      </c>
      <c r="H26" s="34" t="s">
        <v>81</v>
      </c>
      <c r="I26" s="30" t="s">
        <v>80</v>
      </c>
      <c r="J26" s="32" t="s">
        <v>82</v>
      </c>
    </row>
    <row r="27" spans="1:14" x14ac:dyDescent="0.25">
      <c r="A27" s="21" t="s">
        <v>187</v>
      </c>
      <c r="B27" s="21" t="s">
        <v>188</v>
      </c>
      <c r="C27" s="36"/>
      <c r="D27" s="19" t="s">
        <v>3624</v>
      </c>
      <c r="E27" s="20" t="s">
        <v>3628</v>
      </c>
      <c r="H27" s="34" t="s">
        <v>73</v>
      </c>
      <c r="I27" s="30" t="s">
        <v>72</v>
      </c>
      <c r="J27" s="32" t="s">
        <v>1679</v>
      </c>
    </row>
    <row r="28" spans="1:14" x14ac:dyDescent="0.25">
      <c r="A28" s="21" t="s">
        <v>189</v>
      </c>
      <c r="B28" s="21" t="s">
        <v>190</v>
      </c>
      <c r="C28" s="36"/>
      <c r="D28" s="19" t="s">
        <v>3625</v>
      </c>
      <c r="E28" s="20" t="s">
        <v>3629</v>
      </c>
      <c r="H28" s="34" t="s">
        <v>1862</v>
      </c>
      <c r="I28" s="30" t="s">
        <v>2929</v>
      </c>
      <c r="J28" s="32" t="s">
        <v>2893</v>
      </c>
    </row>
    <row r="29" spans="1:14" x14ac:dyDescent="0.25">
      <c r="A29" s="21" t="s">
        <v>191</v>
      </c>
      <c r="B29" s="21" t="s">
        <v>192</v>
      </c>
      <c r="C29" s="36"/>
      <c r="D29" s="19" t="s">
        <v>3698</v>
      </c>
      <c r="E29" s="20" t="s">
        <v>3747</v>
      </c>
      <c r="H29" s="34" t="s">
        <v>123</v>
      </c>
      <c r="I29" s="30" t="s">
        <v>122</v>
      </c>
      <c r="J29" s="32" t="s">
        <v>113</v>
      </c>
    </row>
    <row r="30" spans="1:14" x14ac:dyDescent="0.25">
      <c r="A30" s="21" t="s">
        <v>193</v>
      </c>
      <c r="B30" s="21" t="s">
        <v>194</v>
      </c>
      <c r="C30" s="36"/>
      <c r="D30" s="19" t="s">
        <v>3752</v>
      </c>
      <c r="E30" s="20" t="s">
        <v>3753</v>
      </c>
      <c r="H30" s="34" t="s">
        <v>87</v>
      </c>
      <c r="I30" s="30" t="s">
        <v>86</v>
      </c>
      <c r="J30" s="32" t="s">
        <v>88</v>
      </c>
    </row>
    <row r="31" spans="1:14" x14ac:dyDescent="0.25">
      <c r="A31" s="21" t="s">
        <v>195</v>
      </c>
      <c r="B31" s="21" t="s">
        <v>196</v>
      </c>
      <c r="C31" s="36"/>
      <c r="D31" s="19" t="s">
        <v>3838</v>
      </c>
      <c r="E31" s="20" t="s">
        <v>3882</v>
      </c>
      <c r="H31" s="34" t="s">
        <v>70</v>
      </c>
      <c r="I31" s="30" t="s">
        <v>69</v>
      </c>
      <c r="J31" s="32" t="s">
        <v>71</v>
      </c>
    </row>
    <row r="32" spans="1:14" x14ac:dyDescent="0.25">
      <c r="A32" s="21" t="s">
        <v>197</v>
      </c>
      <c r="B32" s="21" t="s">
        <v>198</v>
      </c>
      <c r="C32" s="36"/>
      <c r="D32" s="19" t="s">
        <v>3840</v>
      </c>
      <c r="E32" s="20" t="s">
        <v>3883</v>
      </c>
      <c r="H32" s="34" t="s">
        <v>92</v>
      </c>
      <c r="I32" s="30" t="s">
        <v>91</v>
      </c>
      <c r="J32" s="32" t="s">
        <v>93</v>
      </c>
    </row>
    <row r="33" spans="1:10" x14ac:dyDescent="0.25">
      <c r="A33" s="21" t="s">
        <v>199</v>
      </c>
      <c r="B33" s="21" t="s">
        <v>200</v>
      </c>
      <c r="C33" s="36"/>
      <c r="D33" s="19" t="s">
        <v>3843</v>
      </c>
      <c r="E33" s="20" t="s">
        <v>3884</v>
      </c>
      <c r="H33" s="34" t="s">
        <v>125</v>
      </c>
      <c r="I33" s="30" t="s">
        <v>124</v>
      </c>
      <c r="J33" s="32" t="s">
        <v>113</v>
      </c>
    </row>
    <row r="34" spans="1:10" x14ac:dyDescent="0.25">
      <c r="A34" s="21" t="s">
        <v>201</v>
      </c>
      <c r="B34" s="21" t="s">
        <v>202</v>
      </c>
      <c r="C34" s="36"/>
      <c r="D34" s="19" t="s">
        <v>3849</v>
      </c>
      <c r="E34" s="20" t="s">
        <v>3885</v>
      </c>
      <c r="H34" s="34" t="s">
        <v>127</v>
      </c>
      <c r="I34" s="30" t="s">
        <v>126</v>
      </c>
      <c r="J34" s="32" t="s">
        <v>113</v>
      </c>
    </row>
    <row r="35" spans="1:10" x14ac:dyDescent="0.25">
      <c r="A35" s="21" t="s">
        <v>203</v>
      </c>
      <c r="B35" s="21" t="s">
        <v>204</v>
      </c>
      <c r="C35" s="36"/>
      <c r="D35" s="19" t="s">
        <v>3869</v>
      </c>
      <c r="E35" s="20" t="s">
        <v>3886</v>
      </c>
      <c r="H35" s="34" t="s">
        <v>95</v>
      </c>
      <c r="I35" s="30" t="s">
        <v>94</v>
      </c>
      <c r="J35" s="32" t="s">
        <v>96</v>
      </c>
    </row>
    <row r="36" spans="1:10" x14ac:dyDescent="0.25">
      <c r="A36" s="21" t="s">
        <v>2832</v>
      </c>
      <c r="B36" s="21" t="s">
        <v>2833</v>
      </c>
      <c r="C36" s="36"/>
      <c r="D36" s="19" t="s">
        <v>4020</v>
      </c>
      <c r="E36" s="20" t="s">
        <v>4021</v>
      </c>
      <c r="H36" s="34" t="s">
        <v>2338</v>
      </c>
      <c r="I36" s="30" t="s">
        <v>97</v>
      </c>
      <c r="J36" s="32" t="s">
        <v>2601</v>
      </c>
    </row>
    <row r="37" spans="1:10" x14ac:dyDescent="0.25">
      <c r="A37" s="21" t="s">
        <v>205</v>
      </c>
      <c r="B37" s="21" t="s">
        <v>206</v>
      </c>
      <c r="C37" s="36"/>
      <c r="D37" s="19" t="s">
        <v>4057</v>
      </c>
      <c r="E37" s="20" t="s">
        <v>4058</v>
      </c>
      <c r="H37" s="34" t="s">
        <v>99</v>
      </c>
      <c r="I37" s="30" t="s">
        <v>98</v>
      </c>
      <c r="J37" s="32" t="s">
        <v>100</v>
      </c>
    </row>
    <row r="38" spans="1:10" x14ac:dyDescent="0.25">
      <c r="A38" s="21" t="s">
        <v>207</v>
      </c>
      <c r="B38" s="21" t="s">
        <v>208</v>
      </c>
      <c r="C38" s="36"/>
      <c r="D38" s="19" t="s">
        <v>4059</v>
      </c>
      <c r="E38" s="20" t="s">
        <v>4060</v>
      </c>
      <c r="H38" s="34" t="s">
        <v>102</v>
      </c>
      <c r="I38" s="30" t="s">
        <v>101</v>
      </c>
      <c r="J38" s="32" t="s">
        <v>103</v>
      </c>
    </row>
    <row r="39" spans="1:10" x14ac:dyDescent="0.25">
      <c r="A39" s="21" t="s">
        <v>209</v>
      </c>
      <c r="B39" s="21" t="s">
        <v>209</v>
      </c>
      <c r="C39" s="36"/>
      <c r="D39" s="19" t="s">
        <v>4105</v>
      </c>
      <c r="E39" s="20" t="s">
        <v>4106</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3630</v>
      </c>
      <c r="B42" s="21" t="s">
        <v>3631</v>
      </c>
      <c r="C42" s="36"/>
      <c r="H42" s="19" t="s">
        <v>3052</v>
      </c>
      <c r="I42" s="74" t="s">
        <v>3060</v>
      </c>
      <c r="J42" s="41" t="s">
        <v>3059</v>
      </c>
    </row>
    <row r="43" spans="1:10" x14ac:dyDescent="0.25">
      <c r="A43" s="21" t="s">
        <v>215</v>
      </c>
      <c r="B43" s="21" t="s">
        <v>215</v>
      </c>
      <c r="C43" s="36"/>
      <c r="H43" s="19" t="s">
        <v>3357</v>
      </c>
      <c r="I43" s="18" t="s">
        <v>3358</v>
      </c>
      <c r="J43" s="20" t="s">
        <v>3359</v>
      </c>
    </row>
    <row r="44" spans="1:10" x14ac:dyDescent="0.25">
      <c r="A44" s="21" t="s">
        <v>216</v>
      </c>
      <c r="B44" s="21" t="s">
        <v>217</v>
      </c>
      <c r="C44" s="36"/>
      <c r="H44" s="19" t="s">
        <v>450</v>
      </c>
      <c r="I44" s="18" t="s">
        <v>3444</v>
      </c>
      <c r="J44" s="20" t="s">
        <v>3443</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2930</v>
      </c>
      <c r="B77" s="21" t="s">
        <v>2930</v>
      </c>
      <c r="C77" s="36"/>
    </row>
    <row r="78" spans="1:3" x14ac:dyDescent="0.25">
      <c r="A78" s="21" t="s">
        <v>279</v>
      </c>
      <c r="B78" s="21" t="s">
        <v>279</v>
      </c>
      <c r="C78" s="36" t="s">
        <v>280</v>
      </c>
    </row>
    <row r="79" spans="1:3" x14ac:dyDescent="0.25">
      <c r="A79" s="21" t="s">
        <v>2931</v>
      </c>
      <c r="B79" s="21" t="s">
        <v>2931</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2811</v>
      </c>
      <c r="B162" s="21" t="s">
        <v>2812</v>
      </c>
      <c r="C162" s="36"/>
    </row>
    <row r="163" spans="1:3" x14ac:dyDescent="0.25">
      <c r="A163" s="21" t="s">
        <v>2800</v>
      </c>
      <c r="B163" s="21" t="s">
        <v>2801</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2834</v>
      </c>
      <c r="B173" s="21" t="s">
        <v>2835</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3209</v>
      </c>
      <c r="B226" s="21" t="s">
        <v>3209</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3554</v>
      </c>
      <c r="B239" s="21" t="s">
        <v>3554</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3210</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2973</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2836</v>
      </c>
      <c r="B336" s="21" t="s">
        <v>2837</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2932</v>
      </c>
      <c r="B358" s="21" t="s">
        <v>2932</v>
      </c>
      <c r="C358" s="36"/>
    </row>
    <row r="359" spans="1:3" x14ac:dyDescent="0.25">
      <c r="A359" s="21" t="s">
        <v>803</v>
      </c>
      <c r="B359" s="21" t="s">
        <v>803</v>
      </c>
      <c r="C359" s="36"/>
    </row>
    <row r="360" spans="1:3" x14ac:dyDescent="0.25">
      <c r="A360" s="21" t="s">
        <v>804</v>
      </c>
      <c r="B360" s="21" t="s">
        <v>805</v>
      </c>
      <c r="C360" s="36"/>
    </row>
    <row r="361" spans="1:3" x14ac:dyDescent="0.25">
      <c r="A361" s="21" t="s">
        <v>2933</v>
      </c>
      <c r="B361" s="21" t="s">
        <v>2934</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2838</v>
      </c>
      <c r="B438" s="21" t="s">
        <v>2839</v>
      </c>
      <c r="C438" s="36"/>
    </row>
    <row r="439" spans="1:3" x14ac:dyDescent="0.25">
      <c r="A439" s="21" t="s">
        <v>2840</v>
      </c>
      <c r="B439" s="21" t="s">
        <v>2841</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3748</v>
      </c>
      <c r="B480" s="21" t="s">
        <v>3749</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3031</v>
      </c>
      <c r="B497" s="21" t="s">
        <v>3032</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3750</v>
      </c>
      <c r="B565" s="21" t="s">
        <v>3751</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2802</v>
      </c>
      <c r="B576" s="21" t="s">
        <v>2803</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3389</v>
      </c>
      <c r="B617" s="21" t="s">
        <v>3390</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2986</v>
      </c>
      <c r="B623" s="21" t="s">
        <v>2987</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2937</v>
      </c>
      <c r="B669" s="21" t="s">
        <v>2937</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2842</v>
      </c>
      <c r="B692" s="21" t="s">
        <v>2843</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3211</v>
      </c>
      <c r="B695" s="21" t="s">
        <v>3211</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3212</v>
      </c>
      <c r="B733" s="21" t="s">
        <v>3212</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3563</v>
      </c>
      <c r="B791" s="21" t="s">
        <v>3563</v>
      </c>
      <c r="C791" s="36"/>
    </row>
    <row r="792" spans="1:3" x14ac:dyDescent="0.25">
      <c r="A792" s="21" t="s">
        <v>1568</v>
      </c>
      <c r="B792" s="21" t="s">
        <v>1568</v>
      </c>
      <c r="C792" s="36"/>
    </row>
    <row r="793" spans="1:3" x14ac:dyDescent="0.25">
      <c r="A793" s="21" t="s">
        <v>2844</v>
      </c>
      <c r="B793" s="21" t="s">
        <v>51</v>
      </c>
      <c r="C793" s="36"/>
    </row>
    <row r="794" spans="1:3" x14ac:dyDescent="0.25">
      <c r="A794" s="21" t="s">
        <v>2845</v>
      </c>
      <c r="B794" s="21" t="s">
        <v>2799</v>
      </c>
      <c r="C794" s="36"/>
    </row>
    <row r="795" spans="1:3" x14ac:dyDescent="0.25">
      <c r="A795" s="21" t="s">
        <v>2846</v>
      </c>
      <c r="B795" s="21" t="s">
        <v>2797</v>
      </c>
      <c r="C795" s="36"/>
    </row>
    <row r="796" spans="1:3" x14ac:dyDescent="0.25">
      <c r="A796" s="21" t="s">
        <v>2796</v>
      </c>
      <c r="B796" s="21" t="s">
        <v>2797</v>
      </c>
      <c r="C796" s="36"/>
    </row>
    <row r="797" spans="1:3" x14ac:dyDescent="0.25">
      <c r="A797" s="21" t="s">
        <v>2798</v>
      </c>
      <c r="B797" s="21" t="s">
        <v>2799</v>
      </c>
      <c r="C797" s="36"/>
    </row>
    <row r="798" spans="1:3" x14ac:dyDescent="0.25">
      <c r="A798" s="21" t="s">
        <v>1569</v>
      </c>
      <c r="B798" s="21" t="s">
        <v>1569</v>
      </c>
      <c r="C798" s="36" t="s">
        <v>1570</v>
      </c>
    </row>
    <row r="799" spans="1:3" x14ac:dyDescent="0.25">
      <c r="A799" s="22" t="s">
        <v>2799</v>
      </c>
      <c r="B799" s="22" t="s">
        <v>3588</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2847</v>
      </c>
      <c r="B855" s="21" t="s">
        <v>2848</v>
      </c>
      <c r="C855" s="36"/>
    </row>
    <row r="856" spans="1:3" x14ac:dyDescent="0.25">
      <c r="A856" s="21" t="s">
        <v>3213</v>
      </c>
      <c r="B856" s="21" t="s">
        <v>3214</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2849</v>
      </c>
      <c r="B865" s="21" t="s">
        <v>2805</v>
      </c>
      <c r="C865" s="36"/>
    </row>
    <row r="866" spans="1:3" x14ac:dyDescent="0.25">
      <c r="A866" s="22" t="s">
        <v>2804</v>
      </c>
      <c r="B866" s="22" t="s">
        <v>2805</v>
      </c>
      <c r="C866" s="37"/>
    </row>
    <row r="867" spans="1:3" x14ac:dyDescent="0.25">
      <c r="A867" s="21" t="s">
        <v>2808</v>
      </c>
      <c r="B867" s="21" t="s">
        <v>2809</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3887</v>
      </c>
      <c r="B875" s="21" t="s">
        <v>3887</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2850</v>
      </c>
      <c r="B964" s="21" t="s">
        <v>2850</v>
      </c>
      <c r="C964" s="36"/>
    </row>
    <row r="965" spans="1:3" x14ac:dyDescent="0.25">
      <c r="A965" s="21" t="s">
        <v>1841</v>
      </c>
      <c r="B965" s="21" t="s">
        <v>1842</v>
      </c>
      <c r="C965" s="36" t="s">
        <v>1843</v>
      </c>
    </row>
    <row r="966" spans="1:3" x14ac:dyDescent="0.25">
      <c r="A966" s="21" t="s">
        <v>3357</v>
      </c>
      <c r="B966" s="21" t="s">
        <v>3361</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3888</v>
      </c>
      <c r="B1059" s="21" t="s">
        <v>3888</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3889</v>
      </c>
      <c r="B1062" s="21" t="s">
        <v>3889</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2852</v>
      </c>
      <c r="B1080" s="21" t="s">
        <v>2852</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2851</v>
      </c>
      <c r="B1091" s="21" t="s">
        <v>2852</v>
      </c>
      <c r="C1091" s="36"/>
    </row>
    <row r="1092" spans="1:3" ht="30" x14ac:dyDescent="0.25">
      <c r="A1092" s="21" t="s">
        <v>2853</v>
      </c>
      <c r="B1092" s="21" t="s">
        <v>2852</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2854</v>
      </c>
      <c r="B1162" s="21" t="s">
        <v>2855</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3360</v>
      </c>
      <c r="B1192" s="21" t="s">
        <v>3360</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3890</v>
      </c>
      <c r="B1259" s="21" t="s">
        <v>3891</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3040</v>
      </c>
      <c r="B1299" s="21" t="s">
        <v>3040</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2858</v>
      </c>
      <c r="B1314" s="21" t="s">
        <v>2858</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password="D3ED"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0"/>
  <sheetViews>
    <sheetView workbookViewId="0">
      <selection activeCell="E23" sqref="E23"/>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3345</v>
      </c>
      <c r="E1" s="51" t="s">
        <v>2626</v>
      </c>
      <c r="G1" s="11"/>
    </row>
    <row r="2" spans="1:7" x14ac:dyDescent="0.25">
      <c r="A2" s="11" t="s">
        <v>2295</v>
      </c>
      <c r="B2" s="47" t="s">
        <v>549</v>
      </c>
      <c r="C2" s="11" t="s">
        <v>2598</v>
      </c>
      <c r="D2" s="11" t="s">
        <v>3346</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2789</v>
      </c>
      <c r="C10" t="s">
        <v>2789</v>
      </c>
      <c r="D10" t="s">
        <v>606</v>
      </c>
      <c r="E10" s="52"/>
    </row>
    <row r="11" spans="1:7" x14ac:dyDescent="0.25">
      <c r="A11" t="s">
        <v>2405</v>
      </c>
      <c r="B11" s="17" t="s">
        <v>2791</v>
      </c>
      <c r="C11" t="s">
        <v>2792</v>
      </c>
      <c r="D11" t="s">
        <v>1901</v>
      </c>
      <c r="E11" s="52"/>
    </row>
    <row r="12" spans="1:7" x14ac:dyDescent="0.25">
      <c r="A12" t="s">
        <v>2405</v>
      </c>
      <c r="B12" t="s">
        <v>2856</v>
      </c>
      <c r="C12" t="s">
        <v>2858</v>
      </c>
      <c r="D12" t="s">
        <v>1901</v>
      </c>
      <c r="E12" s="52"/>
    </row>
    <row r="13" spans="1:7" x14ac:dyDescent="0.25">
      <c r="A13" t="s">
        <v>2663</v>
      </c>
      <c r="B13" t="s">
        <v>2782</v>
      </c>
      <c r="C13" t="s">
        <v>3198</v>
      </c>
      <c r="D13" t="s">
        <v>1901</v>
      </c>
      <c r="E13" s="53"/>
    </row>
    <row r="14" spans="1:7" x14ac:dyDescent="0.25">
      <c r="A14" t="s">
        <v>2405</v>
      </c>
      <c r="B14" s="17" t="s">
        <v>2625</v>
      </c>
      <c r="C14" t="s">
        <v>3109</v>
      </c>
      <c r="D14" t="s">
        <v>1901</v>
      </c>
      <c r="E14" s="53"/>
    </row>
    <row r="15" spans="1:7" x14ac:dyDescent="0.25">
      <c r="A15" t="s">
        <v>2405</v>
      </c>
      <c r="B15" s="17" t="s">
        <v>2625</v>
      </c>
      <c r="C15" t="s">
        <v>3114</v>
      </c>
      <c r="D15" t="s">
        <v>1901</v>
      </c>
      <c r="E15" s="53"/>
    </row>
    <row r="16" spans="1:7" x14ac:dyDescent="0.25">
      <c r="A16" t="s">
        <v>2405</v>
      </c>
      <c r="B16" s="17" t="s">
        <v>2625</v>
      </c>
      <c r="C16" t="s">
        <v>3155</v>
      </c>
      <c r="D16" t="s">
        <v>1901</v>
      </c>
      <c r="E16" s="53"/>
    </row>
    <row r="17" spans="1:5" x14ac:dyDescent="0.25">
      <c r="A17" t="s">
        <v>2405</v>
      </c>
      <c r="B17" s="17" t="s">
        <v>2625</v>
      </c>
      <c r="C17" t="s">
        <v>3146</v>
      </c>
      <c r="D17" t="s">
        <v>1901</v>
      </c>
      <c r="E17" s="53"/>
    </row>
    <row r="18" spans="1:5" x14ac:dyDescent="0.25">
      <c r="A18" t="s">
        <v>2405</v>
      </c>
      <c r="B18" s="17" t="s">
        <v>2625</v>
      </c>
      <c r="C18" t="s">
        <v>3128</v>
      </c>
      <c r="D18" t="s">
        <v>1901</v>
      </c>
      <c r="E18" s="53"/>
    </row>
    <row r="19" spans="1:5" x14ac:dyDescent="0.25">
      <c r="A19" t="s">
        <v>2405</v>
      </c>
      <c r="B19" s="17" t="s">
        <v>2625</v>
      </c>
      <c r="C19" t="s">
        <v>3162</v>
      </c>
      <c r="D19" t="s">
        <v>1901</v>
      </c>
      <c r="E19" s="53"/>
    </row>
    <row r="20" spans="1:5" x14ac:dyDescent="0.25">
      <c r="A20" t="s">
        <v>2405</v>
      </c>
      <c r="B20" s="17" t="s">
        <v>2716</v>
      </c>
      <c r="C20" t="s">
        <v>3321</v>
      </c>
      <c r="D20" t="s">
        <v>1901</v>
      </c>
      <c r="E20" s="53"/>
    </row>
    <row r="21" spans="1:5" x14ac:dyDescent="0.25">
      <c r="A21" t="s">
        <v>2405</v>
      </c>
      <c r="B21" s="17" t="s">
        <v>2716</v>
      </c>
      <c r="C21" t="s">
        <v>3351</v>
      </c>
      <c r="D21" t="s">
        <v>1901</v>
      </c>
      <c r="E21" s="53"/>
    </row>
    <row r="22" spans="1:5" x14ac:dyDescent="0.25">
      <c r="A22" t="s">
        <v>2405</v>
      </c>
      <c r="B22" s="17" t="s">
        <v>2625</v>
      </c>
      <c r="C22" t="s">
        <v>3391</v>
      </c>
      <c r="D22" t="s">
        <v>1901</v>
      </c>
      <c r="E22" s="53"/>
    </row>
    <row r="23" spans="1:5" x14ac:dyDescent="0.25">
      <c r="A23" t="s">
        <v>2615</v>
      </c>
      <c r="B23" s="17" t="s">
        <v>2674</v>
      </c>
      <c r="C23" t="s">
        <v>3495</v>
      </c>
      <c r="D23" t="s">
        <v>1901</v>
      </c>
      <c r="E23" s="53"/>
    </row>
    <row r="24" spans="1:5" x14ac:dyDescent="0.25">
      <c r="A24" t="s">
        <v>2663</v>
      </c>
      <c r="B24" s="17" t="s">
        <v>2782</v>
      </c>
      <c r="C24" t="s">
        <v>3514</v>
      </c>
      <c r="D24" t="s">
        <v>1901</v>
      </c>
      <c r="E24" s="53"/>
    </row>
    <row r="25" spans="1:5" x14ac:dyDescent="0.25">
      <c r="A25" t="s">
        <v>2663</v>
      </c>
      <c r="B25" s="17" t="s">
        <v>2782</v>
      </c>
      <c r="C25" t="s">
        <v>3535</v>
      </c>
      <c r="D25" t="s">
        <v>1901</v>
      </c>
      <c r="E25" s="53"/>
    </row>
    <row r="26" spans="1:5" x14ac:dyDescent="0.25">
      <c r="A26" t="s">
        <v>2615</v>
      </c>
      <c r="B26" s="17" t="s">
        <v>2674</v>
      </c>
      <c r="C26" t="s">
        <v>3556</v>
      </c>
      <c r="D26" t="s">
        <v>1901</v>
      </c>
      <c r="E26" s="53"/>
    </row>
    <row r="27" spans="1:5" x14ac:dyDescent="0.25">
      <c r="A27" t="s">
        <v>2663</v>
      </c>
      <c r="B27" s="17" t="s">
        <v>2782</v>
      </c>
      <c r="C27" t="s">
        <v>3616</v>
      </c>
      <c r="D27" t="s">
        <v>1901</v>
      </c>
      <c r="E27" s="53"/>
    </row>
    <row r="28" spans="1:5" x14ac:dyDescent="0.25">
      <c r="A28" t="s">
        <v>2663</v>
      </c>
      <c r="B28" s="17" t="s">
        <v>2782</v>
      </c>
      <c r="C28" t="s">
        <v>3624</v>
      </c>
      <c r="D28" t="s">
        <v>1901</v>
      </c>
      <c r="E28" s="53"/>
    </row>
    <row r="29" spans="1:5" x14ac:dyDescent="0.25">
      <c r="A29" t="s">
        <v>2663</v>
      </c>
      <c r="B29" s="17" t="s">
        <v>2782</v>
      </c>
      <c r="C29" t="s">
        <v>3625</v>
      </c>
      <c r="D29" t="s">
        <v>1901</v>
      </c>
      <c r="E29" s="53"/>
    </row>
    <row r="30" spans="1:5" x14ac:dyDescent="0.25">
      <c r="A30" t="s">
        <v>2663</v>
      </c>
      <c r="B30" s="17" t="s">
        <v>3697</v>
      </c>
      <c r="C30" t="s">
        <v>3698</v>
      </c>
      <c r="D30" t="s">
        <v>1901</v>
      </c>
      <c r="E30" s="53"/>
    </row>
    <row r="31" spans="1:5" x14ac:dyDescent="0.25">
      <c r="A31" t="s">
        <v>2663</v>
      </c>
      <c r="B31" s="17" t="s">
        <v>2782</v>
      </c>
      <c r="C31" t="s">
        <v>3752</v>
      </c>
      <c r="D31" t="s">
        <v>1901</v>
      </c>
      <c r="E31" s="53"/>
    </row>
    <row r="32" spans="1:5" x14ac:dyDescent="0.25">
      <c r="A32" t="s">
        <v>3892</v>
      </c>
      <c r="B32" s="17" t="s">
        <v>3837</v>
      </c>
      <c r="C32" t="s">
        <v>3838</v>
      </c>
      <c r="D32" t="s">
        <v>1901</v>
      </c>
      <c r="E32" s="53"/>
    </row>
    <row r="33" spans="1:4" x14ac:dyDescent="0.25">
      <c r="A33" t="s">
        <v>2405</v>
      </c>
      <c r="B33" s="17" t="s">
        <v>2716</v>
      </c>
      <c r="C33" t="s">
        <v>3840</v>
      </c>
      <c r="D33" t="s">
        <v>1901</v>
      </c>
    </row>
    <row r="34" spans="1:4" x14ac:dyDescent="0.25">
      <c r="A34" t="s">
        <v>3893</v>
      </c>
      <c r="B34" t="s">
        <v>37</v>
      </c>
      <c r="C34" t="s">
        <v>3843</v>
      </c>
      <c r="D34" t="s">
        <v>1901</v>
      </c>
    </row>
    <row r="35" spans="1:4" x14ac:dyDescent="0.25">
      <c r="A35" t="s">
        <v>2663</v>
      </c>
      <c r="B35" t="s">
        <v>3697</v>
      </c>
      <c r="C35" t="s">
        <v>3849</v>
      </c>
      <c r="D35" t="s">
        <v>1901</v>
      </c>
    </row>
    <row r="36" spans="1:4" x14ac:dyDescent="0.25">
      <c r="A36" t="s">
        <v>2663</v>
      </c>
      <c r="B36" t="s">
        <v>2782</v>
      </c>
      <c r="C36" t="s">
        <v>3869</v>
      </c>
      <c r="D36" t="s">
        <v>1901</v>
      </c>
    </row>
    <row r="37" spans="1:4" x14ac:dyDescent="0.25">
      <c r="A37" t="s">
        <v>2663</v>
      </c>
      <c r="B37" t="s">
        <v>2782</v>
      </c>
      <c r="C37" t="s">
        <v>4020</v>
      </c>
      <c r="D37" t="s">
        <v>1901</v>
      </c>
    </row>
    <row r="38" spans="1:4" x14ac:dyDescent="0.25">
      <c r="A38" t="s">
        <v>2663</v>
      </c>
      <c r="B38" t="s">
        <v>2782</v>
      </c>
      <c r="C38" t="s">
        <v>4057</v>
      </c>
      <c r="D38" t="s">
        <v>1901</v>
      </c>
    </row>
    <row r="39" spans="1:4" x14ac:dyDescent="0.25">
      <c r="A39" t="s">
        <v>2663</v>
      </c>
      <c r="B39" t="s">
        <v>2782</v>
      </c>
      <c r="C39" t="s">
        <v>4059</v>
      </c>
      <c r="D39" t="s">
        <v>1901</v>
      </c>
    </row>
    <row r="40" spans="1:4" x14ac:dyDescent="0.25">
      <c r="A40" t="s">
        <v>2663</v>
      </c>
      <c r="B40" t="s">
        <v>2782</v>
      </c>
      <c r="C40" t="s">
        <v>4105</v>
      </c>
      <c r="D40" t="s">
        <v>1901</v>
      </c>
    </row>
  </sheetData>
  <sheetProtection password="D3ED"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8"/>
  <sheetViews>
    <sheetView workbookViewId="0">
      <selection activeCell="C21" sqref="C21"/>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2871</v>
      </c>
      <c r="B1" s="71" t="s">
        <v>2872</v>
      </c>
      <c r="C1" s="71" t="s">
        <v>2873</v>
      </c>
      <c r="D1" s="71" t="s">
        <v>2869</v>
      </c>
      <c r="E1" s="71" t="s">
        <v>2870</v>
      </c>
    </row>
    <row r="2" spans="1:5" x14ac:dyDescent="0.25">
      <c r="A2" t="s">
        <v>4072</v>
      </c>
      <c r="D2" t="s">
        <v>4217</v>
      </c>
      <c r="E2" t="s">
        <v>4200</v>
      </c>
    </row>
    <row r="3" spans="1:5" x14ac:dyDescent="0.25">
      <c r="A3" t="s">
        <v>4074</v>
      </c>
      <c r="D3" t="s">
        <v>4218</v>
      </c>
      <c r="E3" t="s">
        <v>4201</v>
      </c>
    </row>
    <row r="4" spans="1:5" x14ac:dyDescent="0.25">
      <c r="A4" t="s">
        <v>4080</v>
      </c>
      <c r="D4" t="s">
        <v>4219</v>
      </c>
      <c r="E4" t="s">
        <v>4202</v>
      </c>
    </row>
    <row r="5" spans="1:5" x14ac:dyDescent="0.25">
      <c r="A5" t="s">
        <v>4083</v>
      </c>
      <c r="D5" t="s">
        <v>4220</v>
      </c>
      <c r="E5" t="s">
        <v>4203</v>
      </c>
    </row>
    <row r="6" spans="1:5" x14ac:dyDescent="0.25">
      <c r="A6" t="s">
        <v>4112</v>
      </c>
      <c r="D6" t="s">
        <v>4221</v>
      </c>
      <c r="E6" t="s">
        <v>4204</v>
      </c>
    </row>
    <row r="7" spans="1:5" x14ac:dyDescent="0.25">
      <c r="A7" t="s">
        <v>4115</v>
      </c>
      <c r="D7" t="s">
        <v>4222</v>
      </c>
      <c r="E7" t="s">
        <v>4205</v>
      </c>
    </row>
    <row r="8" spans="1:5" x14ac:dyDescent="0.25">
      <c r="A8" t="s">
        <v>4118</v>
      </c>
      <c r="D8" t="s">
        <v>4223</v>
      </c>
      <c r="E8" t="s">
        <v>4206</v>
      </c>
    </row>
    <row r="9" spans="1:5" x14ac:dyDescent="0.25">
      <c r="A9" t="s">
        <v>4121</v>
      </c>
      <c r="D9" t="s">
        <v>4224</v>
      </c>
      <c r="E9" t="s">
        <v>4207</v>
      </c>
    </row>
    <row r="10" spans="1:5" x14ac:dyDescent="0.25">
      <c r="A10" t="s">
        <v>4124</v>
      </c>
      <c r="D10" t="s">
        <v>4225</v>
      </c>
      <c r="E10" t="s">
        <v>4208</v>
      </c>
    </row>
    <row r="11" spans="1:5" x14ac:dyDescent="0.25">
      <c r="A11" t="s">
        <v>4199</v>
      </c>
      <c r="D11" t="s">
        <v>4226</v>
      </c>
      <c r="E11" t="s">
        <v>4209</v>
      </c>
    </row>
    <row r="12" spans="1:5" x14ac:dyDescent="0.25">
      <c r="A12" t="s">
        <v>4125</v>
      </c>
      <c r="D12" t="s">
        <v>4227</v>
      </c>
      <c r="E12" t="s">
        <v>4210</v>
      </c>
    </row>
    <row r="13" spans="1:5" x14ac:dyDescent="0.25">
      <c r="A13" t="s">
        <v>4126</v>
      </c>
      <c r="D13" t="s">
        <v>4228</v>
      </c>
      <c r="E13" t="s">
        <v>4211</v>
      </c>
    </row>
    <row r="14" spans="1:5" x14ac:dyDescent="0.25">
      <c r="A14" t="s">
        <v>4127</v>
      </c>
      <c r="D14" t="s">
        <v>4229</v>
      </c>
      <c r="E14" t="s">
        <v>4212</v>
      </c>
    </row>
    <row r="15" spans="1:5" x14ac:dyDescent="0.25">
      <c r="A15" t="s">
        <v>4128</v>
      </c>
      <c r="D15" t="s">
        <v>4230</v>
      </c>
      <c r="E15" t="s">
        <v>4213</v>
      </c>
    </row>
    <row r="16" spans="1:5" x14ac:dyDescent="0.25">
      <c r="A16" t="s">
        <v>4131</v>
      </c>
      <c r="D16" t="s">
        <v>4231</v>
      </c>
      <c r="E16" t="s">
        <v>4214</v>
      </c>
    </row>
    <row r="17" spans="1:5" x14ac:dyDescent="0.25">
      <c r="A17" t="s">
        <v>4134</v>
      </c>
      <c r="D17" t="s">
        <v>4232</v>
      </c>
      <c r="E17" t="s">
        <v>4215</v>
      </c>
    </row>
    <row r="18" spans="1:5" x14ac:dyDescent="0.25">
      <c r="A18" t="s">
        <v>4137</v>
      </c>
      <c r="D18" t="s">
        <v>4233</v>
      </c>
      <c r="E18" t="s">
        <v>4216</v>
      </c>
    </row>
    <row r="19" spans="1:5" x14ac:dyDescent="0.25">
      <c r="A19" t="s">
        <v>4140</v>
      </c>
      <c r="D19" t="s">
        <v>4234</v>
      </c>
    </row>
    <row r="20" spans="1:5" x14ac:dyDescent="0.25">
      <c r="A20" t="s">
        <v>4143</v>
      </c>
      <c r="D20" t="s">
        <v>4235</v>
      </c>
    </row>
    <row r="21" spans="1:5" x14ac:dyDescent="0.25">
      <c r="A21" t="s">
        <v>4146</v>
      </c>
      <c r="D21" t="s">
        <v>4236</v>
      </c>
    </row>
    <row r="22" spans="1:5" x14ac:dyDescent="0.25">
      <c r="A22" t="s">
        <v>4149</v>
      </c>
      <c r="D22" t="s">
        <v>4237</v>
      </c>
    </row>
    <row r="23" spans="1:5" x14ac:dyDescent="0.25">
      <c r="A23" t="s">
        <v>4152</v>
      </c>
      <c r="D23" t="s">
        <v>4238</v>
      </c>
    </row>
    <row r="24" spans="1:5" x14ac:dyDescent="0.25">
      <c r="A24" t="s">
        <v>4156</v>
      </c>
      <c r="D24" t="s">
        <v>4239</v>
      </c>
    </row>
    <row r="25" spans="1:5" x14ac:dyDescent="0.25">
      <c r="A25" t="s">
        <v>4159</v>
      </c>
      <c r="D25" t="s">
        <v>4263</v>
      </c>
    </row>
    <row r="26" spans="1:5" x14ac:dyDescent="0.25">
      <c r="A26" t="s">
        <v>4162</v>
      </c>
      <c r="D26" t="s">
        <v>4264</v>
      </c>
    </row>
    <row r="27" spans="1:5" x14ac:dyDescent="0.25">
      <c r="A27" t="s">
        <v>4165</v>
      </c>
    </row>
    <row r="28" spans="1:5" x14ac:dyDescent="0.25">
      <c r="A28" t="s">
        <v>4168</v>
      </c>
    </row>
    <row r="29" spans="1:5" x14ac:dyDescent="0.25">
      <c r="A29" t="s">
        <v>4171</v>
      </c>
    </row>
    <row r="30" spans="1:5" x14ac:dyDescent="0.25">
      <c r="A30" t="s">
        <v>4174</v>
      </c>
    </row>
    <row r="31" spans="1:5" x14ac:dyDescent="0.25">
      <c r="A31" t="s">
        <v>4177</v>
      </c>
    </row>
    <row r="32" spans="1:5" x14ac:dyDescent="0.25">
      <c r="A32" t="s">
        <v>4180</v>
      </c>
    </row>
    <row r="33" spans="1:1" x14ac:dyDescent="0.25">
      <c r="A33" t="s">
        <v>4183</v>
      </c>
    </row>
    <row r="34" spans="1:1" x14ac:dyDescent="0.25">
      <c r="A34" t="s">
        <v>4186</v>
      </c>
    </row>
    <row r="35" spans="1:1" x14ac:dyDescent="0.25">
      <c r="A35" t="s">
        <v>4189</v>
      </c>
    </row>
    <row r="36" spans="1:1" x14ac:dyDescent="0.25">
      <c r="A36" t="s">
        <v>4192</v>
      </c>
    </row>
    <row r="37" spans="1:1" x14ac:dyDescent="0.25">
      <c r="A37" t="s">
        <v>4195</v>
      </c>
    </row>
    <row r="38" spans="1:1" x14ac:dyDescent="0.25">
      <c r="A38" t="s">
        <v>4198</v>
      </c>
    </row>
  </sheetData>
  <sheetProtection password="D3ED"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test</cp:lastModifiedBy>
  <dcterms:created xsi:type="dcterms:W3CDTF">2017-07-19T08:46:20Z</dcterms:created>
  <dcterms:modified xsi:type="dcterms:W3CDTF">2019-03-12T12:52:52Z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