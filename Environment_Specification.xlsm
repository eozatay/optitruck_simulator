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uploaded\uploaded_120718\"/>
    </mc:Choice>
  </mc:AlternateContent>
  <bookViews>
    <workbookView xWindow="0" yWindow="0" windowWidth="28800" windowHeight="1194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Definition'!$A$2:$Q$231</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W2" i="3"/>
  <c r="AQ2" i="3"/>
  <c r="AJ2" i="3"/>
  <c r="BE2" i="3"/>
  <c r="AL2" i="3"/>
  <c r="AS2" i="3"/>
  <c r="BH2" i="3"/>
  <c r="AZ2" i="3"/>
  <c r="BK2" i="3"/>
  <c r="BB2" i="3"/>
  <c r="AX2" i="3"/>
  <c r="AF2" i="3"/>
  <c r="AB2" i="3"/>
  <c r="BJ2" i="3"/>
  <c r="AR2" i="3"/>
  <c r="AI2" i="3"/>
  <c r="AY2" i="3"/>
  <c r="AD2" i="3"/>
  <c r="BA2" i="3"/>
  <c r="AU2" i="3"/>
  <c r="AP2" i="3"/>
  <c r="AE2" i="3"/>
  <c r="AC2" i="3"/>
  <c r="BI2" i="3"/>
  <c r="BG2" i="3"/>
  <c r="AK2" i="3"/>
  <c r="AN2" i="3"/>
  <c r="AT2" i="3"/>
  <c r="AM2" i="3"/>
  <c r="BD2" i="3"/>
  <c r="AV2" i="3"/>
  <c r="BC2" i="3"/>
  <c r="AO2" i="3"/>
  <c r="BF2" i="3"/>
  <c r="AH2" i="3"/>
  <c r="AG2" i="3"/>
  <c r="F7" i="5" l="1"/>
</calcChain>
</file>

<file path=xl/sharedStrings.xml><?xml version="1.0" encoding="utf-8"?>
<sst xmlns="http://schemas.openxmlformats.org/spreadsheetml/2006/main" count="7078" uniqueCount="3611">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</sst>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0</xdr:rowOff>
        </xdr:to>
        <xdr:sp macro="" textlink="">
          <xdr:nvSpPr>
            <xdr:cNvPr id="1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152400</xdr:rowOff>
        </xdr:to>
        <xdr:sp macro="" textlink="">
          <xdr:nvSpPr>
            <xdr:cNvPr id="1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400050</xdr:colOff>
          <xdr:row>0</xdr:row>
          <xdr:rowOff>190500</xdr:rowOff>
        </xdr:to>
        <xdr:sp macro="" textlink="">
          <xdr:nvSpPr>
            <xdr:cNvPr id="1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24"/>
  <sheetViews>
    <sheetView tabSelected="1" topLeftCell="E1" zoomScale="90" zoomScaleNormal="90" zoomScalePageLayoutView="80" workbookViewId="0">
      <pane ySplit="2" topLeftCell="A3" activePane="bottomLeft" state="frozen"/>
      <selection pane="bottomLeft" activeCell="G31" sqref="G31"/>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hidden="1"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hidden="1"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hidden="1"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hidden="1"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hidden="1"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hidden="1"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hidden="1"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hidden="1"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hidden="1"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hidden="1"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hidden="1"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hidden="1"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hidden="1"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hidden="1"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hidden="1"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hidden="1"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hidden="1"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hidden="1"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hidden="1"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hidden="1"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hidden="1"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hidden="1"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hidden="1"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hidden="1"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hidden="1"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hidden="1"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hidden="1"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hidden="1"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hidden="1"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hidden="1"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hidden="1"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hidden="1"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hidden="1"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hidden="1"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hidden="1"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hidden="1"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hidden="1"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hidden="1"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hidden="1"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hidden="1"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hidden="1"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hidden="1"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hidden="1"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hidden="1"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hidden="1"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hidden="1"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hidden="1"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hidden="1"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hidden="1"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hidden="1"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hidden="1"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hidden="1"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hidden="1"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hidden="1"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hidden="1"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hidden="1"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hidden="1"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hidden="1"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hidden="1"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hidden="1"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hidden="1"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hidden="1"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hidden="1"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hidden="1"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hidden="1"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hidden="1"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hidden="1"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hidden="1"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hidden="1"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hidden="1"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hidden="1"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hidden="1"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hidden="1"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hidden="1"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hidden="1"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hidden="1"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hidden="1"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hidden="1"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hidden="1"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hidden="1"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hidden="1"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hidden="1"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hidden="1"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hidden="1"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hidden="1"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hidden="1"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hidden="1"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hidden="1"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hidden="1"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hidden="1"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hidden="1"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hidden="1"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hidden="1"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hidden="1"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hidden="1"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hidden="1"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hidden="1"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hidden="1"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hidden="1"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hidden="1"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hidden="1"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hidden="1"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hidden="1"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hidden="1"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hidden="1"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hidden="1"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hidden="1"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hidden="1"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hidden="1"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hidden="1"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hidden="1"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hidden="1"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hidden="1"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hidden="1"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hidden="1"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hidden="1"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hidden="1"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hidden="1"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hidden="1"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hidden="1"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hidden="1"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hidden="1"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hidden="1"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hidden="1"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hidden="1"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hidden="1"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hidden="1"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hidden="1"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hidden="1"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hidden="1"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hidden="1"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hidden="1"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hidden="1"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hidden="1"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hidden="1"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hidden="1"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hidden="1"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hidden="1"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hidden="1"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hidden="1"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hidden="1"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hidden="1"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hidden="1"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hidden="1"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hidden="1"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hidden="1"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hidden="1"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hidden="1"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hidden="1"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hidden="1"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hidden="1"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hidden="1"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hidden="1"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hidden="1"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hidden="1"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hidden="1"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hidden="1"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hidden="1"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hidden="1"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hidden="1"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hidden="1"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hidden="1"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hidden="1"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hidden="1"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hidden="1"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hidden="1"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hidden="1"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hidden="1"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hidden="1"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hidden="1"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hidden="1"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hidden="1"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hidden="1"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hidden="1"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hidden="1"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hidden="1"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hidden="1"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hidden="1"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hidden="1"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hidden="1"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hidden="1"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hidden="1"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hidden="1"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hidden="1"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hidden="1"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hidden="1"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hidden="1"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hidden="1"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hidden="1"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hidden="1"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hidden="1"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hidden="1"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R232" t="s">
        <v>3610</v>
      </c>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lgorithmName="SHA-512" hashValue="aVqlHyAGrdrIzwPkuTy1rxDPav/swavz4/Hsp2/vi/WJo7dXZi6VJ89Sq7nH4nd+Ndyy+2vuOpk2BZdcIxPFrg==" saltValue="YrwFcUx3qxAr6VTAGviQGw==" spinCount="100000" sheet="1" objects="1" scenarios="1" autoFilter="0"/>
  <autoFilter ref="A2:Q231">
    <filterColumn colId="4">
      <filters>
        <filter val="Engine Mode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38100</xdr:colOff>
                    <xdr:row>0</xdr:row>
                    <xdr:rowOff>38100</xdr:rowOff>
                  </from>
                  <to>
                    <xdr:col>0</xdr:col>
                    <xdr:colOff>533400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D206" sqref="D206"/>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EngMdl_pExhMnfld_PHY</v>
      </c>
      <c r="B218" s="9">
        <f t="array" ref="B218">COUNT(FIND("input",$D218:$BY218))</f>
        <v>0</v>
      </c>
      <c r="C218" s="9">
        <f t="array" ref="C218">COUNT(FIND("output",$D218:$BY218))</f>
        <v>1</v>
      </c>
      <c r="K218" t="s">
        <v>2661</v>
      </c>
    </row>
    <row r="219" spans="1:27" x14ac:dyDescent="0.25">
      <c r="A219" s="9" t="str">
        <f>IF(ISBLANK('Signal Definition'!J219),"",'Signal Definition'!J219)</f>
        <v>EngMdl_pAftTrb_PHY</v>
      </c>
      <c r="B219" s="9">
        <f t="array" ref="B219">COUNT(FIND("input",$D219:$BY219))</f>
        <v>0</v>
      </c>
      <c r="C219" s="9">
        <f t="array" ref="C219">COUNT(FIND("output",$D219:$BY219))</f>
        <v>1</v>
      </c>
      <c r="K219" t="s">
        <v>2661</v>
      </c>
    </row>
    <row r="220" spans="1:27" x14ac:dyDescent="0.25">
      <c r="A220" s="9" t="str">
        <f>IF(ISBLANK('Signal Definition'!J220),"",'Signal Definition'!J220)</f>
        <v>EngMdl_nTrbSpd_PHY</v>
      </c>
      <c r="B220" s="9">
        <f t="array" ref="B220">COUNT(FIND("input",$D220:$BY220))</f>
        <v>0</v>
      </c>
      <c r="C220" s="9">
        <f t="array" ref="C220">COUNT(FIND("output",$D220:$BY220))</f>
        <v>1</v>
      </c>
      <c r="K220" t="s">
        <v>2661</v>
      </c>
    </row>
    <row r="221" spans="1:27"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25">
      <c r="A226" s="9" t="str">
        <f>IF(ISBLANK('Signal Definition'!J226),"",'Signal Definition'!J226)</f>
        <v>AirCdn_tAirCdnIntrAirT_PHY</v>
      </c>
      <c r="B226" s="9">
        <f t="array" ref="B226">COUNT(FIND("input",$D226:$BY226))</f>
        <v>0</v>
      </c>
      <c r="C226" s="9">
        <f t="array" ref="C226">COUNT(FIND("output",$D226:$BY226))</f>
        <v>1</v>
      </c>
      <c r="Q226" t="s">
        <v>2661</v>
      </c>
    </row>
    <row r="227" spans="1:27"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25">
      <c r="A232" s="9" t="str">
        <f>IF(ISBLANK('Signal Definition'!J232),"",'Signal Definition'!J232)</f>
        <v>EngMdl_trqIndcdTqOut_PHY</v>
      </c>
      <c r="B232" s="9">
        <f t="array" ref="B232">COUNT(FIND("input",$D232:$BY232))</f>
        <v>0</v>
      </c>
      <c r="C232" s="9">
        <f t="array" ref="C232">COUNT(FIND("output",$D232:$BY232))</f>
        <v>1</v>
      </c>
      <c r="K232" t="s">
        <v>2661</v>
      </c>
    </row>
    <row r="233" spans="1:27" x14ac:dyDescent="0.25">
      <c r="A233" s="9" t="str">
        <f>IF(ISBLANK('Signal Definition'!J233),"",'Signal Definition'!J233)</f>
        <v/>
      </c>
      <c r="B233" s="9">
        <f t="array" ref="B233">COUNT(FIND("input",$D233:$BY233))</f>
        <v>0</v>
      </c>
      <c r="C233" s="9">
        <f t="array" ref="C233">COUNT(FIND("output",$D233:$BY233))</f>
        <v>0</v>
      </c>
    </row>
    <row r="234" spans="1:27" x14ac:dyDescent="0.25">
      <c r="A234" s="9" t="str">
        <f>IF(ISBLANK('Signal Definition'!J234),"",'Signal Definition'!J234)</f>
        <v/>
      </c>
      <c r="B234" s="9">
        <f t="array" ref="B234">COUNT(FIND("input",$D234:$BY234))</f>
        <v>0</v>
      </c>
      <c r="C234" s="9">
        <f t="array" ref="C234">COUNT(FIND("output",$D234:$BY234))</f>
        <v>0</v>
      </c>
    </row>
    <row r="235" spans="1:27" x14ac:dyDescent="0.25">
      <c r="A235" s="9" t="str">
        <f>IF(ISBLANK('Signal Definition'!J235),"",'Signal Definition'!J235)</f>
        <v/>
      </c>
      <c r="B235" s="9">
        <f t="array" ref="B235">COUNT(FIND("input",$D235:$BY235))</f>
        <v>0</v>
      </c>
      <c r="C235" s="9">
        <f t="array" ref="C235">COUNT(FIND("output",$D235:$BY235))</f>
        <v>0</v>
      </c>
    </row>
    <row r="236" spans="1:27" x14ac:dyDescent="0.25">
      <c r="A236" s="9" t="str">
        <f>IF(ISBLANK('Signal Definition'!J236),"",'Signal Definition'!J236)</f>
        <v/>
      </c>
      <c r="B236" s="9">
        <f t="array" ref="B236">COUNT(FIND("input",$D236:$BY236))</f>
        <v>0</v>
      </c>
      <c r="C236" s="9">
        <f t="array" ref="C236">COUNT(FIND("output",$D236:$BY236))</f>
        <v>0</v>
      </c>
    </row>
    <row r="237" spans="1:27" x14ac:dyDescent="0.25">
      <c r="A237" s="9" t="str">
        <f>IF(ISBLANK('Signal Definition'!J237),"",'Signal Definition'!J237)</f>
        <v/>
      </c>
      <c r="B237" s="9">
        <f t="array" ref="B237">COUNT(FIND("input",$D237:$BY237))</f>
        <v>0</v>
      </c>
      <c r="C237" s="9">
        <f t="array" ref="C237">COUNT(FIND("output",$D237:$BY237))</f>
        <v>0</v>
      </c>
    </row>
    <row r="238" spans="1:27" x14ac:dyDescent="0.25">
      <c r="A238" s="9" t="str">
        <f>IF(ISBLANK('Signal Definition'!J238),"",'Signal Definition'!J238)</f>
        <v/>
      </c>
      <c r="B238" s="9">
        <f t="array" ref="B238">COUNT(FIND("input",$D238:$BY238))</f>
        <v>0</v>
      </c>
      <c r="C238" s="9">
        <f t="array" ref="C238">COUNT(FIND("output",$D238:$BY238))</f>
        <v>0</v>
      </c>
    </row>
    <row r="239" spans="1:27" x14ac:dyDescent="0.25">
      <c r="A239" s="9" t="str">
        <f>IF(ISBLANK('Signal Definition'!J239),"",'Signal Definition'!J239)</f>
        <v/>
      </c>
      <c r="B239" s="9">
        <f t="array" ref="B239">COUNT(FIND("input",$D239:$BY239))</f>
        <v>0</v>
      </c>
      <c r="C239" s="9">
        <f t="array" ref="C239">COUNT(FIND("output",$D239:$BY239))</f>
        <v>0</v>
      </c>
    </row>
    <row r="240" spans="1:27"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Eftdlc04D7SivVhP7nMhiluE84Pd/M4Q7RMxlxXBdM2B5+mu2fZbu+ov/j20Wnn61eBmpr0tiF2bfyw9WAk+OA==" saltValue="dlpb130b8H5Mqe36c5ktOg=="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38100</xdr:colOff>
                    <xdr:row>0</xdr:row>
                    <xdr:rowOff>38100</xdr:rowOff>
                  </from>
                  <to>
                    <xdr:col>0</xdr:col>
                    <xdr:colOff>533400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topLeftCell="A11"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Sg+FXoY0HLng0zZxN4H8wAHHr38X7qm+cLDSV8pUCav18LZ88uQtDSBJeO+et1fdoKaQCac+QFsV90LSo6MTAQ==" saltValue="NU3EEcJXi+IdkN89/2jPx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28575</xdr:colOff>
                    <xdr:row>0</xdr:row>
                    <xdr:rowOff>19050</xdr:rowOff>
                  </from>
                  <to>
                    <xdr:col>0</xdr:col>
                    <xdr:colOff>400050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3559</v>
      </c>
      <c r="B238" s="21" t="s">
        <v>3559</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3568</v>
      </c>
      <c r="B788" s="21" t="s">
        <v>3568</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3593</v>
      </c>
      <c r="C796" s="36"/>
    </row>
    <row r="797" spans="1:3" x14ac:dyDescent="0.25">
      <c r="A797" s="21" t="s">
        <v>1571</v>
      </c>
      <c r="B797" s="21" t="s">
        <v>1572</v>
      </c>
      <c r="C797" s="36" t="s">
        <v>1573</v>
      </c>
    </row>
    <row r="798" spans="1:3" x14ac:dyDescent="0.25">
      <c r="A798" s="21" t="s">
        <v>1574</v>
      </c>
      <c r="B798" s="21" t="s">
        <v>1574</v>
      </c>
      <c r="C798" s="36"/>
    </row>
    <row r="799" spans="1:3" x14ac:dyDescent="0.25">
      <c r="A799" s="22" t="s">
        <v>1575</v>
      </c>
      <c r="B799" s="22" t="s">
        <v>1576</v>
      </c>
      <c r="C799" s="37"/>
    </row>
    <row r="800" spans="1:3" x14ac:dyDescent="0.25">
      <c r="A800" s="22" t="s">
        <v>1577</v>
      </c>
      <c r="B800" s="22" t="s">
        <v>1578</v>
      </c>
      <c r="C800" s="37" t="s">
        <v>1579</v>
      </c>
    </row>
    <row r="801" spans="1:3" x14ac:dyDescent="0.25">
      <c r="A801" s="21" t="s">
        <v>1580</v>
      </c>
      <c r="B801" s="21" t="s">
        <v>1581</v>
      </c>
      <c r="C801" s="36"/>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2" t="s">
        <v>1600</v>
      </c>
      <c r="B811" s="22" t="s">
        <v>1601</v>
      </c>
      <c r="C811" s="37"/>
    </row>
    <row r="812" spans="1:3" x14ac:dyDescent="0.25">
      <c r="A812" s="21" t="s">
        <v>1602</v>
      </c>
      <c r="B812" s="21" t="s">
        <v>1603</v>
      </c>
      <c r="C812" s="36"/>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2" t="s">
        <v>1640</v>
      </c>
      <c r="B840" s="21" t="s">
        <v>1640</v>
      </c>
      <c r="C840" s="36"/>
    </row>
    <row r="841" spans="1:3" x14ac:dyDescent="0.25">
      <c r="A841" s="21"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6" t="s">
        <v>2813</v>
      </c>
      <c r="B864" s="26" t="s">
        <v>2814</v>
      </c>
      <c r="C864" s="38"/>
    </row>
    <row r="865" spans="1:3" x14ac:dyDescent="0.25">
      <c r="A865" s="21" t="s">
        <v>1678</v>
      </c>
      <c r="B865" s="21" t="s">
        <v>1679</v>
      </c>
      <c r="C865" s="36" t="s">
        <v>1144</v>
      </c>
    </row>
    <row r="866" spans="1:3" x14ac:dyDescent="0.25">
      <c r="A866" s="22" t="s">
        <v>1680</v>
      </c>
      <c r="B866" s="22" t="s">
        <v>1680</v>
      </c>
      <c r="C866" s="37" t="s">
        <v>1681</v>
      </c>
    </row>
    <row r="867" spans="1:3" x14ac:dyDescent="0.25">
      <c r="A867" s="21" t="s">
        <v>1682</v>
      </c>
      <c r="B867" s="21" t="s">
        <v>1683</v>
      </c>
      <c r="C867" s="36"/>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8" t="s">
        <v>1750</v>
      </c>
      <c r="B908" s="28" t="s">
        <v>1751</v>
      </c>
    </row>
    <row r="909" spans="1:3" x14ac:dyDescent="0.25">
      <c r="A909" s="28" t="s">
        <v>1752</v>
      </c>
      <c r="B909" s="28" t="s">
        <v>1752</v>
      </c>
    </row>
    <row r="910" spans="1:3" x14ac:dyDescent="0.25">
      <c r="A910" s="21" t="s">
        <v>1753</v>
      </c>
      <c r="B910" s="21" t="s">
        <v>1754</v>
      </c>
      <c r="C910" s="36"/>
    </row>
    <row r="911" spans="1:3" x14ac:dyDescent="0.25">
      <c r="A911" s="21" t="s">
        <v>81</v>
      </c>
      <c r="B911" s="21" t="s">
        <v>1755</v>
      </c>
      <c r="C911" s="36"/>
    </row>
    <row r="912" spans="1:3" x14ac:dyDescent="0.25">
      <c r="A912" s="21" t="s">
        <v>1756</v>
      </c>
      <c r="B912" s="21" t="s">
        <v>1757</v>
      </c>
      <c r="C912" s="36"/>
    </row>
    <row r="913" spans="1:3" x14ac:dyDescent="0.25">
      <c r="A913" s="22" t="s">
        <v>1758</v>
      </c>
      <c r="B913" s="22" t="s">
        <v>1758</v>
      </c>
      <c r="C913" s="37" t="s">
        <v>1759</v>
      </c>
    </row>
    <row r="914" spans="1:3" x14ac:dyDescent="0.25">
      <c r="A914" s="21" t="s">
        <v>1760</v>
      </c>
      <c r="B914" s="21" t="s">
        <v>1761</v>
      </c>
      <c r="C914" s="36"/>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3" t="s">
        <v>2594</v>
      </c>
      <c r="B929" s="21" t="s">
        <v>2595</v>
      </c>
      <c r="C929" s="36"/>
    </row>
    <row r="930" spans="1:3" x14ac:dyDescent="0.25">
      <c r="A930" s="21"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8" t="s">
        <v>1794</v>
      </c>
      <c r="B934" s="28" t="s">
        <v>1795</v>
      </c>
    </row>
    <row r="935" spans="1:3" x14ac:dyDescent="0.25">
      <c r="A935" s="21" t="s">
        <v>1796</v>
      </c>
      <c r="B935" s="21" t="s">
        <v>1797</v>
      </c>
      <c r="C935" s="36"/>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2" t="s">
        <v>1806</v>
      </c>
      <c r="B940" s="22" t="s">
        <v>1807</v>
      </c>
      <c r="C940" s="37"/>
    </row>
    <row r="941" spans="1:3" x14ac:dyDescent="0.25">
      <c r="A941" s="22" t="s">
        <v>1808</v>
      </c>
      <c r="B941" s="22" t="s">
        <v>1809</v>
      </c>
      <c r="C941" s="37" t="s">
        <v>1810</v>
      </c>
    </row>
    <row r="942" spans="1:3" x14ac:dyDescent="0.25">
      <c r="A942" s="21" t="s">
        <v>1811</v>
      </c>
      <c r="B942" s="21" t="s">
        <v>1812</v>
      </c>
      <c r="C942" s="36"/>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2" t="s">
        <v>1817</v>
      </c>
      <c r="B948" s="22" t="s">
        <v>1817</v>
      </c>
      <c r="C948" s="37"/>
    </row>
    <row r="949" spans="1:3" x14ac:dyDescent="0.25">
      <c r="A949" s="22" t="s">
        <v>1818</v>
      </c>
      <c r="B949" s="22" t="s">
        <v>1818</v>
      </c>
      <c r="C949" s="37"/>
    </row>
    <row r="950" spans="1:3" x14ac:dyDescent="0.25">
      <c r="A950" s="21" t="s">
        <v>1819</v>
      </c>
      <c r="B950" s="21" t="s">
        <v>1820</v>
      </c>
      <c r="C950" s="36"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2" t="s">
        <v>1887</v>
      </c>
      <c r="B987" s="21" t="s">
        <v>1888</v>
      </c>
      <c r="C987" s="36"/>
    </row>
    <row r="988" spans="1:3" x14ac:dyDescent="0.25">
      <c r="A988" s="21"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2" t="s">
        <v>1897</v>
      </c>
      <c r="B992" s="21" t="s">
        <v>1898</v>
      </c>
      <c r="C992" s="36"/>
    </row>
    <row r="993" spans="1:3" x14ac:dyDescent="0.25">
      <c r="A993" s="21"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2" t="s">
        <v>1922</v>
      </c>
      <c r="B1004" s="22" t="s">
        <v>1923</v>
      </c>
      <c r="C1004" s="37"/>
    </row>
    <row r="1005" spans="1:3" x14ac:dyDescent="0.25">
      <c r="A1005" s="21" t="s">
        <v>1924</v>
      </c>
      <c r="B1005" s="21" t="s">
        <v>1925</v>
      </c>
      <c r="C1005" s="36"/>
    </row>
    <row r="1006" spans="1:3" x14ac:dyDescent="0.25">
      <c r="A1006" s="21" t="s">
        <v>1926</v>
      </c>
      <c r="B1006" s="21" t="s">
        <v>1927</v>
      </c>
      <c r="C1006" s="36"/>
    </row>
    <row r="1007" spans="1:3" x14ac:dyDescent="0.25">
      <c r="A1007" s="22" t="s">
        <v>1928</v>
      </c>
      <c r="B1007" s="21" t="s">
        <v>1929</v>
      </c>
      <c r="C1007" s="36"/>
    </row>
    <row r="1008" spans="1:3" x14ac:dyDescent="0.25">
      <c r="A1008" s="21"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2" t="s">
        <v>87</v>
      </c>
      <c r="B1018" s="22" t="s">
        <v>1950</v>
      </c>
      <c r="C1018" s="37" t="s">
        <v>1951</v>
      </c>
    </row>
    <row r="1019" spans="1:3" x14ac:dyDescent="0.25">
      <c r="A1019" s="21" t="s">
        <v>1952</v>
      </c>
      <c r="B1019" s="21" t="s">
        <v>1953</v>
      </c>
      <c r="C1019" s="36"/>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2" t="s">
        <v>2007</v>
      </c>
      <c r="B1048" s="22" t="s">
        <v>2007</v>
      </c>
      <c r="C1048" s="37" t="s">
        <v>2008</v>
      </c>
    </row>
    <row r="1049" spans="1:3" x14ac:dyDescent="0.25">
      <c r="A1049" s="21" t="s">
        <v>2009</v>
      </c>
      <c r="B1049" s="21" t="s">
        <v>2009</v>
      </c>
      <c r="C1049" s="36" t="s">
        <v>2010</v>
      </c>
    </row>
    <row r="1050" spans="1:3" x14ac:dyDescent="0.25">
      <c r="A1050" s="25" t="s">
        <v>2011</v>
      </c>
      <c r="B1050" s="22" t="s">
        <v>2011</v>
      </c>
      <c r="C1050" s="37"/>
    </row>
    <row r="1051" spans="1:3" x14ac:dyDescent="0.25">
      <c r="A1051" s="21" t="s">
        <v>2012</v>
      </c>
      <c r="B1051" s="21" t="s">
        <v>2013</v>
      </c>
      <c r="C1051" s="36"/>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2" t="s">
        <v>2041</v>
      </c>
      <c r="B1068" s="22" t="s">
        <v>2041</v>
      </c>
      <c r="C1068" s="37"/>
    </row>
    <row r="1069" spans="1:3" x14ac:dyDescent="0.25">
      <c r="A1069" s="22" t="s">
        <v>2042</v>
      </c>
      <c r="B1069" s="22" t="s">
        <v>2043</v>
      </c>
      <c r="C1069" s="37"/>
    </row>
    <row r="1070" spans="1:3" x14ac:dyDescent="0.25">
      <c r="A1070" s="22" t="s">
        <v>2044</v>
      </c>
      <c r="B1070" s="22" t="s">
        <v>2044</v>
      </c>
      <c r="C1070" s="37"/>
    </row>
    <row r="1071" spans="1:3" x14ac:dyDescent="0.25">
      <c r="A1071" s="21" t="s">
        <v>2045</v>
      </c>
      <c r="B1071" s="21" t="s">
        <v>2046</v>
      </c>
      <c r="C1071" s="36"/>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2" t="s">
        <v>2068</v>
      </c>
      <c r="B1084" s="22" t="s">
        <v>2069</v>
      </c>
      <c r="C1084" s="37" t="s">
        <v>2070</v>
      </c>
    </row>
    <row r="1085" spans="1:3" ht="30" x14ac:dyDescent="0.25">
      <c r="A1085" s="21" t="s">
        <v>2856</v>
      </c>
      <c r="B1085" s="21" t="s">
        <v>2857</v>
      </c>
      <c r="C1085" s="36"/>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2" t="s">
        <v>2183</v>
      </c>
      <c r="B1146" s="22" t="s">
        <v>2184</v>
      </c>
      <c r="C1146" s="37"/>
    </row>
    <row r="1147" spans="1:3" x14ac:dyDescent="0.25">
      <c r="A1147" s="21" t="s">
        <v>2185</v>
      </c>
      <c r="B1147" s="21" t="s">
        <v>2185</v>
      </c>
      <c r="C1147" s="36"/>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8" t="s">
        <v>2197</v>
      </c>
      <c r="B1154" s="28" t="s">
        <v>2198</v>
      </c>
    </row>
    <row r="1155" spans="1:3" x14ac:dyDescent="0.25">
      <c r="A1155" s="21" t="s">
        <v>2199</v>
      </c>
      <c r="B1155" s="21" t="s">
        <v>2200</v>
      </c>
      <c r="C1155" s="36"/>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2" t="s">
        <v>2234</v>
      </c>
      <c r="B1172" s="22" t="s">
        <v>2234</v>
      </c>
      <c r="C1172" s="37"/>
    </row>
    <row r="1173" spans="1:3" x14ac:dyDescent="0.25">
      <c r="A1173" s="21" t="s">
        <v>2235</v>
      </c>
      <c r="B1173" s="21" t="s">
        <v>2236</v>
      </c>
      <c r="C1173" s="36"/>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2" t="s">
        <v>2243</v>
      </c>
      <c r="B1177" s="21" t="s">
        <v>2243</v>
      </c>
      <c r="C1177" s="36"/>
    </row>
    <row r="1178" spans="1:3" x14ac:dyDescent="0.25">
      <c r="A1178" s="21" t="s">
        <v>2244</v>
      </c>
      <c r="B1178" s="21" t="s">
        <v>2245</v>
      </c>
      <c r="C1178" s="36"/>
    </row>
    <row r="1179" spans="1:3" x14ac:dyDescent="0.25">
      <c r="A1179" s="22" t="s">
        <v>2246</v>
      </c>
      <c r="B1179" s="22" t="s">
        <v>2247</v>
      </c>
      <c r="C1179" s="37"/>
    </row>
    <row r="1180" spans="1:3" x14ac:dyDescent="0.25">
      <c r="A1180" s="21" t="s">
        <v>2248</v>
      </c>
      <c r="B1180" s="21" t="s">
        <v>2248</v>
      </c>
      <c r="C1180" s="36"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2" t="s">
        <v>2261</v>
      </c>
      <c r="B1188" s="21" t="s">
        <v>2262</v>
      </c>
      <c r="C1188" s="36" t="s">
        <v>2263</v>
      </c>
    </row>
    <row r="1189" spans="1:3" x14ac:dyDescent="0.25">
      <c r="A1189" s="21"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7" t="s">
        <v>2370</v>
      </c>
      <c r="B1253" s="27" t="s">
        <v>2371</v>
      </c>
      <c r="C1253" s="37"/>
    </row>
    <row r="1254" spans="1:3" x14ac:dyDescent="0.25">
      <c r="A1254" s="21" t="s">
        <v>2372</v>
      </c>
      <c r="B1254" s="21" t="s">
        <v>2373</v>
      </c>
      <c r="C1254" s="36" t="s">
        <v>2374</v>
      </c>
    </row>
    <row r="1255" spans="1:3" x14ac:dyDescent="0.25">
      <c r="A1255" s="21" t="s">
        <v>2375</v>
      </c>
      <c r="B1255" s="21" t="s">
        <v>2376</v>
      </c>
      <c r="C1255" s="36"/>
    </row>
    <row r="1256" spans="1:3" x14ac:dyDescent="0.25">
      <c r="A1256" s="21" t="s">
        <v>2377</v>
      </c>
      <c r="B1256" s="21" t="s">
        <v>2378</v>
      </c>
      <c r="C1256" s="36"/>
    </row>
    <row r="1257" spans="1:3" x14ac:dyDescent="0.25">
      <c r="A1257" s="22" t="s">
        <v>2379</v>
      </c>
      <c r="B1257" s="22" t="s">
        <v>2380</v>
      </c>
      <c r="C1257" s="37"/>
    </row>
    <row r="1258" spans="1:3" x14ac:dyDescent="0.25">
      <c r="A1258" s="21" t="s">
        <v>2381</v>
      </c>
      <c r="B1258" s="21" t="s">
        <v>2382</v>
      </c>
      <c r="C1258" s="36"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8" t="s">
        <v>2398</v>
      </c>
      <c r="B1265" s="28" t="s">
        <v>2399</v>
      </c>
    </row>
    <row r="1266" spans="1:3" x14ac:dyDescent="0.25">
      <c r="A1266" s="21" t="s">
        <v>2400</v>
      </c>
      <c r="B1266" s="21" t="s">
        <v>2401</v>
      </c>
      <c r="C1266" s="36"/>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8" t="s">
        <v>4</v>
      </c>
      <c r="B1283" s="28" t="s">
        <v>4</v>
      </c>
    </row>
    <row r="1284" spans="1:3" x14ac:dyDescent="0.25">
      <c r="A1284" s="21" t="s">
        <v>2431</v>
      </c>
      <c r="B1284" s="21" t="s">
        <v>2432</v>
      </c>
      <c r="C1284" s="36"/>
    </row>
    <row r="1285" spans="1:3" x14ac:dyDescent="0.25">
      <c r="A1285" s="21" t="s">
        <v>2433</v>
      </c>
      <c r="B1285" s="21" t="s">
        <v>2434</v>
      </c>
      <c r="C1285" s="36"/>
    </row>
    <row r="1286" spans="1:3" x14ac:dyDescent="0.25">
      <c r="A1286" s="23"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2" t="s">
        <v>3045</v>
      </c>
      <c r="B1292" s="21" t="s">
        <v>3045</v>
      </c>
      <c r="C1292" s="36"/>
    </row>
    <row r="1293" spans="1:3" x14ac:dyDescent="0.25">
      <c r="A1293" s="28" t="s">
        <v>2446</v>
      </c>
      <c r="B1293" s="28" t="s">
        <v>2446</v>
      </c>
      <c r="C1293" s="39" t="s">
        <v>2447</v>
      </c>
    </row>
    <row r="1294" spans="1:3" x14ac:dyDescent="0.25">
      <c r="A1294" s="21" t="s">
        <v>2448</v>
      </c>
      <c r="B1294" s="21" t="s">
        <v>2448</v>
      </c>
      <c r="C1294" s="36"/>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3"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1"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8" t="s">
        <v>2486</v>
      </c>
      <c r="B1318" s="28" t="s">
        <v>2486</v>
      </c>
      <c r="C1318" s="36" t="s">
        <v>2487</v>
      </c>
    </row>
    <row r="1319" spans="1:3" x14ac:dyDescent="0.25">
      <c r="A1319" s="28" t="s">
        <v>2488</v>
      </c>
      <c r="B1319" s="28" t="s">
        <v>2489</v>
      </c>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2c3SAhjB7VUk4TpJ3FFv65XRgXr3E9IueFsqywhXb08+skg9eHfTF8faQoIu2gGeRO6qj9f8qYmAoQdYRpgh6A==" saltValue="Mdctpr3PZ6OS9nv320tTp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WQD7WAhxndf1RqVCEOHtjg66kK6A55C7EpUYBZXncLRrhHEPBnMgZ7IUdISU4ecg/AMH2NxYdLUn0d9AxVQhgw==" saltValue="K+kvgbKcgaumiCyGE0vfg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3609</v>
      </c>
    </row>
  </sheetData>
  <sheetProtection algorithmName="SHA-512" hashValue="pnQm9aY0DQiqJAJUeZETJl1mqtqLv8l2ddLIc558sNrr/3v5U7Cq6rYeXNgzW9m8B4xds84a3Mg4kzAi7YH8Ng==" saltValue="qY7MBiXN0/es5t8yi7APK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2018-07-12T14:45:17Z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