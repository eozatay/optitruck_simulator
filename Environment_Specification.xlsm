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8209E792-AB34-3A44-A064-E307D292A41D}" xr6:coauthVersionLast="32" xr6:coauthVersionMax="32" xr10:uidLastSave="{00000000-0000-0000-0000-000000000000}"/>
  <bookViews>
    <workbookView xWindow="120" yWindow="460" windowWidth="33260" windowHeight="9580" tabRatio="591" activeTab="2"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C2" i="3"/>
  <c r="AW2" i="3"/>
  <c r="BJ2" i="3"/>
  <c r="AN2" i="3"/>
  <c r="BB2" i="3"/>
  <c r="AQ2" i="3"/>
  <c r="AR2" i="3"/>
  <c r="AT2" i="3"/>
  <c r="AG2" i="3"/>
  <c r="AJ2" i="3"/>
  <c r="AI2" i="3"/>
  <c r="AM2" i="3"/>
  <c r="BI2" i="3"/>
  <c r="BE2" i="3"/>
  <c r="AY2" i="3"/>
  <c r="BD2" i="3"/>
  <c r="AX2" i="3"/>
  <c r="AL2" i="3"/>
  <c r="AD2" i="3"/>
  <c r="AV2" i="3"/>
  <c r="BG2" i="3"/>
  <c r="AS2" i="3"/>
  <c r="BA2" i="3"/>
  <c r="BC2" i="3"/>
  <c r="AF2" i="3"/>
  <c r="BH2" i="3"/>
  <c r="AU2" i="3"/>
  <c r="AO2" i="3"/>
  <c r="AK2" i="3"/>
  <c r="AZ2" i="3"/>
  <c r="AP2" i="3"/>
  <c r="BF2" i="3"/>
  <c r="AB2" i="3"/>
  <c r="BK2" i="3"/>
  <c r="AE2" i="3"/>
  <c r="AH2" i="3"/>
  <c r="F7" i="5" l="1"/>
</calcChain>
</file>

<file path=xl/sharedStrings.xml><?xml version="1.0" encoding="utf-8"?>
<sst xmlns="http://schemas.openxmlformats.org/spreadsheetml/2006/main" count="7063" uniqueCount="3606">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</sst>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4"/>
  <sheetViews>
    <sheetView topLeftCell="E1" zoomScale="90" zoomScaleNormal="90" zoomScalePageLayoutView="80" workbookViewId="0">
      <pane ySplit="2" topLeftCell="A219" activePane="bottomLeft" state="frozen"/>
      <selection pane="bottomLeft" activeCell="H227" sqref="H227"/>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
      <c r="M232" s="17"/>
      <c r="N232" s="17"/>
      <c r="O232" s="17"/>
      <c r="P232" s="76"/>
    </row>
    <row r="233" spans="1:18" x14ac:dyDescent="0.2">
      <c r="M233" s="17"/>
      <c r="N233" s="17"/>
      <c r="O233" s="17"/>
      <c r="P233" s="76"/>
    </row>
    <row r="234" spans="1:18" x14ac:dyDescent="0.2">
      <c r="M234" s="17"/>
      <c r="N234" s="17"/>
      <c r="O234" s="17"/>
      <c r="P234" s="76"/>
    </row>
    <row r="235" spans="1:18" x14ac:dyDescent="0.2">
      <c r="M235" s="17"/>
      <c r="N235" s="17"/>
      <c r="O235" s="17"/>
      <c r="P235" s="76"/>
    </row>
    <row r="236" spans="1:18" x14ac:dyDescent="0.2">
      <c r="M236" s="17"/>
      <c r="N236" s="17"/>
      <c r="O236" s="17"/>
      <c r="P236" s="76"/>
    </row>
    <row r="237" spans="1:18" x14ac:dyDescent="0.2">
      <c r="M237" s="17"/>
      <c r="N237" s="17"/>
      <c r="O237" s="17"/>
      <c r="P237" s="76"/>
    </row>
    <row r="238" spans="1:18" x14ac:dyDescent="0.2">
      <c r="M238" s="17"/>
      <c r="N238" s="17"/>
      <c r="O238" s="17"/>
      <c r="P238" s="76"/>
    </row>
    <row r="239" spans="1:18" x14ac:dyDescent="0.2">
      <c r="M239" s="17"/>
      <c r="N239" s="17"/>
      <c r="O239" s="17"/>
      <c r="P239" s="76"/>
    </row>
    <row r="240" spans="1:18"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sheetData>
  <autoFilter ref="A2:Q220"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tabSelected="1" zoomScale="80" zoomScaleNormal="80" zoomScalePageLayoutView="70" workbookViewId="0">
      <pane xSplit="1" ySplit="2" topLeftCell="B14" activePane="bottomRight" state="frozen"/>
      <selection pane="topRight" activeCell="B1" sqref="B1"/>
      <selection pane="bottomLeft" activeCell="A3" sqref="A3"/>
      <selection pane="bottomRight" activeCell="A22" sqref="A22"/>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4" x14ac:dyDescent="0.2">
      <c r="A193" s="9" t="str">
        <f>IF(ISBLANK('Signal Definition'!J193),"",'Signal Definition'!J193)</f>
        <v>ECU_mflChrgdAirDes_PHY</v>
      </c>
      <c r="B193" s="9">
        <f t="array" ref="B193">COUNT(FIND("input",$D193:$BY193))</f>
        <v>0</v>
      </c>
      <c r="C193" s="9">
        <f t="array" ref="C193">COUNT(FIND("output",$D193:$BY193))</f>
        <v>1</v>
      </c>
      <c r="J193" t="s">
        <v>2661</v>
      </c>
    </row>
    <row r="194" spans="1:24"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
      <c r="A202" s="9" t="str">
        <f>IF(ISBLANK('Signal Definition'!J202),"",'Signal Definition'!J202)</f>
        <v>ECU_trqEstimdTotAux_PHY</v>
      </c>
      <c r="B202" s="9">
        <f t="array" ref="B202">COUNT(FIND("input",$D202:$BY202))</f>
        <v>0</v>
      </c>
      <c r="C202" s="9">
        <f t="array" ref="C202">COUNT(FIND("output",$D202:$BY202))</f>
        <v>1</v>
      </c>
      <c r="J202" t="s">
        <v>2661</v>
      </c>
    </row>
    <row r="203" spans="1:24"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
      <c r="A218" s="9" t="str">
        <f>IF(ISBLANK('Signal Definition'!J218),"",'Signal Definition'!J218)</f>
        <v>EngMdl_pExhMnfld_PHY</v>
      </c>
      <c r="B218" s="9">
        <f t="array" ref="B218">COUNT(FIND("input",$D218:$BY218))</f>
        <v>0</v>
      </c>
      <c r="C218" s="9">
        <f t="array" ref="C218">COUNT(FIND("output",$D218:$BY218))</f>
        <v>1</v>
      </c>
      <c r="K218" t="s">
        <v>2661</v>
      </c>
    </row>
    <row r="219" spans="1:27" x14ac:dyDescent="0.2">
      <c r="A219" s="9" t="str">
        <f>IF(ISBLANK('Signal Definition'!J219),"",'Signal Definition'!J219)</f>
        <v>EngMdl_pAftTrb_PHY</v>
      </c>
      <c r="B219" s="9">
        <f t="array" ref="B219">COUNT(FIND("input",$D219:$BY219))</f>
        <v>0</v>
      </c>
      <c r="C219" s="9">
        <f t="array" ref="C219">COUNT(FIND("output",$D219:$BY219))</f>
        <v>1</v>
      </c>
      <c r="K219" t="s">
        <v>2661</v>
      </c>
    </row>
    <row r="220" spans="1:27" x14ac:dyDescent="0.2">
      <c r="A220" s="9" t="str">
        <f>IF(ISBLANK('Signal Definition'!J220),"",'Signal Definition'!J220)</f>
        <v>EngMdl_nTrbSpd_PHY</v>
      </c>
      <c r="B220" s="9">
        <f t="array" ref="B220">COUNT(FIND("input",$D220:$BY220))</f>
        <v>0</v>
      </c>
      <c r="C220" s="9">
        <f t="array" ref="C220">COUNT(FIND("output",$D220:$BY220))</f>
        <v>1</v>
      </c>
      <c r="K220" t="s">
        <v>2661</v>
      </c>
    </row>
    <row r="221" spans="1:27" x14ac:dyDescent="0.2">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2">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2">
      <c r="A226" s="9" t="str">
        <f>IF(ISBLANK('Signal Definition'!J226),"",'Signal Definition'!J226)</f>
        <v>AirCdn_tAirCdnIntrAirT_PHY</v>
      </c>
      <c r="B226" s="9">
        <f t="array" ref="B226">COUNT(FIND("input",$D226:$BY226))</f>
        <v>0</v>
      </c>
      <c r="C226" s="9">
        <f t="array" ref="C226">COUNT(FIND("output",$D226:$BY226))</f>
        <v>1</v>
      </c>
      <c r="Q226" t="s">
        <v>2661</v>
      </c>
    </row>
    <row r="227" spans="1:27" x14ac:dyDescent="0.2">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2">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2">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2">
      <c r="A230" s="9" t="str">
        <f>IF(ISBLANK('Signal Definition'!J230),"",'Signal Definition'!J230)</f>
        <v>TestCfg_tIniSCRUs_PHY</v>
      </c>
      <c r="B230" s="9">
        <f t="array" ref="B230">COUNT(FIND("input",$D230:$BY230))</f>
        <v>1</v>
      </c>
      <c r="C230" s="9">
        <f t="array" ref="C230">COUNT(FIND("output",$D230:$BY230))</f>
        <v>1</v>
      </c>
      <c r="L230" t="s">
        <v>2670</v>
      </c>
      <c r="AA230" t="s">
        <v>2661</v>
      </c>
    </row>
    <row r="231" spans="1:27" x14ac:dyDescent="0.2">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2">
      <c r="A232" s="9" t="str">
        <f>IF(ISBLANK('Signal Definition'!J232),"",'Signal Definition'!J232)</f>
        <v/>
      </c>
      <c r="B232" s="9">
        <f t="array" ref="B232">COUNT(FIND("input",$D232:$BY232))</f>
        <v>0</v>
      </c>
      <c r="C232" s="9">
        <f t="array" ref="C232">COUNT(FIND("output",$D232:$BY232))</f>
        <v>0</v>
      </c>
    </row>
    <row r="233" spans="1:27" x14ac:dyDescent="0.2">
      <c r="A233" s="9" t="str">
        <f>IF(ISBLANK('Signal Definition'!J233),"",'Signal Definition'!J233)</f>
        <v/>
      </c>
      <c r="B233" s="9">
        <f t="array" ref="B233">COUNT(FIND("input",$D233:$BY233))</f>
        <v>0</v>
      </c>
      <c r="C233" s="9">
        <f t="array" ref="C233">COUNT(FIND("output",$D233:$BY233))</f>
        <v>0</v>
      </c>
    </row>
    <row r="234" spans="1:27" x14ac:dyDescent="0.2">
      <c r="A234" s="9" t="str">
        <f>IF(ISBLANK('Signal Definition'!J234),"",'Signal Definition'!J234)</f>
        <v/>
      </c>
      <c r="B234" s="9">
        <f t="array" ref="B234">COUNT(FIND("input",$D234:$BY234))</f>
        <v>0</v>
      </c>
      <c r="C234" s="9">
        <f t="array" ref="C234">COUNT(FIND("output",$D234:$BY234))</f>
        <v>0</v>
      </c>
    </row>
    <row r="235" spans="1:27" x14ac:dyDescent="0.2">
      <c r="A235" s="9" t="str">
        <f>IF(ISBLANK('Signal Definition'!J235),"",'Signal Definition'!J235)</f>
        <v/>
      </c>
      <c r="B235" s="9">
        <f t="array" ref="B235">COUNT(FIND("input",$D235:$BY235))</f>
        <v>0</v>
      </c>
      <c r="C235" s="9">
        <f t="array" ref="C235">COUNT(FIND("output",$D235:$BY235))</f>
        <v>0</v>
      </c>
    </row>
    <row r="236" spans="1:27" x14ac:dyDescent="0.2">
      <c r="A236" s="9" t="str">
        <f>IF(ISBLANK('Signal Definition'!J236),"",'Signal Definition'!J236)</f>
        <v/>
      </c>
      <c r="B236" s="9">
        <f t="array" ref="B236">COUNT(FIND("input",$D236:$BY236))</f>
        <v>0</v>
      </c>
      <c r="C236" s="9">
        <f t="array" ref="C236">COUNT(FIND("output",$D236:$BY236))</f>
        <v>0</v>
      </c>
    </row>
    <row r="237" spans="1:27" x14ac:dyDescent="0.2">
      <c r="A237" s="9" t="str">
        <f>IF(ISBLANK('Signal Definition'!J237),"",'Signal Definition'!J237)</f>
        <v/>
      </c>
      <c r="B237" s="9">
        <f t="array" ref="B237">COUNT(FIND("input",$D237:$BY237))</f>
        <v>0</v>
      </c>
      <c r="C237" s="9">
        <f t="array" ref="C237">COUNT(FIND("output",$D237:$BY237))</f>
        <v>0</v>
      </c>
    </row>
    <row r="238" spans="1:27" x14ac:dyDescent="0.2">
      <c r="A238" s="9" t="str">
        <f>IF(ISBLANK('Signal Definition'!J238),"",'Signal Definition'!J238)</f>
        <v/>
      </c>
      <c r="B238" s="9">
        <f t="array" ref="B238">COUNT(FIND("input",$D238:$BY238))</f>
        <v>0</v>
      </c>
      <c r="C238" s="9">
        <f t="array" ref="C238">COUNT(FIND("output",$D238:$BY238))</f>
        <v>0</v>
      </c>
    </row>
    <row r="239" spans="1:27" x14ac:dyDescent="0.2">
      <c r="A239" s="9" t="str">
        <f>IF(ISBLANK('Signal Definition'!J239),"",'Signal Definition'!J239)</f>
        <v/>
      </c>
      <c r="B239" s="9">
        <f t="array" ref="B239">COUNT(FIND("input",$D239:$BY239))</f>
        <v>0</v>
      </c>
      <c r="C239" s="9">
        <f t="array" ref="C239">COUNT(FIND("output",$D239:$BY239))</f>
        <v>0</v>
      </c>
    </row>
    <row r="240" spans="1:27"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6"/>
  <sheetViews>
    <sheetView topLeftCell="A11"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3568</v>
      </c>
      <c r="B788" s="21" t="s">
        <v>3568</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3593</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2018-07-09T06:22:18Z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