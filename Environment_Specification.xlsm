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28800" windowHeight="12300" tabRatio="733" firstSheet="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BF2" i="3"/>
  <c r="AG2" i="3"/>
  <c r="V2" i="3"/>
  <c r="U2" i="3"/>
  <c r="M2" i="3"/>
  <c r="S2" i="3"/>
  <c r="AH2" i="3"/>
  <c r="BG2" i="3"/>
  <c r="N2" i="3"/>
  <c r="AF2" i="3"/>
  <c r="BE2" i="3"/>
  <c r="T2" i="3"/>
  <c r="Q2" i="3"/>
  <c r="BA2" i="3"/>
  <c r="L2" i="3"/>
  <c r="AM2" i="3"/>
  <c r="AA2" i="3"/>
  <c r="AR2" i="3"/>
  <c r="AY2" i="3"/>
  <c r="AQ2" i="3"/>
  <c r="AV2" i="3"/>
  <c r="R2" i="3"/>
  <c r="AI2" i="3"/>
  <c r="I2" i="3"/>
  <c r="AO2" i="3"/>
  <c r="AP2" i="3"/>
  <c r="AS2" i="3"/>
  <c r="AT2" i="3"/>
  <c r="AE2" i="3"/>
  <c r="BJ2" i="3"/>
  <c r="BH2" i="3"/>
  <c r="AK2" i="3"/>
  <c r="O2" i="3"/>
  <c r="X2" i="3"/>
  <c r="AZ2" i="3"/>
  <c r="H2" i="3"/>
  <c r="AD2" i="3"/>
  <c r="BC2" i="3"/>
  <c r="W2" i="3"/>
  <c r="K2" i="3"/>
  <c r="G2" i="3"/>
  <c r="BK2" i="3"/>
  <c r="D2" i="3"/>
  <c r="AC2" i="3"/>
  <c r="AX2" i="3"/>
  <c r="F2" i="3"/>
  <c r="P2" i="3"/>
  <c r="BI2" i="3"/>
  <c r="BD2" i="3"/>
  <c r="J2" i="3"/>
  <c r="AB2" i="3"/>
  <c r="E2" i="3"/>
  <c r="Z2" i="3"/>
  <c r="Y2" i="3"/>
  <c r="AJ2" i="3"/>
  <c r="AW2" i="3"/>
  <c r="AN2" i="3"/>
  <c r="BB2" i="3"/>
  <c r="AU2" i="3"/>
  <c r="AL2" i="3"/>
  <c r="F9" i="5" l="1"/>
  <c r="F3" i="5"/>
  <c r="F2" i="5"/>
  <c r="F6" i="5"/>
  <c r="F8" i="5"/>
  <c r="F4" i="5"/>
  <c r="F5" i="5"/>
  <c r="F7" i="5"/>
</calcChain>
</file>

<file path=xl/sharedStrings.xml><?xml version="1.0" encoding="utf-8"?>
<sst xmlns="http://schemas.openxmlformats.org/spreadsheetml/2006/main" count="11083" uniqueCount="4276">
  <si>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</si>
  <si>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</si>
  <si>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</si>
  <si>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</si>
  <si>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</si>
  <si>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</si>
  <si>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</si>
  <si>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</si>
  <si>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</si>
  <si>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</si>
  <si>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</si>
  <si>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</si>
  <si>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</si>
  <si>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</si>
  <si>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</si>
  <si>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</si>
  <si>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</si>
  <si>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</si>
  <si>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</si>
  <si>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</si>
  <si>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</si>
  <si>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</si>
  <si>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</si>
  <si>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</si>
  <si>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</si>
  <si>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</si>
  <si>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</si>
  <si>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</si>
  <si>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</si>
  <si>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</si>
  <si>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</si>
  <si>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</si>
  <si>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</si>
  <si>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</si>
  <si>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</si>
  <si>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</si>
  <si>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</si>
  <si>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</si>
  <si>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</si>
  <si>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</si>
  <si>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</si>
  <si>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</si>
  <si>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</si>
  <si>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</si>
  <si>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</si>
  <si>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</si>
  <si>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</si>
  <si>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</si>
  <si>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</si>
  <si>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</si>
  <si>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</si>
  <si>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</si>
  <si>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</si>
  <si>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</si>
  <si>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</si>
  <si>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</si>
  <si>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</si>
  <si>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</si>
  <si>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</si>
  <si>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</si>
  <si>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</si>
  <si>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</si>
  <si>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</si>
  <si>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</si>
  <si>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</si>
  <si>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</si>
  <si>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</si>
  <si>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</si>
  <si>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</si>
  <si>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</si>
  <si>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</si>
  <si>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</si>
  <si>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</si>
  <si>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</si>
  <si>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</si>
  <si>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</si>
  <si>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</si>
  <si>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</si>
  <si>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</si>
  <si>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</si>
  <si>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</si>
  <si>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</si>
  <si>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</si>
  <si>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</si>
  <si>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</si>
  <si>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</si>
  <si>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</si>
  <si>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</si>
  <si>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</si>
  <si>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</si>
  <si>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</si>
  <si>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</si>
  <si>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</si>
  <si>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</si>
  <si>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</si>
  <si>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</si>
  <si>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</si>
  <si>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</si>
  <si>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</si>
  <si>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</si>
  <si>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</si>
  <si>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</si>
  <si>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</si>
  <si>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</si>
  <si>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</si>
  <si>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</si>
  <si>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</si>
  <si>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</si>
  <si>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</si>
  <si>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</si>
  <si>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</si>
  <si>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</si>
  <si>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</si>
  <si>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</si>
  <si>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</si>
  <si>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</si>
  <si>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</si>
  <si>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</si>
  <si>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</si>
  <si>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</si>
  <si>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</si>
  <si>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</si>
  <si>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</si>
  <si>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</si>
  <si>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</si>
  <si>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</si>
  <si>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</si>
  <si>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</si>
  <si>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</si>
  <si>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</si>
  <si>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</si>
  <si>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</si>
  <si>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</si>
  <si>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</si>
  <si>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</si>
  <si>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</si>
  <si>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</si>
  <si>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</si>
  <si>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</si>
  <si>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</si>
  <si>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</si>
  <si>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</si>
  <si>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</si>
  <si>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</si>
  <si>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</si>
  <si>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</si>
  <si>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</si>
  <si>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</si>
  <si>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</si>
  <si>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</si>
  <si>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</si>
  <si>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</si>
  <si>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</si>
  <si>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</si>
  <si>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</si>
  <si>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</si>
  <si>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</si>
  <si>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</si>
  <si>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</si>
  <si>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</si>
  <si>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</si>
  <si>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</si>
  <si>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</si>
  <si>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</si>
  <si>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</si>
  <si>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</si>
  <si>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</si>
  <si>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</si>
  <si>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</si>
  <si>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</si>
  <si>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</si>
  <si>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</si>
  <si>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</si>
  <si>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</si>
  <si>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</si>
  <si>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</si>
  <si>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</si>
  <si>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</si>
  <si>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</si>
  <si>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</si>
  <si>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</si>
  <si>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</si>
  <si>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</si>
  <si>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</si>
  <si>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</si>
  <si>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</si>
  <si>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</si>
  <si>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</si>
  <si>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</si>
  <si>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</si>
  <si>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</si>
  <si>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</si>
  <si>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</si>
  <si>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</si>
  <si>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</si>
  <si>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</si>
  <si>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</si>
  <si>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</si>
  <si>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</si>
  <si>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</si>
  <si>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</si>
  <si>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</si>
  <si>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</si>
  <si>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</si>
  <si>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</si>
  <si>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</si>
  <si>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</si>
  <si>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</si>
  <si>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</si>
  <si>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</si>
  <si>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</si>
  <si>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</si>
  <si>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</si>
  <si>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</si>
  <si>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</si>
  <si>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</si>
  <si>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</si>
  <si>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</si>
  <si>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</si>
  <si>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</si>
  <si>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</si>
  <si>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</si>
  <si>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</si>
  <si>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</si>
  <si>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</si>
  <si>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</si>
  <si>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</si>
  <si>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</si>
  <si>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</si>
  <si>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</si>
  <si>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</si>
  <si>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</si>
  <si>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</si>
  <si>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</si>
  <si>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</si>
  <si>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</si>
  <si>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</si>
  <si>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</si>
  <si>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</si>
  <si>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</si>
  <si>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</si>
  <si>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</si>
  <si>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</si>
  <si>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</si>
  <si>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</si>
  <si>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</si>
  <si>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</si>
  <si>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</si>
  <si>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</si>
  <si>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</si>
  <si>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</si>
  <si>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</si>
  <si>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</si>
  <si>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</si>
  <si>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</si>
  <si>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</si>
  <si>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</si>
  <si>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</si>
  <si>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</si>
  <si>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</si>
  <si>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</si>
  <si>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</si>
  <si>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</si>
  <si>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</si>
  <si>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</si>
  <si>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</si>
  <si>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</si>
  <si>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</si>
  <si>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</si>
  <si>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</si>
  <si>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</si>
  <si>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</si>
  <si>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</si>
  <si>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</si>
  <si>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</si>
  <si>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</si>
  <si>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</si>
  <si>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</si>
  <si>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</si>
  <si>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</si>
  <si>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</si>
  <si>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</si>
  <si>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</si>
  <si>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</si>
  <si>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</si>
  <si>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</si>
  <si>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</si>
  <si>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</si>
  <si>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</si>
  <si>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</si>
  <si>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</si>
  <si>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</si>
  <si>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</si>
  <si>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</si>
  <si>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</si>
  <si>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</si>
  <si>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</si>
  <si>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</si>
  <si>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</si>
  <si>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</si>
  <si>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</si>
  <si>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</si>
  <si>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</si>
  <si>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</si>
  <si>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</si>
  <si>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</si>
  <si>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</si>
  <si>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</si>
  <si>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</si>
  <si>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</si>
  <si>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</si>
  <si>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</si>
  <si>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</si>
  <si>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</si>
  <si>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</si>
  <si>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</si>
  <si>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</si>
  <si>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</si>
  <si>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</si>
  <si>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</si>
  <si>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</si>
  <si>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</si>
  <si>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</si>
  <si>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</si>
  <si>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</si>
  <si>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</si>
  <si>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</si>
  <si>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</si>
  <si>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</si>
  <si>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</si>
  <si>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</si>
  <si>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</si>
  <si>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</si>
  <si>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</si>
  <si>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</si>
  <si>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</si>
  <si>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</si>
  <si>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</si>
  <si>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</si>
  <si>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</si>
  <si>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</si>
  <si>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</si>
  <si>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</si>
  <si>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</si>
  <si>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</si>
  <si>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</si>
  <si>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</si>
  <si>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</si>
  <si>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</si>
  <si>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</si>
  <si>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</si>
  <si>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</si>
  <si>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</si>
  <si>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</si>
  <si>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</si>
  <si>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</si>
  <si>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</si>
  <si>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</si>
  <si>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</si>
  <si>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</si>
  <si>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</si>
  <si>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</si>
  <si>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</si>
  <si>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</si>
  <si>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</si>
  <si>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</si>
  <si>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</si>
  <si>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</si>
  <si>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</si>
  <si>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</si>
  <si>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</si>
  <si>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</si>
  <si>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</si>
  <si>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</si>
  <si>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</si>
  <si>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</si>
  <si>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</si>
  <si>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</si>
  <si>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</si>
  <si>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</si>
  <si>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</si>
  <si>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</si>
  <si>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</si>
  <si>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</si>
  <si>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</si>
  <si>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</si>
  <si>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</si>
  <si>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</si>
  <si>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</si>
  <si>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</si>
  <si>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</si>
  <si>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</si>
  <si>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</si>
  <si>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</si>
  <si>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</si>
  <si>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</si>
  <si>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</si>
  <si>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</si>
  <si>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</si>
  <si>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</si>
  <si>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</si>
  <si>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</si>
  <si>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</si>
  <si>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</si>
  <si>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</si>
  <si>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</si>
  <si>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</si>
  <si>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</si>
  <si>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</si>
  <si>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</si>
  <si>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</si>
  <si>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</si>
  <si>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</si>
  <si>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</si>
  <si>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</si>
  <si>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</si>
  <si>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</si>
  <si>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</si>
  <si>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</si>
  <si>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</si>
  <si>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</si>
  <si>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</si>
  <si>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</si>
  <si>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</si>
  <si>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</si>
  <si>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</si>
  <si>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</si>
  <si>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</si>
  <si>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</si>
  <si>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</si>
  <si>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</si>
  <si>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</si>
  <si>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</si>
  <si>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</si>
  <si>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</si>
  <si>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</si>
  <si>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</si>
  <si>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</si>
  <si>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</si>
  <si>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</si>
  <si>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</si>
  <si>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</si>
  <si>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</si>
  <si>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</si>
  <si>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</si>
  <si>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</si>
  <si>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</si>
  <si>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</si>
  <si>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</si>
  <si>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</si>
  <si>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</si>
  <si>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</si>
  <si>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</si>
  <si>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</si>
  <si>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</si>
  <si>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</si>
  <si>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</si>
  <si>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</si>
  <si>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</si>
  <si>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</si>
  <si>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</si>
  <si>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</si>
  <si>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</si>
  <si>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</si>
  <si>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</si>
  <si>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</si>
  <si>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</si>
  <si>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</si>
  <si>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</si>
  <si>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</si>
  <si>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</si>
  <si>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</si>
  <si>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</si>
  <si>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</si>
  <si>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</si>
  <si>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</si>
  <si>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</si>
  <si>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</si>
  <si>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</si>
  <si>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</si>
  <si>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</si>
  <si>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</si>
  <si>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</si>
  <si>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</si>
  <si>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</si>
  <si>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</si>
  <si>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</si>
  <si>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</si>
  <si>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</si>
  <si>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</si>
  <si>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</si>
  <si>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</si>
  <si>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</si>
  <si>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</si>
  <si>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</si>
  <si>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</si>
  <si>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</si>
  <si>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</si>
  <si>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</si>
  <si>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</si>
  <si>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</si>
  <si>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</si>
  <si>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</si>
  <si>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</si>
  <si>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</si>
  <si>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</si>
  <si>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</si>
  <si>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</si>
  <si>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</si>
  <si>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</si>
  <si>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</si>
  <si>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</si>
  <si>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</si>
  <si>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</si>
  <si>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</si>
  <si>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</si>
  <si>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</si>
  <si>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</si>
  <si>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</si>
  <si>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</si>
  <si>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</si>
  <si>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</si>
  <si>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</si>
  <si>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</si>
  <si>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</si>
  <si>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</si>
  <si>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</si>
  <si>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</si>
  <si>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</si>
  <si>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</si>
  <si>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</si>
  <si>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</si>
  <si>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</si>
  <si>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</si>
  <si>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</si>
  <si>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</si>
  <si>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</si>
  <si>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</si>
  <si>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</si>
  <si>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</si>
  <si>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</si>
  <si>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</si>
  <si>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</si>
  <si>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</si>
  <si>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</si>
  <si>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</si>
  <si>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</si>
  <si>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</si>
  <si>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</si>
  <si>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</si>
  <si>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</si>
  <si>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</si>
  <si>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</si>
  <si>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</si>
  <si>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</si>
  <si>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</si>
  <si>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</si>
  <si>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</si>
  <si>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</si>
  <si>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</si>
  <si>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</si>
  <si>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</si>
  <si>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</si>
  <si>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</si>
  <si>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</si>
  <si>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</si>
  <si>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</si>
  <si>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</si>
  <si>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</si>
  <si>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</si>
  <si>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</si>
  <si>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</si>
  <si>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</si>
  <si>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</si>
  <si>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</si>
  <si>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</si>
  <si>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</si>
  <si>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</si>
  <si>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</si>
  <si>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</si>
  <si>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</si>
  <si>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</si>
  <si>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</si>
  <si>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</si>
  <si>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</si>
  <si>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</si>
  <si>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</si>
  <si>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</si>
  <si>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</si>
  <si>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</si>
  <si>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</si>
  <si>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</si>
  <si>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</si>
  <si>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</si>
  <si>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</si>
  <si>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</si>
  <si>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</si>
  <si>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</si>
  <si>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</si>
  <si>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</si>
  <si>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</si>
  <si>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</si>
  <si>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</si>
  <si>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</si>
  <si>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</si>
  <si>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</si>
  <si>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</si>
  <si>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</si>
  <si>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</si>
  <si>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</si>
  <si>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</si>
  <si>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</si>
  <si>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</si>
  <si>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</si>
  <si>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</si>
  <si>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</si>
  <si>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</si>
  <si>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</si>
  <si>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</si>
  <si>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</si>
  <si>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</si>
  <si>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</si>
  <si>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</si>
  <si>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</si>
  <si>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</si>
  <si>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</si>
  <si>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</si>
  <si>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</si>
  <si>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</si>
  <si>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</si>
  <si>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</si>
  <si>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</si>
  <si>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</si>
  <si>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</si>
  <si>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</si>
  <si>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</si>
  <si>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</si>
  <si>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</si>
  <si>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</si>
  <si>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</si>
  <si>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</si>
  <si>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</si>
  <si>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</si>
  <si>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</si>
  <si>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</si>
  <si>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</si>
  <si>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</si>
  <si>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</si>
  <si>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</si>
  <si>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</si>
  <si>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</si>
  <si>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</si>
  <si>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</si>
  <si>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</si>
  <si>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</si>
  <si>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</si>
  <si>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</si>
  <si>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</si>
  <si>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</si>
  <si>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</si>
  <si>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</si>
  <si>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</si>
  <si>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</si>
  <si>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</si>
  <si>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</si>
  <si>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</si>
  <si>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</si>
  <si>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</si>
  <si>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</si>
  <si>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</si>
  <si>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</si>
  <si>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</si>
  <si>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</si>
  <si>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</si>
  <si>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</si>
  <si>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</si>
  <si>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</si>
  <si>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</si>
  <si>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</si>
  <si>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</si>
  <si>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</si>
  <si>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</si>
  <si>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</si>
  <si>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</si>
  <si>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</si>
  <si>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</si>
  <si>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</si>
  <si>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</si>
  <si>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</si>
  <si>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</si>
  <si>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</si>
  <si>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</si>
  <si>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</si>
  <si>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</si>
  <si>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</si>
  <si>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</si>
  <si>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</si>
  <si>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</si>
  <si>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</si>
  <si>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</si>
  <si>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</si>
  <si>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</si>
  <si>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</si>
  <si>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</si>
  <si>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</si>
  <si>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</si>
  <si>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</si>
  <si>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</si>
  <si>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</si>
  <si>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</si>
  <si>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</si>
  <si>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</si>
  <si>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</si>
  <si>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</si>
  <si>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</si>
  <si>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</si>
  <si>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</si>
  <si>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</si>
  <si>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</si>
  <si>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</si>
  <si>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</si>
  <si>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</si>
  <si>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</si>
  <si>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</si>
  <si>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</si>
  <si>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</si>
  <si>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</si>
  <si>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</si>
  <si>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</si>
  <si>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</si>
  <si>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</si>
  <si>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</si>
  <si>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</si>
  <si>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</si>
  <si>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</si>
  <si>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</si>
  <si>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</si>
  <si>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</si>
  <si>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</si>
  <si>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</si>
  <si>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</si>
  <si>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</si>
  <si>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</si>
  <si>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</si>
  <si>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</si>
  <si>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</si>
  <si>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</si>
  <si>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</si>
  <si>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</si>
  <si>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</si>
  <si>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</si>
  <si>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</si>
  <si>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</si>
  <si>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</si>
  <si>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</si>
  <si>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</si>
  <si>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</si>
  <si>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</si>
  <si>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</si>
  <si>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</si>
  <si>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</si>
  <si>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</si>
  <si>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</si>
  <si>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</si>
  <si>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</si>
  <si>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</si>
  <si>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</si>
  <si>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</si>
  <si>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</si>
  <si>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</si>
  <si>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</si>
  <si>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</si>
  <si>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</si>
  <si>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</si>
  <si>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</si>
  <si>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</si>
  <si>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</si>
  <si>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</si>
  <si>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</si>
  <si>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</si>
  <si>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</si>
  <si>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</si>
  <si>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</si>
  <si>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</si>
  <si>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</si>
  <si>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</si>
  <si>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</si>
  <si>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</si>
  <si>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</si>
  <si>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</si>
  <si>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</si>
  <si>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</si>
  <si>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</si>
  <si>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</si>
  <si>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</si>
  <si>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</si>
  <si>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</si>
  <si>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</si>
  <si>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</si>
  <si>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</si>
  <si>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</si>
  <si>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</si>
  <si>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</si>
  <si>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</si>
  <si>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</si>
  <si>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</si>
  <si>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</si>
  <si>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</si>
  <si>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</si>
  <si>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</si>
  <si>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</si>
  <si>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</si>
  <si>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</si>
  <si>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</si>
  <si>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</si>
  <si>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</si>
  <si>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</si>
  <si>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</si>
  <si>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</si>
  <si>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</si>
  <si>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</si>
  <si>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</si>
  <si>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</si>
  <si>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</si>
  <si>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</si>
  <si>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</si>
  <si>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</si>
  <si>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</si>
  <si>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</si>
  <si>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</si>
  <si>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</si>
  <si>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</si>
  <si>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</si>
  <si>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</si>
  <si>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</si>
  <si>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</si>
  <si>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</si>
  <si>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</si>
  <si>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</si>
  <si>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</si>
  <si>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</si>
  <si>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</si>
  <si>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</si>
  <si>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</si>
  <si>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</si>
  <si>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</si>
  <si>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</si>
  <si>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</si>
  <si>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</si>
  <si>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</si>
  <si>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</si>
  <si>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</si>
  <si>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</si>
  <si>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</si>
  <si>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</si>
  <si>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</si>
  <si>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</si>
  <si>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</si>
  <si>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</si>
  <si>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</si>
  <si>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</si>
  <si>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</si>
  <si>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</si>
  <si>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</si>
  <si>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</si>
  <si>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</si>
  <si>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</si>
  <si>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</si>
  <si>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</si>
  <si>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</si>
  <si>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</si>
  <si>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</si>
  <si>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</si>
  <si>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</si>
  <si>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</si>
  <si>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</si>
  <si>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</si>
  <si>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</si>
  <si>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</si>
  <si>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</si>
  <si>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</si>
  <si>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</si>
  <si>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</si>
  <si>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</si>
  <si>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</si>
  <si>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</si>
  <si>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</si>
  <si>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</si>
  <si>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</si>
  <si>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</si>
  <si>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</si>
  <si>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</si>
  <si>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</si>
  <si>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</si>
  <si>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</si>
  <si>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</si>
  <si>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</si>
  <si>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</si>
  <si>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</si>
  <si>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</si>
  <si>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</si>
  <si>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</si>
  <si>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</si>
  <si>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</si>
  <si>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</si>
  <si>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</si>
  <si>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</si>
  <si>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</si>
  <si>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</si>
  <si>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</si>
  <si>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</si>
  <si>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</si>
  <si>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</si>
  <si>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</si>
  <si>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</si>
  <si>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</si>
  <si>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</si>
  <si>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</si>
  <si>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</si>
  <si>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</si>
  <si>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</si>
  <si>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</si>
  <si>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</si>
  <si>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</si>
  <si>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</si>
  <si>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</si>
  <si>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</si>
  <si>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</si>
  <si>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</si>
  <si>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</si>
  <si>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</si>
  <si>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</si>
  <si>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</si>
  <si>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</si>
  <si>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</si>
  <si>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</si>
  <si>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</si>
  <si>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</si>
  <si>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</si>
  <si>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</si>
  <si>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</si>
  <si>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</si>
  <si>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</si>
  <si>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</si>
  <si>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</si>
  <si>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</si>
  <si>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</si>
  <si>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</si>
  <si>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</si>
  <si>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</si>
  <si>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</si>
  <si>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</si>
  <si>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</si>
  <si>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</si>
  <si>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</si>
  <si>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</si>
  <si>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</si>
  <si>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</si>
  <si>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</si>
  <si>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</si>
  <si>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</si>
  <si>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</si>
  <si>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</si>
  <si>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</si>
  <si>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</si>
  <si>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</si>
  <si>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</si>
  <si>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</si>
  <si>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</si>
  <si>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</si>
  <si>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</si>
  <si>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</si>
  <si>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</si>
  <si>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</si>
  <si>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</si>
  <si>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</si>
  <si>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</si>
  <si>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</si>
  <si>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</si>
  <si>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</si>
  <si>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</si>
  <si>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</si>
  <si>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</si>
  <si>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</si>
  <si>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</si>
  <si>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</si>
  <si>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</si>
  <si>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</si>
  <si>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</si>
  <si>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</si>
  <si>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</si>
  <si>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</si>
  <si>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</si>
  <si>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</si>
  <si>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</si>
  <si>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</si>
  <si>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</si>
  <si>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</si>
  <si>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</si>
  <si>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</si>
  <si>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</si>
  <si>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</si>
  <si>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</si>
  <si>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</si>
  <si>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</si>
  <si>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</si>
  <si>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</si>
  <si>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</si>
  <si>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</si>
  <si>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</si>
  <si>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</si>
  <si>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</si>
  <si>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</si>
  <si>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</si>
  <si>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</si>
  <si>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</si>
  <si>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</si>
  <si>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</si>
  <si>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</si>
  <si>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</si>
  <si>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</si>
  <si>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</si>
  <si>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</si>
  <si>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</si>
  <si>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</si>
  <si>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</si>
  <si>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</si>
  <si>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</si>
  <si>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</si>
  <si>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</si>
  <si>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</si>
  <si>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</si>
  <si>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</si>
  <si>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</si>
  <si>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</si>
  <si>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</si>
  <si>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</si>
  <si>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</si>
  <si>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</si>
  <si>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</si>
  <si>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</si>
  <si>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</si>
  <si>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</si>
  <si>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</si>
  <si>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</si>
  <si>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</si>
  <si>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</si>
  <si>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</si>
  <si>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</si>
  <si>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</si>
  <si>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</si>
  <si>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</si>
  <si>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</si>
  <si>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</si>
  <si>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</si>
  <si>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</si>
  <si>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</si>
  <si>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</si>
  <si>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</si>
  <si>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</si>
  <si>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</si>
  <si>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</si>
  <si>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</si>
  <si>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</si>
  <si>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</si>
  <si>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</si>
  <si>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</si>
  <si>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</si>
  <si>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</si>
  <si>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</si>
  <si>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</si>
  <si>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</si>
  <si>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</si>
  <si>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</si>
  <si>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</si>
  <si>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</si>
  <si>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</si>
  <si>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</si>
  <si>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</si>
  <si>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</si>
  <si>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</si>
  <si>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</si>
  <si>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</si>
  <si>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</si>
  <si>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</si>
  <si>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</si>
  <si>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</si>
  <si>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</si>
  <si>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</si>
  <si>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</si>
  <si>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</si>
  <si>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</si>
  <si>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</si>
  <si>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</si>
  <si>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</si>
  <si>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</si>
  <si>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</si>
  <si>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</si>
  <si>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</si>
  <si>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</si>
  <si>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</si>
  <si>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</si>
  <si>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</si>
  <si>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</si>
  <si>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</si>
  <si>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</si>
  <si>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</si>
  <si>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</si>
  <si>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</si>
  <si>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</si>
  <si>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</si>
  <si>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</si>
  <si>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</si>
  <si>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</si>
  <si>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</si>
  <si>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</si>
  <si>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</si>
  <si>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</si>
  <si>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</si>
  <si>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</si>
  <si>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</si>
  <si>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</si>
  <si>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</si>
  <si>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</si>
  <si>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</si>
  <si>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</si>
  <si>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</si>
  <si>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</si>
  <si>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</si>
  <si>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</si>
  <si>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</si>
  <si>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</si>
  <si>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</si>
  <si>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</si>
  <si>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</si>
  <si>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</si>
  <si>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</si>
  <si>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</si>
  <si>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</si>
  <si>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</si>
  <si>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</si>
  <si>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</si>
  <si>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</si>
  <si>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</si>
  <si>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</si>
  <si>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</si>
  <si>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</si>
  <si>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</si>
  <si>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</si>
  <si>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</si>
  <si>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</si>
  <si>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</si>
  <si>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</si>
  <si>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</si>
  <si>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</si>
  <si>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</si>
  <si>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</si>
  <si>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</si>
  <si>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</si>
  <si>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</si>
  <si>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</si>
  <si>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</si>
  <si>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</si>
  <si>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</si>
  <si>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</si>
  <si>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</si>
  <si>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</si>
  <si>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</si>
  <si>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</si>
  <si>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</si>
  <si>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</si>
  <si>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</si>
  <si>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</si>
  <si>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</si>
  <si>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</si>
  <si>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</si>
  <si>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</si>
  <si>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</si>
  <si>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</si>
  <si>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</si>
  <si>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</si>
  <si>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</si>
  <si>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</si>
  <si>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</si>
  <si>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</si>
  <si>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</si>
  <si>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</si>
  <si>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</si>
  <si>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</si>
  <si>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</si>
  <si>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</si>
  <si>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</si>
  <si>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</si>
  <si>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</si>
  <si>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</si>
  <si>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</si>
  <si>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</si>
  <si>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</si>
  <si>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</si>
  <si>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</si>
  <si>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</si>
  <si>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</si>
  <si>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</si>
  <si>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</si>
  <si>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</si>
  <si>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</si>
  <si>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</si>
  <si>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</si>
  <si>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</si>
  <si>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</si>
  <si>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</si>
  <si>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</si>
  <si>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</si>
  <si>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</si>
  <si>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</si>
  <si>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</si>
  <si>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</si>
  <si>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</si>
  <si>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</si>
  <si>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</si>
  <si>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</si>
  <si>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</si>
  <si>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</si>
  <si>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</si>
  <si>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</si>
  <si>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</si>
  <si>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</si>
  <si>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</si>
  <si>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</si>
  <si>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</si>
  <si>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</si>
  <si>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</si>
  <si>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</si>
  <si>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</si>
  <si>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</si>
  <si>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</si>
  <si>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</si>
  <si>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</si>
  <si>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</si>
  <si>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</si>
  <si>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</si>
  <si>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</si>
  <si>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</si>
  <si>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</si>
  <si>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</si>
  <si>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</si>
  <si>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</si>
  <si>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</si>
  <si>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</si>
  <si>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</si>
  <si>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</si>
  <si>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</si>
  <si>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</si>
  <si>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</si>
  <si>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</si>
  <si>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</si>
  <si>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</si>
  <si>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</si>
  <si>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</si>
  <si>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</si>
  <si>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</si>
  <si>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</si>
  <si>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</si>
  <si>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</si>
  <si>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</si>
  <si>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</si>
  <si>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</si>
  <si>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</si>
  <si>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</si>
  <si>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</si>
  <si>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</si>
  <si>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</si>
  <si>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</si>
  <si>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</si>
  <si>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</si>
  <si>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</si>
  <si>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</si>
  <si>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</si>
  <si>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</si>
  <si>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</si>
  <si>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</si>
  <si>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</si>
  <si>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</si>
  <si>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</si>
  <si>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</si>
  <si>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</si>
  <si>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</si>
  <si>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</si>
  <si>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</si>
  <si>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</si>
  <si>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</si>
  <si>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</si>
  <si>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</si>
  <si>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</si>
  <si>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</si>
  <si>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</si>
  <si>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</si>
  <si>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</si>
  <si>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</si>
  <si>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</si>
  <si>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</si>
  <si>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</si>
  <si>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</si>
  <si>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</si>
  <si>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</si>
  <si>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</si>
  <si>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</si>
  <si>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</si>
  <si>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</si>
  <si>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</si>
  <si>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</si>
  <si>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</si>
  <si>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</si>
  <si>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</si>
  <si>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</si>
  <si>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</si>
  <si>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</si>
  <si>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</si>
  <si>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</si>
  <si>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</si>
  <si>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</si>
  <si>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</si>
  <si>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</si>
  <si>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</si>
  <si>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</si>
  <si>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</si>
  <si>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</si>
  <si>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</si>
  <si>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</si>
  <si>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</si>
  <si>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</si>
  <si>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</si>
  <si>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</si>
  <si>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</si>
  <si>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</si>
  <si>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</si>
  <si>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</si>
  <si>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</si>
  <si>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</si>
  <si>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</si>
  <si>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</si>
  <si>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</si>
  <si>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</si>
  <si>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</si>
  <si>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</si>
  <si>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</si>
  <si>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</si>
  <si>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</si>
  <si>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</si>
  <si>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</si>
  <si>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</si>
  <si>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</si>
  <si>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</si>
  <si>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</si>
  <si>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</si>
  <si>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</si>
  <si>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</si>
  <si>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</si>
  <si>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</si>
  <si>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</si>
  <si>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</si>
  <si>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</si>
  <si>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</si>
  <si>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</si>
  <si>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</si>
  <si>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</si>
  <si>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</si>
  <si>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</si>
  <si>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</si>
  <si>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</si>
  <si>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</si>
  <si>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</si>
  <si>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</si>
  <si>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</si>
  <si>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</si>
  <si>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</si>
  <si>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</si>
  <si>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</si>
  <si>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</si>
  <si>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</si>
  <si>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</si>
  <si>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</si>
  <si>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</si>
  <si>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</si>
  <si>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</si>
  <si>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</si>
  <si>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</si>
  <si>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</si>
  <si>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</si>
  <si>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</si>
  <si>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</si>
  <si>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</si>
  <si>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</si>
  <si>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</si>
  <si>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</si>
  <si>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</si>
  <si>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</si>
  <si>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</si>
  <si>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</si>
  <si>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</si>
  <si>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</si>
  <si>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</si>
  <si>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</si>
  <si>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</si>
  <si>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</si>
  <si>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</si>
  <si>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</si>
  <si>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</si>
  <si>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</si>
  <si>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</si>
  <si>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</si>
  <si>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</si>
  <si>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</si>
  <si>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</si>
  <si>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</si>
  <si>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</si>
  <si>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</si>
  <si>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</si>
  <si>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</si>
  <si>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</si>
  <si>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</si>
  <si>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</si>
  <si>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</si>
  <si>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</si>
  <si>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</si>
  <si>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</si>
  <si>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</si>
  <si>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</si>
  <si>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</si>
  <si>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</si>
  <si>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</si>
  <si>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</si>
  <si>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</si>
  <si>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</si>
  <si>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</si>
  <si>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</si>
  <si>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</si>
  <si>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</si>
  <si>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</si>
  <si>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</si>
  <si>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</si>
  <si>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</si>
  <si>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</si>
  <si>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</si>
  <si>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</si>
  <si>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</si>
  <si>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</si>
  <si>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</si>
  <si>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</si>
  <si>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</si>
  <si>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</si>
  <si>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</si>
  <si>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</si>
  <si>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</si>
  <si>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</si>
  <si>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</si>
  <si>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</si>
  <si>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</si>
  <si>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</si>
  <si>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</si>
  <si>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</si>
  <si>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</si>
  <si>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</si>
  <si>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</si>
  <si>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</si>
  <si>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</si>
  <si>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</si>
  <si>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</si>
  <si>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</si>
  <si>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</si>
  <si>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</si>
  <si>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</si>
  <si>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</si>
  <si>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</si>
  <si>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</si>
  <si>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</si>
  <si>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</si>
  <si>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</si>
  <si>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</si>
  <si>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</si>
  <si>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</si>
  <si>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</si>
  <si>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</si>
  <si>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</si>
  <si>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</si>
  <si>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</si>
  <si>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</si>
  <si>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</si>
  <si>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</si>
  <si>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</si>
  <si>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</si>
  <si>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</si>
  <si>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</si>
  <si>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</si>
  <si>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</si>
  <si>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</si>
  <si>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</si>
  <si>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</si>
  <si>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</si>
  <si>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</si>
  <si>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</si>
  <si>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</si>
  <si>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</si>
  <si>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</si>
  <si>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</si>
  <si>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</si>
  <si>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</si>
  <si>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</si>
  <si>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</si>
  <si>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</si>
  <si>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</si>
  <si>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</si>
  <si>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</si>
  <si>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</si>
  <si>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</si>
  <si>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</si>
  <si>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</si>
  <si>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</si>
  <si>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</si>
  <si>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</si>
  <si>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</si>
  <si>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</si>
  <si>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</si>
  <si>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</si>
  <si>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</si>
  <si>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</si>
  <si>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</si>
  <si>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</si>
  <si>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</si>
  <si>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</si>
  <si>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</si>
  <si>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</si>
  <si>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</si>
  <si>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</si>
  <si>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</si>
  <si>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</si>
  <si>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</si>
  <si>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</si>
  <si>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</si>
  <si>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</si>
  <si>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</si>
  <si>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</si>
  <si>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</si>
  <si>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</si>
  <si>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</si>
  <si>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</si>
  <si>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</si>
  <si>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</si>
  <si>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</si>
  <si>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</si>
  <si>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</si>
  <si>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</si>
  <si>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</si>
  <si>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</si>
  <si>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</si>
  <si>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</si>
  <si>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</si>
  <si>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</si>
  <si>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</si>
  <si>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</si>
  <si>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</si>
  <si>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</si>
  <si>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</si>
  <si>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</si>
  <si>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</si>
  <si>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</si>
  <si>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</si>
  <si>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</si>
  <si>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</si>
  <si>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</si>
  <si>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</si>
  <si>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</si>
  <si>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</si>
  <si>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</si>
  <si>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</si>
  <si>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</si>
  <si>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</si>
  <si>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</si>
  <si>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</si>
  <si>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</si>
  <si>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</si>
  <si>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</si>
  <si>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</si>
  <si>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</si>
  <si>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</si>
  <si>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</si>
  <si>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</si>
  <si>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</si>
  <si>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</si>
  <si>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</si>
  <si>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</si>
  <si>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</si>
  <si>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</si>
  <si>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</si>
  <si>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</si>
  <si>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</si>
  <si>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</si>
  <si>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</si>
  <si>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</si>
  <si>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</si>
  <si>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</si>
  <si>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</si>
  <si>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</si>
  <si>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</si>
  <si>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</si>
  <si>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</si>
  <si>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</si>
  <si>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</si>
  <si>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</si>
  <si>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</si>
  <si>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</si>
  <si>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</si>
  <si>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</si>
  <si>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</si>
  <si>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</si>
  <si>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</si>
  <si>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</si>
  <si>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</si>
  <si>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</si>
  <si>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</si>
  <si>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</si>
  <si>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</si>
  <si>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</si>
  <si>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</si>
  <si>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</si>
  <si>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</si>
  <si>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</si>
  <si>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</si>
  <si>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</si>
  <si>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</si>
  <si>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</si>
  <si>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</si>
  <si>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</si>
  <si>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</si>
  <si>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</si>
  <si>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</si>
  <si>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</si>
  <si>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</si>
  <si>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</si>
  <si>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</si>
  <si>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</si>
  <si>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</si>
  <si>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</si>
  <si>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</si>
  <si>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</si>
  <si>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</si>
  <si>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</si>
  <si>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</si>
  <si>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</si>
  <si>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</si>
  <si>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</si>
  <si>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</si>
  <si>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</si>
  <si>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</si>
  <si>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</si>
  <si>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</si>
  <si>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</si>
  <si>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</si>
  <si>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</si>
  <si>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</si>
  <si>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</si>
  <si>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</si>
  <si>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</si>
  <si>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</si>
  <si>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</si>
  <si>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</si>
  <si>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</si>
  <si>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</si>
  <si>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</si>
  <si>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</si>
  <si>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</si>
  <si>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</si>
  <si>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</si>
  <si>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</si>
  <si>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</si>
  <si>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</si>
  <si>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</si>
  <si>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</si>
  <si>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</si>
  <si>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</si>
  <si>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</si>
  <si>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</si>
  <si>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</si>
  <si>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</si>
  <si>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</si>
  <si>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</si>
  <si>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</si>
  <si>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</si>
  <si>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</si>
  <si>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</si>
  <si>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</si>
  <si>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</si>
  <si>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</si>
  <si>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</si>
  <si>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</si>
  <si>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</si>
  <si>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</si>
  <si>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</si>
  <si>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</si>
  <si>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</si>
  <si>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</si>
  <si>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</si>
  <si>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</si>
  <si>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</si>
  <si>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</si>
  <si>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</si>
  <si>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</si>
  <si>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</si>
  <si>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</si>
  <si>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</si>
  <si>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</si>
  <si>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</si>
  <si>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</si>
  <si>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</si>
  <si>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</si>
  <si>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</si>
  <si>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</si>
  <si>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</si>
  <si>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</si>
  <si>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</si>
  <si>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</si>
  <si>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</si>
  <si>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</si>
  <si>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</si>
  <si>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</si>
  <si>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</si>
  <si>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</si>
  <si>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</si>
  <si>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</si>
  <si>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</si>
  <si>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</si>
  <si>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</si>
  <si>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</si>
  <si>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</si>
  <si>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</si>
  <si>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</si>
  <si>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</si>
  <si>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</si>
  <si>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</si>
  <si>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</si>
  <si>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</si>
  <si>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</si>
  <si>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</si>
  <si>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</si>
  <si>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</si>
  <si>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</si>
  <si>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</si>
  <si>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</si>
  <si>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</si>
  <si>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</si>
  <si>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</si>
  <si>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</si>
  <si>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</si>
  <si>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</si>
  <si>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</si>
  <si>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</si>
  <si>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</si>
  <si>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</si>
  <si>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</si>
  <si>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</si>
  <si>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</si>
  <si>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</si>
  <si>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</si>
  <si>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</si>
  <si>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</si>
  <si>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</si>
  <si>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</si>
  <si>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</si>
  <si>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</si>
  <si>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</si>
  <si>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</si>
  <si>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</si>
  <si>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</si>
  <si>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</si>
  <si>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</si>
  <si>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</si>
  <si>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</si>
  <si>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</si>
  <si>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</si>
  <si>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</si>
  <si>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</si>
  <si>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</si>
  <si>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</si>
  <si>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</si>
  <si>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</si>
  <si>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</si>
  <si>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</si>
  <si>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</si>
  <si>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</si>
  <si>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</si>
  <si>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</si>
  <si>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</si>
  <si>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</si>
  <si>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</si>
  <si>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</si>
  <si>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</si>
  <si>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</si>
  <si>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</si>
  <si>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</si>
  <si>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</si>
  <si>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</si>
  <si>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</si>
  <si>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</si>
  <si>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</si>
  <si>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</si>
  <si>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</si>
  <si>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</si>
  <si>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</si>
  <si>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</si>
  <si>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</si>
  <si>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</si>
  <si>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</si>
  <si>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</si>
  <si>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</si>
  <si>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</si>
  <si>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</si>
  <si>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</si>
  <si>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</si>
  <si>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</si>
  <si>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</si>
  <si>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</si>
  <si>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</si>
  <si>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</si>
  <si>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</si>
  <si>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</si>
  <si>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</si>
  <si>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</si>
  <si>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</si>
  <si>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</si>
  <si>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</si>
  <si>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</si>
  <si>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</si>
  <si>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</si>
  <si>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</si>
  <si>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</si>
  <si>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</si>
  <si>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</si>
  <si>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</si>
  <si>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</si>
  <si>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</si>
  <si>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</si>
  <si>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</si>
  <si>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</si>
  <si>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</si>
  <si>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</si>
  <si>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</si>
  <si>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</si>
  <si>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</si>
  <si>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</si>
  <si>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</si>
  <si>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</si>
  <si>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</si>
  <si>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</si>
  <si>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</si>
  <si>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</si>
  <si>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</si>
  <si>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</si>
  <si>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</si>
  <si>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</si>
  <si>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</si>
  <si>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</si>
  <si>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</si>
  <si>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</si>
  <si>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</si>
  <si>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</si>
  <si>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</si>
  <si>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</si>
  <si>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</si>
  <si>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</si>
  <si>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</si>
  <si>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</si>
  <si>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</si>
  <si>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</si>
  <si>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</si>
  <si>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</si>
  <si>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</si>
  <si>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</si>
  <si>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</si>
  <si>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</si>
  <si>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</si>
  <si>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</si>
  <si>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</si>
  <si>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</si>
  <si>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</si>
  <si>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</si>
  <si>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</si>
  <si>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</si>
  <si>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</si>
  <si>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</si>
  <si>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</si>
  <si>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</si>
  <si>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</si>
  <si>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</si>
  <si>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</si>
  <si>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</si>
  <si>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</si>
  <si>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</si>
  <si>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</si>
  <si>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</si>
  <si>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</si>
  <si>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</si>
  <si>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</si>
  <si>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</si>
  <si>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</si>
  <si>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</si>
  <si>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</si>
  <si>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</si>
  <si>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</si>
  <si>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</si>
  <si>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</si>
  <si>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</si>
  <si>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</si>
  <si>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</si>
  <si>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</si>
  <si>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</si>
  <si>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</si>
  <si>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</si>
  <si>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</si>
  <si>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</si>
  <si>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</si>
  <si>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</si>
  <si>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</si>
  <si>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</si>
  <si>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</si>
  <si>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</si>
  <si>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</si>
  <si>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</si>
  <si>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</si>
  <si>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</si>
  <si>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</si>
  <si>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</si>
  <si>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</si>
  <si>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</si>
  <si>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</si>
  <si>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</si>
  <si>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</si>
  <si>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</si>
  <si>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</si>
  <si>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</si>
  <si>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</si>
  <si>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</si>
  <si>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</si>
  <si>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</si>
  <si>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</si>
  <si>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</si>
  <si>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</si>
  <si>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</si>
  <si>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</si>
  <si>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</si>
  <si>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</si>
  <si>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</si>
  <si>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</si>
  <si>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</si>
  <si>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</si>
  <si>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</si>
  <si>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</si>
  <si>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</si>
  <si>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</si>
  <si>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</si>
  <si>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</si>
  <si>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</si>
  <si>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</si>
  <si>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</si>
  <si>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</si>
  <si>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</si>
  <si>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</si>
  <si>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</si>
  <si>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</si>
  <si>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</si>
  <si>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</si>
  <si>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</si>
  <si>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</si>
  <si>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</si>
  <si>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</si>
  <si>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</si>
  <si>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</si>
  <si>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</si>
  <si>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</si>
  <si>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</si>
  <si>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</si>
  <si>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</si>
  <si>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</si>
  <si>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</si>
  <si>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</si>
  <si>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</si>
  <si>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</si>
  <si>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</si>
  <si>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</si>
  <si>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</si>
  <si>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</si>
  <si>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</si>
  <si>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</si>
  <si>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</si>
  <si>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</si>
  <si>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</si>
  <si>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</si>
  <si>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</si>
  <si>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</si>
  <si>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</si>
  <si>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</si>
  <si>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</si>
  <si>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</si>
  <si>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</si>
  <si>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</si>
  <si>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</si>
  <si>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</si>
  <si>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</si>
  <si>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</si>
  <si>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</si>
  <si>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</si>
  <si>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</si>
  <si>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</si>
  <si>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</si>
  <si>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</si>
  <si>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</si>
  <si>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</si>
  <si>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</si>
  <si>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</si>
  <si>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</si>
  <si>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</si>
  <si>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</si>
  <si>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</si>
  <si>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</si>
  <si>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</si>
  <si>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</si>
  <si>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</si>
  <si>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</si>
  <si>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</si>
  <si>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</si>
  <si>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</si>
  <si>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</si>
  <si>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</si>
  <si>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</si>
  <si>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</si>
  <si>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</si>
  <si>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</si>
  <si>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</si>
  <si>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</si>
  <si>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</si>
  <si>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</si>
  <si>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</si>
  <si>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</si>
  <si>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</si>
  <si>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</si>
  <si>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</si>
  <si>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</si>
  <si>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</si>
  <si>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</si>
  <si>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</si>
  <si>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</si>
  <si>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</si>
  <si>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</si>
  <si>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</si>
  <si>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</si>
  <si>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</si>
  <si>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</si>
  <si>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</si>
  <si>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</si>
  <si>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</si>
  <si>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</si>
  <si>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</si>
  <si>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</si>
  <si>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</si>
  <si>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</si>
  <si>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</si>
  <si>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</si>
  <si>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</si>
  <si>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</si>
  <si>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</si>
  <si>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</si>
  <si>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</si>
  <si>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</si>
  <si>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</si>
  <si>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</si>
  <si>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</si>
  <si>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</si>
  <si>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</si>
  <si>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</si>
  <si>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</si>
  <si>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</si>
  <si>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</si>
  <si>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</si>
  <si>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</si>
  <si>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</si>
  <si>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</si>
  <si>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</si>
  <si>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</si>
  <si>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</si>
  <si>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</si>
  <si>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</si>
  <si>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</si>
  <si>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</si>
  <si>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</si>
  <si>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</si>
  <si>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</si>
  <si>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</si>
  <si>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</si>
  <si>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</si>
  <si>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</si>
  <si>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</si>
  <si>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</si>
  <si>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</si>
  <si>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</si>
  <si>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</si>
  <si>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</si>
  <si>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</si>
  <si>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</si>
  <si>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</si>
  <si>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</si>
  <si>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</si>
  <si>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</si>
  <si>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</si>
  <si>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</si>
  <si>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</si>
  <si>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</si>
  <si>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</si>
  <si>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</si>
  <si>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</si>
  <si>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</si>
  <si>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</si>
  <si>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</si>
  <si>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</si>
  <si>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</si>
  <si>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</si>
  <si>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</si>
  <si>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</si>
  <si>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</si>
  <si>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</si>
  <si>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</si>
  <si>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</si>
  <si>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</si>
  <si>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</si>
  <si>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</si>
  <si>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</si>
  <si>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</si>
  <si>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</si>
  <si>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</si>
  <si>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</si>
  <si>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</si>
  <si>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</si>
  <si>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</si>
  <si>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</si>
  <si>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</si>
  <si>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</si>
  <si>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</si>
  <si>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</si>
  <si>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</si>
  <si>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</si>
  <si>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</si>
  <si>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</si>
  <si>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</si>
  <si>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</si>
  <si>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</si>
  <si>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</si>
  <si>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</si>
  <si>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</si>
  <si>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</si>
  <si>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</si>
  <si>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</si>
  <si>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</si>
  <si>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</si>
  <si>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</si>
  <si>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</si>
  <si>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</si>
  <si>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</si>
  <si>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</si>
  <si>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</si>
  <si>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</si>
  <si>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</si>
  <si>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</si>
  <si>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</si>
  <si>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</si>
  <si>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</si>
  <si>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</si>
  <si>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</si>
  <si>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</si>
  <si>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</si>
  <si>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</si>
  <si>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</si>
  <si>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</si>
  <si>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</si>
  <si>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</si>
  <si>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</si>
  <si>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</si>
  <si>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</si>
  <si>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</si>
  <si>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</si>
  <si>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</si>
  <si>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</si>
  <si>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</si>
  <si>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</si>
  <si>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</si>
  <si>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</si>
  <si>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</si>
  <si>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</si>
  <si>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</si>
  <si>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</si>
  <si>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</si>
  <si>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</si>
  <si>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</si>
  <si>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</si>
  <si>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</si>
  <si>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</si>
  <si>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</si>
  <si>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</si>
  <si>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</si>
  <si>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</si>
  <si>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</si>
  <si>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</si>
  <si>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</si>
  <si>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</si>
  <si>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</si>
  <si>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</si>
  <si>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</si>
  <si>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</si>
  <si>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</si>
  <si>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</si>
  <si>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</si>
  <si>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</si>
  <si>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</si>
  <si>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</si>
  <si>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</si>
  <si>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</si>
  <si>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</si>
  <si>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</si>
  <si>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</si>
  <si>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</si>
  <si>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</si>
  <si>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</si>
  <si>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</si>
  <si>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</si>
  <si>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</si>
  <si>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</si>
  <si>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</si>
  <si>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</si>
  <si>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</si>
  <si>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</si>
  <si>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</si>
  <si>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</si>
  <si>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</si>
  <si>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</si>
  <si>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</si>
  <si>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</si>
  <si>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</si>
  <si>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</si>
  <si>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</si>
  <si>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</si>
  <si>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</si>
  <si>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</si>
  <si>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</si>
  <si>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</si>
  <si>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</si>
  <si>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</si>
  <si>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</si>
  <si>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</si>
  <si>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</si>
  <si>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</si>
  <si>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</si>
  <si>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</si>
  <si>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</si>
  <si>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</si>
  <si>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</si>
  <si>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</si>
  <si>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</si>
  <si>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</si>
  <si>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</si>
  <si>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</si>
  <si>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</si>
  <si>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</si>
  <si>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</si>
  <si>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</si>
  <si>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</si>
  <si>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</si>
  <si>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</si>
  <si>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</si>
  <si>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</si>
  <si>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</si>
  <si>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</si>
  <si>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</si>
  <si>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</si>
  <si>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</si>
  <si>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</si>
  <si>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</si>
  <si>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</si>
  <si>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</si>
  <si>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</si>
  <si>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</si>
  <si>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</si>
  <si>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</si>
  <si>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</si>
  <si>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</si>
  <si>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</si>
  <si>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</si>
  <si>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</si>
  <si>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</si>
  <si>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</si>
  <si>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</si>
  <si>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</si>
  <si>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</si>
  <si>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</si>
  <si>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</si>
  <si>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</si>
  <si>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</si>
  <si>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</si>
  <si>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</si>
  <si>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</si>
  <si>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</si>
  <si>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</si>
  <si>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</si>
  <si>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</si>
  <si>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</si>
  <si>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</si>
  <si>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</si>
  <si>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</si>
  <si>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</si>
  <si>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</si>
  <si>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</si>
  <si>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</si>
  <si>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</si>
  <si>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</si>
  <si>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</si>
  <si>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</si>
  <si>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</si>
  <si>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</si>
  <si>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</si>
  <si>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</si>
  <si>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</si>
  <si>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</si>
  <si>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</si>
  <si>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</si>
  <si>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</si>
  <si>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</si>
  <si>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</si>
  <si>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</si>
  <si>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</si>
  <si>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</si>
  <si>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</si>
  <si>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</si>
  <si>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</si>
  <si>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</si>
  <si>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</si>
  <si>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</si>
  <si>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</si>
  <si>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</si>
  <si>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</si>
  <si>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</si>
  <si>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</si>
  <si>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</si>
  <si>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</si>
  <si>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</si>
  <si>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</si>
  <si>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</si>
  <si>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</si>
  <si>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</si>
  <si>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</si>
  <si>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</si>
  <si>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</si>
  <si>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</si>
  <si>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</si>
  <si>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</si>
  <si>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</si>
  <si>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</si>
  <si>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</si>
  <si>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</si>
  <si>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</si>
  <si>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</si>
  <si>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</si>
  <si>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</si>
  <si>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</si>
  <si>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</si>
  <si>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</si>
  <si>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</si>
  <si>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</si>
  <si>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</si>
  <si>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</si>
  <si>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</si>
  <si>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</si>
  <si>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</si>
  <si>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</si>
  <si>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</si>
  <si>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</si>
  <si>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</si>
  <si>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</si>
  <si>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</si>
  <si>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</si>
  <si>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</si>
  <si>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</si>
  <si>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</si>
  <si>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</si>
  <si>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</si>
  <si>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</si>
  <si>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</si>
  <si>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</si>
  <si>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</si>
  <si>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</si>
  <si>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</si>
  <si>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</si>
  <si>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</si>
  <si>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</si>
  <si>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</si>
  <si>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</si>
  <si>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</si>
  <si>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</si>
  <si>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</si>
  <si>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</si>
  <si>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</si>
  <si>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</si>
  <si>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</si>
  <si>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</si>
  <si>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</si>
  <si>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</si>
  <si>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</si>
  <si>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</si>
  <si>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</si>
  <si>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</si>
  <si>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</si>
  <si>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</si>
  <si>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</si>
  <si>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</si>
  <si>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</si>
  <si>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</si>
  <si>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</si>
  <si>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</si>
  <si>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</si>
  <si>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</si>
  <si>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</si>
  <si>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</si>
  <si>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</si>
  <si>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</si>
  <si>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</si>
  <si>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</si>
  <si>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</si>
  <si>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</si>
  <si>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</si>
  <si>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</si>
  <si>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</si>
  <si>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</si>
  <si>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</si>
  <si>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</si>
  <si>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</si>
  <si>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</si>
  <si>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</si>
  <si>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</si>
  <si>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</si>
  <si>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</si>
  <si>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</si>
  <si>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</si>
  <si>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</si>
  <si>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</si>
  <si>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</si>
  <si>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</si>
  <si>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</si>
  <si>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</si>
  <si>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</si>
  <si>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</si>
  <si>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</si>
  <si>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</si>
  <si>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</si>
  <si>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</si>
  <si>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</si>
  <si>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</si>
  <si>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</si>
  <si>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</si>
  <si>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</si>
  <si>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</si>
  <si>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</si>
  <si>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</si>
  <si>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</si>
  <si>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</si>
  <si>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</si>
  <si>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</si>
  <si>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</si>
  <si>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</si>
  <si>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</si>
  <si>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</si>
  <si>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</si>
  <si>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</si>
  <si>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</si>
  <si>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</si>
  <si>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</si>
  <si>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</si>
  <si>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</si>
  <si>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</si>
  <si>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</si>
  <si>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</si>
  <si>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</si>
  <si>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</si>
  <si>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</si>
  <si>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</si>
  <si>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</si>
  <si>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</si>
  <si>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</si>
  <si>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</si>
  <si>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</si>
  <si>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</si>
  <si>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</si>
  <si>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</si>
  <si>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</si>
  <si>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</si>
  <si>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</si>
  <si>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</si>
  <si>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</si>
  <si>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</si>
  <si>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</si>
  <si>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</si>
  <si>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</si>
  <si>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</si>
  <si>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</si>
  <si>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</si>
  <si>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</si>
  <si>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</si>
  <si>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</si>
  <si>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</si>
  <si>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</si>
  <si>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</si>
  <si>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</si>
  <si>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</si>
  <si>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</si>
  <si>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</si>
  <si>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</si>
  <si>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</si>
  <si>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</si>
  <si>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</si>
  <si>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</si>
  <si>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</si>
  <si>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</si>
  <si>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</si>
  <si>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</si>
  <si>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</si>
  <si>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</si>
  <si>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</si>
  <si>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</si>
  <si>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</si>
  <si>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</si>
  <si>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</si>
  <si>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</si>
  <si>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</si>
  <si>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</si>
  <si>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</si>
  <si>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</si>
  <si>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</si>
  <si>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</si>
  <si>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</si>
  <si>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</si>
  <si>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</si>
  <si>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</si>
  <si>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</si>
  <si>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</si>
  <si>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</si>
  <si>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</si>
  <si>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</si>
  <si>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</si>
  <si>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</si>
  <si>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</si>
  <si>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</si>
  <si>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</si>
  <si>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</si>
  <si>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</si>
  <si>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</si>
  <si>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</si>
  <si>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</si>
  <si>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</si>
  <si>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</si>
  <si>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</si>
  <si>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</si>
  <si>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</si>
  <si>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</si>
  <si>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</si>
  <si>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</si>
  <si>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</si>
  <si>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</si>
  <si>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</si>
  <si>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</si>
  <si>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</si>
  <si>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</si>
  <si>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</si>
  <si>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</si>
  <si>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</si>
  <si>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</si>
  <si>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</si>
  <si>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</si>
  <si>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</si>
  <si>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</si>
  <si>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</si>
  <si>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</si>
  <si>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</si>
  <si>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</si>
  <si>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</si>
  <si>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</si>
  <si>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</si>
  <si>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</si>
  <si>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</si>
  <si>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</si>
  <si>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</si>
  <si>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</si>
  <si>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</si>
  <si>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</si>
  <si>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</si>
  <si>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</si>
  <si>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</si>
  <si>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</si>
  <si>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</si>
  <si>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</si>
  <si>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</si>
  <si>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</si>
  <si>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</si>
  <si>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</si>
  <si>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</si>
  <si>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</si>
  <si>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</si>
  <si>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</si>
  <si>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</si>
  <si>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</si>
  <si>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</si>
  <si>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</si>
  <si>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</si>
  <si>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</si>
  <si>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</si>
  <si>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</si>
  <si>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</si>
  <si>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</si>
  <si>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</si>
  <si>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</si>
  <si>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</si>
  <si>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</si>
  <si>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</si>
  <si>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</si>
  <si>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</si>
  <si>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</si>
  <si>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</si>
  <si>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</si>
  <si>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</si>
  <si>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</si>
  <si>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</si>
  <si>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</si>
  <si>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</si>
  <si>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</si>
  <si>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</si>
  <si>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</si>
  <si>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</si>
  <si>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</si>
  <si>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</si>
  <si>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</si>
  <si>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</si>
  <si>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</si>
  <si>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</si>
  <si>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</si>
  <si>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</si>
  <si>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</si>
  <si>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</si>
  <si>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</si>
  <si>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</si>
  <si>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</si>
  <si>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</si>
  <si>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</si>
  <si>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</si>
  <si>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</si>
  <si>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</si>
  <si>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</si>
  <si>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</si>
  <si>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</si>
  <si>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</si>
  <si>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</si>
  <si>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</si>
  <si>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</si>
  <si>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</si>
  <si>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</si>
  <si>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</si>
  <si>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</si>
  <si>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</si>
  <si>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</si>
  <si>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</si>
  <si>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</si>
  <si>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</si>
  <si>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</si>
  <si>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</si>
  <si>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</si>
  <si>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</si>
  <si>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</si>
  <si>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</si>
  <si>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</si>
  <si>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</si>
  <si>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</si>
  <si>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</si>
  <si>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</si>
  <si>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</si>
  <si>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</si>
  <si>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</si>
  <si>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</si>
  <si>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</si>
  <si>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</si>
  <si>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</si>
  <si>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</si>
  <si>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</si>
  <si>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</si>
  <si>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</si>
  <si>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</si>
  <si>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</si>
  <si>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</si>
  <si>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</si>
  <si>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</si>
  <si>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</si>
  <si>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</si>
  <si>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</si>
  <si>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</si>
  <si>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</si>
  <si>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</si>
  <si>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</si>
  <si>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</si>
  <si>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</si>
  <si>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</si>
  <si>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</si>
  <si>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</si>
  <si>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</si>
  <si>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</si>
  <si>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</si>
  <si>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</si>
  <si>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</si>
  <si>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</si>
  <si>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</si>
  <si>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</si>
  <si>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</si>
  <si>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</si>
  <si>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</si>
  <si>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</si>
  <si>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</si>
  <si>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</si>
  <si>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</si>
  <si>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</si>
  <si>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</si>
  <si>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</si>
  <si>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</si>
  <si>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</si>
  <si>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</si>
  <si>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</si>
  <si>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</si>
  <si>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</si>
  <si>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</si>
  <si>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</si>
  <si>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</si>
  <si>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</si>
  <si>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</si>
  <si>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</si>
  <si>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</si>
  <si>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</si>
  <si>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</si>
  <si>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</si>
  <si>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</si>
  <si>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</si>
  <si>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</si>
  <si>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</si>
  <si>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</si>
  <si>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</si>
  <si>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</si>
  <si>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</si>
  <si>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</si>
  <si>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</si>
  <si>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</si>
  <si>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</si>
  <si>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</si>
  <si>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</si>
  <si>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</si>
  <si>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</si>
  <si>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</si>
  <si>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</si>
  <si>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</si>
  <si>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</si>
  <si>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</si>
  <si>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</si>
  <si>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</si>
  <si>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</si>
  <si>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</si>
  <si>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</si>
  <si>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</si>
  <si>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</si>
  <si>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</si>
  <si>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</si>
  <si>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</si>
  <si>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</si>
  <si>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</si>
  <si>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</si>
  <si>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</si>
  <si>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</si>
  <si>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</si>
  <si>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</si>
  <si>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</si>
  <si>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</si>
  <si>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</si>
  <si>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</si>
  <si>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</si>
  <si>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</si>
  <si>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</si>
  <si>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</si>
  <si>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</si>
  <si>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</si>
  <si>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</si>
  <si>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</si>
  <si>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</si>
  <si>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</si>
  <si>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</si>
  <si>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</si>
  <si>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</si>
  <si>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</si>
  <si>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</si>
  <si>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</si>
  <si>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</si>
  <si>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</si>
  <si>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</si>
  <si>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</si>
  <si>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</si>
  <si>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</si>
  <si>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</si>
  <si>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</si>
  <si>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</si>
  <si>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</si>
  <si>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</si>
  <si>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</si>
  <si>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</si>
  <si>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</si>
  <si>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</si>
  <si>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</si>
  <si>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</si>
  <si>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</si>
  <si>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</si>
  <si>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</si>
  <si>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</si>
  <si>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</si>
  <si>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</si>
  <si>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</si>
  <si>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</si>
  <si>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</si>
  <si>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</si>
  <si>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</si>
  <si>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</si>
  <si>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</si>
  <si>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</si>
  <si>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</si>
  <si>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</si>
  <si>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</si>
  <si>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</si>
  <si>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</si>
  <si>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</si>
  <si>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</si>
  <si>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</si>
  <si>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</si>
  <si>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</si>
  <si>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</si>
  <si>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</si>
  <si>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</si>
  <si>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</si>
  <si>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</si>
  <si>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</si>
  <si>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</si>
  <si>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</si>
  <si>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</si>
  <si>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</si>
  <si>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</si>
  <si>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</si>
  <si>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</si>
  <si>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</si>
  <si>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</si>
  <si>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</si>
  <si>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</si>
  <si>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</si>
  <si>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</si>
  <si>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</si>
  <si>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</si>
  <si>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</si>
  <si>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</si>
  <si>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</si>
  <si>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</si>
  <si>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</si>
  <si>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</si>
  <si>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</si>
  <si>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</si>
  <si>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</si>
  <si>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</si>
  <si>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</si>
  <si>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</si>
  <si>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</si>
  <si>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</si>
  <si>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</si>
  <si>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</si>
  <si>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</si>
  <si>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</si>
  <si>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</si>
  <si>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</si>
  <si>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</si>
  <si>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</si>
  <si>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</si>
  <si>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</si>
  <si>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</si>
  <si>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</si>
  <si>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</si>
  <si>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</si>
  <si>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</si>
  <si>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</si>
  <si>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</si>
  <si>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</si>
  <si>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</si>
  <si>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</si>
  <si>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</si>
  <si>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</si>
  <si>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</si>
  <si>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</si>
  <si>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</si>
  <si>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</si>
  <si>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</si>
  <si>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</si>
  <si>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</si>
  <si>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</si>
  <si>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</si>
  <si>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</si>
  <si>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</si>
  <si>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</si>
  <si>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</si>
  <si>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</si>
  <si>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</si>
  <si>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</si>
  <si>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</si>
  <si>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</si>
  <si>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</si>
  <si>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</si>
  <si>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</si>
  <si>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</si>
  <si>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</si>
  <si>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</si>
  <si>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</si>
  <si>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</si>
  <si>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</si>
  <si>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</si>
  <si>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</si>
  <si>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</si>
  <si>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</si>
  <si>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</si>
  <si>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</si>
  <si>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</si>
  <si>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</si>
  <si>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</si>
  <si>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</si>
  <si>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</si>
  <si>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</si>
  <si>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</si>
  <si>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</si>
  <si>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</si>
  <si>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</si>
  <si>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</si>
  <si>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</si>
  <si>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</si>
  <si>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</si>
  <si>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</si>
  <si>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</si>
  <si>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</si>
  <si>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</si>
  <si>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</si>
  <si>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</si>
  <si>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</si>
  <si>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</si>
  <si>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</si>
  <si>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</si>
  <si>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</si>
  <si>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</si>
  <si>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</si>
  <si>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</si>
  <si>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</si>
  <si>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</si>
  <si>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</si>
  <si>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</si>
  <si>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</si>
  <si>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</si>
  <si>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</si>
  <si>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</si>
  <si>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</si>
  <si>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</si>
  <si>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</si>
  <si>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</si>
  <si>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</si>
  <si>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</si>
  <si>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</si>
  <si>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</si>
  <si>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</si>
  <si>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</si>
  <si>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</si>
  <si>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</si>
  <si>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</si>
  <si>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</si>
  <si>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</si>
  <si>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</si>
  <si>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</si>
  <si>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</si>
  <si>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</si>
  <si>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</si>
  <si>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</si>
  <si>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</si>
  <si>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</si>
  <si>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</si>
  <si>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</si>
  <si>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</si>
  <si>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</si>
  <si>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</si>
  <si>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</si>
  <si>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</si>
  <si>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</si>
  <si>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</si>
  <si>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</si>
  <si>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</si>
  <si>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</si>
  <si>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</si>
  <si>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</si>
  <si>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</si>
  <si>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</si>
  <si>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</si>
  <si>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</si>
  <si>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</si>
  <si>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</si>
  <si>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</si>
  <si>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</si>
  <si>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</si>
  <si>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</si>
  <si>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</si>
  <si>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</si>
  <si>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</si>
  <si>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</si>
  <si>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</si>
  <si>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</si>
  <si>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</si>
  <si>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</si>
  <si>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</si>
  <si>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</si>
  <si>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</si>
  <si>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</si>
  <si>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</si>
  <si>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</si>
  <si>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</si>
  <si>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</si>
  <si>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</si>
  <si>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</si>
  <si>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</si>
  <si>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</si>
  <si>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</si>
  <si>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</si>
  <si>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</si>
  <si>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</si>
  <si>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</si>
  <si>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</si>
  <si>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</si>
  <si>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</si>
  <si>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</si>
  <si>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</si>
  <si>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</si>
  <si>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</si>
  <si>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</si>
  <si>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</si>
  <si>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</si>
  <si>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</si>
  <si>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</si>
  <si>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</si>
  <si>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</si>
  <si>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</si>
  <si>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</si>
  <si>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</si>
  <si>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</si>
  <si>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</si>
  <si>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</si>
  <si>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</si>
  <si>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</si>
  <si>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</si>
  <si>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</si>
  <si>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</si>
  <si>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</si>
  <si>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</si>
  <si>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</si>
  <si>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</si>
  <si>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</si>
  <si>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</si>
  <si>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</si>
  <si>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</si>
  <si>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</si>
  <si>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</si>
  <si>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</si>
  <si>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</si>
  <si>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</si>
  <si>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</si>
  <si>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</si>
  <si>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</si>
  <si>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</si>
  <si>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</si>
  <si>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</si>
  <si>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</si>
  <si>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</si>
  <si>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</si>
  <si>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</si>
  <si>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</si>
  <si>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</si>
  <si>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</si>
  <si>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</si>
  <si>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</si>
  <si>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</si>
  <si>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</si>
  <si>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</si>
  <si>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</si>
  <si>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</si>
  <si>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</si>
  <si>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</si>
  <si>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</si>
  <si>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</si>
  <si>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</si>
  <si>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</si>
  <si>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</si>
  <si>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</si>
  <si>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</si>
  <si>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</si>
  <si>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</si>
  <si>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</si>
  <si>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</si>
  <si>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</si>
  <si>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</si>
  <si>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</si>
  <si>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</si>
  <si>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</si>
  <si>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</si>
  <si>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</si>
  <si>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</si>
  <si>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</si>
  <si>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</si>
  <si>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</si>
  <si>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</si>
  <si>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</si>
  <si>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</si>
  <si>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</si>
  <si>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</si>
  <si>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</si>
  <si>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</si>
  <si>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</si>
  <si>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</si>
  <si>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</si>
  <si>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</si>
  <si>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</si>
  <si>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</si>
  <si>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</si>
  <si>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</si>
  <si>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</si>
  <si>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</si>
  <si>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</si>
  <si>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</si>
  <si>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</si>
  <si>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</si>
  <si>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</si>
  <si>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</si>
  <si>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</si>
  <si>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</si>
  <si>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</si>
  <si>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</si>
  <si>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</si>
  <si>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</si>
  <si>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</si>
  <si>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</si>
  <si>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</si>
  <si>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</si>
  <si>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</si>
  <si>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</si>
  <si>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</si>
  <si>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</si>
  <si>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</si>
  <si>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</si>
  <si>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</si>
  <si>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</si>
  <si>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</si>
  <si>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</si>
  <si>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</si>
  <si>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</si>
  <si>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</si>
  <si>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</si>
  <si>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</si>
  <si>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</si>
  <si>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</si>
  <si>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</si>
  <si>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</si>
  <si>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</si>
  <si>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</si>
  <si>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</si>
  <si>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</si>
  <si>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</si>
  <si>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</si>
  <si>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</si>
  <si>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</si>
  <si>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</si>
  <si>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</si>
  <si>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</si>
  <si>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</si>
  <si>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</si>
  <si>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</si>
  <si>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</si>
  <si>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</si>
  <si>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</si>
  <si>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</si>
  <si>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</si>
  <si>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</si>
  <si>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</si>
  <si>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</si>
  <si>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</si>
  <si>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</si>
  <si>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</si>
  <si>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</si>
  <si>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</si>
  <si>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</si>
  <si>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</si>
  <si>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</si>
  <si>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</si>
  <si>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</si>
  <si>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</si>
  <si>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</si>
  <si>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</si>
  <si>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</si>
  <si>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</si>
  <si>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</si>
  <si>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</si>
  <si>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</si>
  <si>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</si>
  <si>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</si>
  <si>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</si>
  <si>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</si>
  <si>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</si>
  <si>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</si>
  <si>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</si>
  <si>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</si>
  <si>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</si>
  <si>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</si>
  <si>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</si>
  <si>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</si>
  <si>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</si>
  <si>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</si>
  <si>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</si>
  <si>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</si>
  <si>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</si>
  <si>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</si>
  <si>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</si>
  <si>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</si>
  <si>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</si>
  <si>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</si>
  <si>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</si>
  <si>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</si>
  <si>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</si>
  <si>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</si>
  <si>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</si>
  <si>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</si>
  <si>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</si>
  <si>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</si>
  <si>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</si>
  <si>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</si>
  <si>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</si>
  <si>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</si>
  <si>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</si>
  <si>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</si>
  <si>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</si>
  <si>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</si>
  <si>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</si>
  <si>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</si>
  <si>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</si>
  <si>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</si>
  <si>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</si>
  <si>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</si>
  <si>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</si>
  <si>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</si>
  <si>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</si>
  <si>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</si>
  <si>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</si>
  <si>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</si>
  <si>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</si>
  <si>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</si>
  <si>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</si>
  <si>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</si>
  <si>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</si>
  <si>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</si>
  <si>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</si>
  <si>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</si>
  <si>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</si>
  <si>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</si>
  <si>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</si>
  <si>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</si>
  <si>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</si>
  <si>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</si>
  <si>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</si>
  <si>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</si>
  <si>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</si>
  <si>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</si>
  <si>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</si>
  <si>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</si>
  <si>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</si>
  <si>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</si>
  <si>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</si>
  <si>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</si>
  <si>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</si>
  <si>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</si>
  <si>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</si>
  <si>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</si>
  <si>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</si>
  <si>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</si>
  <si>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</si>
  <si>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</si>
  <si>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</si>
  <si>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</si>
  <si>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</si>
  <si>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</si>
  <si>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</si>
  <si>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</si>
  <si>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</si>
  <si>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</si>
  <si>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</si>
  <si>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</si>
  <si>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</si>
  <si>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</si>
  <si>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</si>
  <si>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</si>
  <si>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</si>
  <si>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</si>
  <si>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</si>
  <si>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</si>
  <si>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</si>
  <si>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</si>
  <si>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</si>
  <si>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</si>
  <si>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</si>
  <si>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</si>
  <si>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</si>
  <si>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</si>
  <si>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</si>
  <si>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</si>
  <si>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</si>
  <si>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</si>
  <si>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</si>
  <si>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</si>
  <si>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</si>
  <si>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</si>
  <si>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</si>
  <si>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</si>
  <si>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</si>
  <si>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</si>
  <si>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</si>
  <si>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</si>
  <si>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</si>
  <si>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</si>
  <si>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</si>
  <si>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</si>
  <si>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</si>
  <si>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</si>
  <si>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</si>
  <si>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</si>
  <si>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</si>
  <si>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</si>
  <si>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</si>
  <si>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</si>
  <si>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</si>
  <si>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</si>
  <si>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</si>
  <si>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</si>
  <si>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</si>
  <si>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</si>
  <si>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</si>
  <si>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</si>
  <si>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</si>
  <si>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</si>
  <si>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</si>
  <si>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</si>
  <si>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</si>
  <si>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</si>
  <si>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</si>
  <si>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</si>
  <si>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</si>
  <si>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</si>
  <si>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</si>
  <si>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</si>
  <si>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</si>
  <si>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</si>
  <si>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</si>
  <si>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</si>
  <si>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</si>
  <si>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</si>
  <si>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</si>
  <si>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</si>
  <si>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</si>
  <si>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</si>
  <si>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</si>
  <si>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</si>
  <si>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</si>
  <si>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</si>
  <si>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</si>
  <si>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</si>
  <si>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</si>
  <si>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</si>
  <si>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</si>
  <si>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</si>
  <si>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</si>
  <si>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</si>
  <si>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</si>
  <si>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</si>
  <si>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</si>
  <si>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</si>
  <si>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</si>
  <si>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</si>
  <si>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</si>
  <si>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</si>
  <si>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</si>
  <si>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</si>
  <si>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</si>
  <si>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</si>
  <si>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</si>
  <si>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</si>
  <si>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</si>
  <si>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</si>
  <si>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</si>
  <si>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</si>
  <si>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</si>
  <si>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</si>
  <si>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</si>
  <si>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</si>
  <si>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</si>
  <si>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</si>
  <si>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</si>
  <si>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</si>
  <si>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</si>
  <si>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</si>
  <si>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</si>
  <si>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</si>
  <si>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</si>
  <si>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</si>
  <si>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</si>
  <si>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</si>
  <si>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</si>
  <si>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</si>
  <si>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</si>
  <si>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</si>
  <si>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</si>
  <si>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</si>
  <si>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</si>
  <si>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</si>
  <si>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</si>
  <si>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</si>
  <si>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</si>
  <si>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</si>
  <si>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</si>
  <si>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</si>
  <si>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</si>
  <si>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</si>
  <si>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</si>
  <si>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</si>
  <si>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</si>
  <si>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</si>
  <si>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</si>
  <si>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</si>
  <si>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</si>
  <si>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</si>
  <si>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</si>
  <si>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</si>
  <si>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</si>
  <si>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</si>
  <si>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</si>
  <si>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</si>
  <si>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</si>
  <si>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</si>
  <si>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</si>
  <si>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</si>
  <si>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</si>
  <si>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</si>
  <si>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</si>
  <si>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</si>
  <si>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</si>
  <si>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</si>
  <si>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</si>
  <si>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</si>
  <si>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</si>
  <si>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</si>
  <si>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</si>
  <si>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</si>
  <si>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</si>
  <si>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</si>
  <si>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</si>
  <si>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</si>
  <si>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</si>
  <si>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</si>
  <si>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</si>
  <si>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</si>
  <si>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</si>
  <si>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</si>
  <si>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</si>
  <si>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</si>
  <si>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</si>
  <si>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</si>
  <si>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</si>
  <si>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</si>
  <si>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</si>
  <si>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</si>
  <si>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</si>
  <si>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</si>
  <si>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</si>
  <si>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</si>
  <si>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</si>
  <si>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</si>
  <si>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</si>
  <si>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</si>
  <si>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</si>
  <si>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</si>
  <si>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</si>
  <si>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</si>
  <si>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</si>
  <si>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</si>
  <si>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</si>
  <si>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</si>
  <si>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</si>
  <si>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</si>
  <si>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</si>
  <si>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</si>
  <si>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</si>
  <si>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</si>
  <si>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</si>
  <si>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</si>
  <si>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</si>
  <si>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</si>
  <si>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</si>
  <si>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</si>
  <si>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</si>
  <si>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</si>
  <si>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</si>
  <si>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</si>
  <si>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</si>
  <si>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</si>
  <si>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</si>
  <si>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</si>
  <si>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</si>
  <si>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</si>
  <si>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</si>
  <si>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</si>
  <si>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</si>
  <si>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</si>
  <si>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</si>
  <si>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</si>
  <si>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</si>
  <si>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</si>
  <si>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</si>
  <si>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</si>
  <si>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</si>
  <si>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</si>
  <si>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</si>
  <si>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</si>
  <si>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</si>
  <si>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</si>
  <si>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</si>
  <si>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</si>
  <si>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</si>
  <si>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</si>
  <si>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</si>
  <si>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</si>
  <si>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</si>
  <si>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</si>
  <si>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</si>
  <si>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</si>
  <si>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</si>
  <si>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</si>
  <si>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</si>
  <si>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</si>
  <si>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</si>
  <si>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</si>
  <si>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</si>
  <si>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</si>
  <si>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</si>
  <si>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</si>
  <si>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</si>
  <si>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</si>
  <si>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</si>
  <si>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</si>
  <si>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</si>
  <si>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</si>
  <si>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</si>
  <si>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</si>
  <si>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</si>
  <si>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</si>
  <si>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</si>
  <si>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</si>
  <si>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</si>
  <si>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</si>
  <si>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</si>
  <si>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</si>
  <si>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</si>
  <si>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</si>
  <si>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</si>
  <si>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</si>
  <si>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</si>
  <si>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</si>
  <si>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</si>
  <si>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</si>
  <si>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</si>
  <si>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</si>
  <si>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</si>
  <si>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</si>
  <si>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</si>
  <si>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</si>
  <si>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</si>
  <si>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</si>
  <si>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</si>
  <si>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</si>
  <si>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</si>
  <si>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</si>
  <si>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</si>
  <si>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</si>
  <si>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</si>
  <si>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</si>
  <si>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</si>
  <si>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</si>
  <si>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</si>
  <si>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</si>
  <si>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</si>
  <si>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</si>
  <si>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</si>
  <si>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</si>
  <si>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</si>
  <si>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</si>
  <si>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</si>
  <si>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</si>
  <si>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</si>
  <si>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</si>
  <si>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</si>
  <si>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</si>
  <si>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</si>
  <si>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</si>
  <si>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</si>
  <si>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</si>
  <si>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</si>
  <si>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</si>
  <si>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</si>
  <si>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</si>
  <si>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</si>
  <si>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</si>
  <si>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</si>
  <si>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</si>
  <si>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</si>
  <si>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</si>
  <si>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</si>
  <si>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</si>
  <si>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</si>
  <si>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</si>
  <si>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</si>
  <si>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</si>
  <si>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</si>
  <si>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</si>
  <si>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</si>
  <si>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</si>
  <si>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</si>
  <si>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</si>
  <si>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</si>
  <si>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</si>
  <si>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</si>
  <si>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</si>
  <si>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</si>
  <si>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</si>
  <si>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</si>
  <si>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</si>
  <si>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</si>
  <si>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</si>
  <si>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</si>
  <si>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</si>
  <si>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</si>
  <si>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</si>
  <si>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</si>
  <si>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</si>
  <si>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</si>
  <si>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</si>
  <si>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</si>
  <si>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</si>
  <si>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</si>
  <si>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</si>
  <si>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</si>
  <si>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</si>
  <si>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</si>
  <si>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</si>
  <si>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</si>
  <si>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</si>
  <si>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</si>
  <si>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</si>
  <si>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</si>
  <si>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</si>
  <si>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</si>
  <si>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</si>
  <si>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</si>
  <si>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</si>
  <si>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</si>
  <si>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</si>
  <si>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</si>
  <si>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</si>
  <si>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</si>
  <si>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</si>
  <si>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</si>
  <si>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</si>
  <si>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</si>
  <si>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</si>
  <si>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</si>
  <si>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</si>
  <si>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</si>
  <si>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</si>
  <si>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</si>
  <si>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</si>
  <si>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</si>
  <si>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</si>
  <si>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</si>
  <si>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</si>
  <si>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</si>
  <si>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</si>
  <si>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</si>
  <si>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</si>
  <si>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</si>
  <si>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</si>
  <si>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</si>
  <si>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</si>
  <si>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</si>
  <si>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</si>
  <si>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</si>
  <si>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</si>
  <si>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</si>
  <si>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</si>
  <si>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</si>
  <si>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</si>
  <si>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</si>
  <si>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</si>
  <si>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</si>
  <si>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</si>
  <si>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</si>
  <si>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</si>
  <si>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</si>
  <si>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</si>
  <si>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</si>
  <si>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</si>
  <si>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</si>
  <si>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</si>
  <si>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</si>
  <si>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</si>
  <si>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</si>
  <si>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</si>
  <si>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</si>
  <si>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</si>
  <si>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</si>
  <si>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</si>
  <si>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</si>
  <si>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</si>
  <si>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</si>
  <si>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</si>
  <si>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</si>
  <si>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</si>
  <si>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</si>
  <si>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</si>
  <si>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</si>
  <si>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</si>
  <si>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</si>
  <si>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</si>
  <si>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</si>
  <si>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</si>
  <si>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</si>
  <si>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</si>
  <si>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</si>
  <si>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</si>
  <si>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</si>
  <si>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</si>
  <si>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</si>
  <si>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</si>
  <si>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</si>
  <si>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</si>
  <si>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</si>
  <si>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</si>
  <si>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</si>
  <si>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</si>
  <si>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</si>
  <si>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</si>
  <si>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</si>
  <si>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</si>
  <si>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</si>
  <si>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</si>
  <si>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</si>
  <si>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</si>
  <si>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</si>
  <si>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</si>
  <si>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</si>
  <si>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</si>
  <si>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</si>
  <si>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</si>
  <si>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</si>
  <si>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</si>
  <si>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</si>
  <si>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</si>
  <si>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</si>
  <si>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</si>
  <si>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</si>
  <si>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</si>
  <si>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</si>
  <si>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</si>
  <si>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</si>
  <si>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</si>
  <si>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</si>
  <si>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</si>
  <si>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</si>
  <si>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</si>
  <si>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</si>
  <si>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</si>
  <si>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</si>
  <si>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</si>
  <si>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</si>
  <si>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</si>
  <si>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</si>
  <si>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</si>
  <si>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</si>
  <si>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</si>
  <si>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</si>
  <si>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</si>
  <si>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</si>
  <si>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</si>
  <si>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</si>
  <si>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</si>
  <si>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</si>
  <si>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</si>
  <si>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</si>
  <si>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</si>
  <si>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</si>
  <si>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</si>
  <si>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</si>
  <si>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</si>
  <si>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</si>
  <si>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</si>
  <si>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</si>
  <si>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</si>
  <si>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</si>
  <si>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</si>
  <si>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</si>
  <si>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</si>
  <si>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</si>
  <si>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</si>
  <si>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</si>
  <si>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</si>
  <si>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</si>
  <si>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</si>
  <si>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</si>
  <si>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</si>
  <si>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</si>
  <si>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</si>
  <si>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</si>
  <si>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</si>
  <si>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</si>
  <si>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</si>
  <si>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</si>
  <si>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</si>
  <si>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</si>
  <si>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</si>
  <si>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</si>
  <si>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</si>
  <si>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</si>
  <si>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</si>
  <si>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</si>
  <si>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</si>
  <si>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</si>
  <si>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</si>
  <si>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</si>
  <si>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</si>
  <si>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</si>
  <si>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</si>
  <si>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</si>
  <si>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</si>
  <si>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</si>
  <si>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</si>
  <si>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</si>
  <si>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</si>
  <si>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</si>
  <si>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</si>
  <si>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</si>
  <si>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</si>
  <si>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</si>
  <si>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</si>
  <si>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</si>
  <si>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</si>
  <si>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</si>
  <si>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</si>
  <si>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</si>
  <si>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</si>
  <si>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</si>
  <si>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</si>
  <si>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</si>
  <si>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</si>
  <si>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</si>
  <si>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</si>
  <si>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</si>
  <si>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</si>
  <si>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</si>
  <si>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</si>
  <si>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</si>
  <si>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</si>
  <si>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</si>
  <si>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</si>
  <si>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</si>
  <si>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</si>
  <si>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</si>
  <si>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</si>
  <si>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</si>
  <si>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</si>
  <si>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</si>
  <si>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</si>
  <si>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</si>
  <si>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</si>
  <si>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</si>
  <si>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</si>
  <si>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</si>
  <si>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</si>
  <si>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</si>
  <si>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</si>
  <si>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</si>
  <si>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</si>
  <si>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</si>
  <si>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</si>
  <si>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</si>
  <si>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</si>
  <si>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</si>
  <si>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</si>
  <si>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</si>
  <si>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</si>
  <si>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</si>
  <si>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</si>
  <si>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</si>
  <si>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</si>
  <si>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</si>
  <si>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</si>
  <si>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</si>
  <si>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</si>
  <si>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</si>
  <si>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</si>
  <si>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</si>
  <si>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</si>
  <si>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</si>
  <si>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</si>
  <si>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</si>
  <si>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</si>
  <si>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</si>
  <si>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</si>
  <si>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</si>
  <si>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</si>
  <si>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</si>
  <si>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</si>
  <si>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</si>
  <si>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</si>
  <si>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</si>
  <si>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</si>
  <si>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</si>
  <si>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</si>
  <si>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</si>
  <si>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</si>
  <si>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</si>
  <si>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</si>
  <si>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</si>
  <si>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</si>
  <si>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</si>
  <si>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</si>
  <si>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</si>
  <si>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</si>
  <si>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</si>
  <si>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</si>
  <si>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</si>
  <si>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</si>
  <si>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</si>
  <si>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</si>
  <si>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</si>
  <si>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</si>
  <si>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</si>
  <si>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</si>
  <si>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</si>
  <si>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</si>
  <si>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</si>
  <si>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</si>
  <si>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</si>
  <si>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</si>
  <si>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</si>
  <si>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</si>
  <si>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</si>
  <si>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</si>
  <si>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</si>
  <si>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</si>
  <si>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</si>
  <si>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</si>
  <si>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</si>
  <si>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</si>
  <si>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</si>
  <si>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</si>
  <si>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</si>
  <si>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</si>
  <si>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</si>
  <si>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</si>
  <si>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</si>
  <si>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</si>
  <si>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</si>
  <si>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</si>
  <si>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</si>
  <si>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</si>
  <si>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</si>
  <si>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</si>
  <si>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</si>
  <si>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</si>
  <si>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</si>
  <si>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</si>
  <si>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</si>
  <si>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</si>
  <si>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</si>
  <si>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</si>
  <si>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</si>
  <si>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</si>
  <si>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</si>
  <si>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</si>
  <si>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</si>
  <si>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</si>
  <si>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</si>
  <si>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</si>
  <si>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</si>
  <si>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</si>
  <si>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</si>
  <si>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</si>
  <si>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</si>
  <si>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</si>
  <si>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</si>
  <si>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</si>
  <si>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</si>
  <si>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</si>
  <si>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</si>
  <si>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</si>
  <si>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</si>
  <si>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</si>
  <si>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</si>
  <si>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</si>
  <si>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</si>
  <si>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</si>
  <si>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</si>
  <si>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</si>
  <si>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</si>
  <si>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</si>
  <si>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</si>
  <si>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</si>
  <si>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</si>
  <si>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</si>
  <si>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</si>
  <si>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</si>
  <si>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</si>
  <si>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</si>
  <si>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</si>
  <si>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</si>
  <si>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</si>
  <si>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</si>
  <si>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</si>
  <si>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</si>
  <si>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</si>
  <si>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</si>
  <si>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</si>
  <si>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</si>
  <si>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</si>
  <si>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</si>
  <si>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</si>
  <si>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</si>
  <si>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</si>
  <si>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</si>
  <si>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</si>
  <si>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</si>
  <si>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</si>
  <si>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</si>
  <si>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</si>
  <si>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</si>
  <si>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</si>
  <si>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</si>
  <si>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</si>
  <si>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</si>
  <si>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</si>
  <si>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</si>
  <si>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</si>
  <si>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</si>
  <si>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</si>
  <si>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</si>
  <si>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</si>
  <si>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</si>
  <si>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</si>
  <si>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</si>
  <si>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</si>
  <si>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</si>
  <si>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</si>
  <si>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</si>
  <si>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</si>
  <si>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</si>
  <si>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</si>
  <si>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</si>
  <si>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</si>
  <si>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</si>
  <si>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</si>
  <si>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</si>
  <si>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</si>
  <si>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</si>
  <si>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</si>
  <si>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</si>
  <si>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</si>
  <si>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</si>
  <si>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</si>
  <si>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</si>
  <si>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</si>
  <si>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</si>
  <si>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</si>
  <si>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</si>
  <si>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</si>
  <si>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</si>
  <si>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</si>
  <si>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</si>
  <si>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</si>
  <si>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</si>
  <si>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</si>
  <si>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</si>
  <si>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</si>
  <si>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</si>
  <si>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</si>
  <si>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</si>
  <si>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</si>
  <si>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</si>
  <si>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</si>
  <si>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</si>
  <si>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</si>
  <si>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</si>
  <si>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</si>
  <si>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</si>
  <si>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</si>
  <si>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</si>
  <si>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</si>
  <si>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</si>
  <si>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</si>
  <si>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</si>
  <si>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</si>
  <si>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</si>
  <si>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</si>
  <si>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</si>
  <si>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</si>
  <si>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</si>
  <si>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</si>
  <si>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</si>
  <si>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</si>
  <si>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</si>
  <si>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</si>
  <si>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</si>
  <si>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</si>
  <si>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</si>
  <si>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</si>
  <si>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</si>
  <si>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</si>
  <si>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</si>
  <si>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</si>
  <si>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</si>
  <si>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</si>
  <si>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</si>
  <si>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</si>
  <si>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</si>
  <si>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</si>
  <si>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</si>
  <si>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</si>
  <si>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</si>
  <si>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</si>
  <si>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</si>
  <si>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</si>
  <si>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</si>
  <si>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</si>
  <si>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</si>
  <si>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</si>
  <si>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</si>
  <si>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</si>
  <si>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</si>
  <si>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</si>
  <si>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</si>
  <si>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</si>
  <si>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</si>
  <si>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</si>
  <si>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</si>
  <si>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</si>
  <si>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</si>
  <si>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</si>
  <si>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</si>
  <si>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</si>
  <si>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</si>
  <si>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</si>
  <si>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</si>
  <si>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</si>
  <si>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</si>
  <si>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</si>
  <si>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</si>
  <si>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</si>
  <si>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</si>
  <si>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</si>
  <si>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</si>
  <si>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</si>
  <si>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</si>
  <si>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</si>
  <si>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</si>
  <si>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</si>
  <si>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</si>
  <si>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</si>
  <si>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</si>
  <si>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</si>
  <si>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</si>
  <si>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</si>
  <si>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</si>
  <si>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PredtnHrznGenr_tiVectHrznSho_PHY/Energy Flow Coordinator</t>
  </si>
  <si>
    <t>PredtnHrznGenr_tiVectHrznLong_PHY/Energy Flow Coordinator</t>
  </si>
  <si>
    <t>PredtnHrznGenr_trqVectHrznLong_PHY/Energy Flow Coordinator</t>
  </si>
  <si>
    <t>PredtnHrznGenr_trqVectHrznSho_PHY/Energy Flow Coordinator</t>
  </si>
  <si>
    <t>PredtnHrznGenr_nVectHrznSho_PHY/Energy Flow Coordinator</t>
  </si>
  <si>
    <t>PredtnHrznGenr_nVectHrznLong_PHY/Energy Flow Coordinator</t>
  </si>
  <si>
    <t>PredtnHrznGenr_idxVectHrznLenLong_PHY/Energy Flow Coordinator</t>
  </si>
  <si>
    <t>PredtnHrznGenr_idxVectHrznLenSho_PHY/Energy Flow Coordinator</t>
  </si>
  <si>
    <t>PredtnHrznGenr_tiHrznLenSho_PHY/Energy Flow Coordinator</t>
  </si>
  <si>
    <t>PredtnHrznGenr_tiHrznLenLong_PHY/Energy Flow Coordinator</t>
  </si>
  <si>
    <t>PredtnHrznGenr_stTrigOptmr_PHY/Energy Flow Coordinator</t>
  </si>
  <si>
    <t>PredtnHrznGenr_swtExtSrcPredtnData_PHY/Energy Flow Coordinator</t>
  </si>
  <si>
    <t>ECUAuxSigCoorr_aVeh_PHY/Energy Flow Coordinator</t>
  </si>
  <si>
    <t>ECUAuxSigCoorr_omegaWhlSpd_PHY/Energy Flow Coordinator</t>
  </si>
  <si>
    <t>SpdTqTrcGenr_numGearHrzn_INT/Energy Flow Coordinator</t>
  </si>
  <si>
    <t>SpdTqTrcGenr_nEngSpdHrzn_INT/Energy Flow Coordinator</t>
  </si>
  <si>
    <t>SpdTqTrcGenr_trqEngTqHrzn_INT/Energy Flow Coordinator</t>
  </si>
  <si>
    <t>HrznAryCalcn_tiTiHrznVect_INT/Energy Flow Coordinator</t>
  </si>
  <si>
    <t>HrznAryCalcn_nEngSpdHrznVect_INT/Energy Flow Coordinator</t>
  </si>
  <si>
    <t>HrznAryCalcn_trqEngTqHrznVect_INT/Energy Flow Coordinator</t>
  </si>
  <si>
    <t>HrznAryCalcn_numNrHrznVldElm_INT/Energy Flow Coordinator</t>
  </si>
  <si>
    <t>HrznAryCalcn_tiHrznTiRng_INT/Energy Flow Coordinator</t>
  </si>
  <si>
    <t>HrznAryCalcn_stHrznVld_INT/Energy Flow Coordinator</t>
  </si>
  <si>
    <t>HrznAryCalcn_stRst_INT/Energy Flow Coordinator</t>
  </si>
  <si>
    <t>HrznAryCalcn_lHrznLen_INT/Energy Flow Coordinator</t>
  </si>
  <si>
    <t>HrznAryCalcn_stTrigOptmr_INT/Energy Flow Coordinator</t>
  </si>
  <si>
    <t>PCCMRPUIf_vVehSpdHrzn_PHY/Horizon Array Calculation</t>
  </si>
  <si>
    <t>PCCMRPUIf_lDstHrzn_PHY/Horizon Array Calculation</t>
  </si>
  <si>
    <t>PCCMRPUIf_pwrPwrHrzn_PHY/Horizon Array Calculation</t>
  </si>
  <si>
    <t>PCCMRPUIf_numNrHrznVldElm_PHY/Horizon Array Calculation</t>
  </si>
  <si>
    <t>PCCMRPUIf_stRst_PHY/Horizon Array Calculation</t>
  </si>
  <si>
    <t>PCCMRPUIf_stHrznVld_PHY/Horizon Array Calculation</t>
  </si>
  <si>
    <t>PCCMRPUIf_lVehPosn_PHY/Horizon Array Calculation</t>
  </si>
  <si>
    <t>SpdTqTrcGenr_numGearHrzn_INT/Horizon Array Calculation</t>
  </si>
  <si>
    <t>SpdTqTrcGenr_nEngSpdHrzn_INT/Horizon Array Calculation</t>
  </si>
  <si>
    <t>SpdTqTrcGenr_trqEngTqHrzn_INT/Horizon Array Calculation</t>
  </si>
  <si>
    <t>ECUAuxSigCoorr_nCrksft_PHY/Horizon Array Calculation</t>
  </si>
  <si>
    <t>ECUAuxSigCoorr_trqEngTqOut_PHY/Horizon Array Calculation</t>
  </si>
  <si>
    <t>ECUAuxSigCoorr_vVehSpd_PHY/Horizon Array Calculation</t>
  </si>
  <si>
    <t>ECUAuxSigCoorr_lDstTrvld_PHY/Horizon Array Calculation</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</si>
  <si>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</si>
  <si>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</si>
  <si>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</si>
  <si>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</si>
  <si>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</si>
  <si>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</si>
  <si>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</si>
  <si>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</si>
  <si>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</si>
  <si>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</si>
  <si>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</si>
  <si>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</si>
  <si>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</si>
  <si>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</si>
  <si>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</si>
  <si>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</si>
  <si>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</si>
  <si>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</si>
  <si>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</si>
  <si>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</si>
  <si>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</si>
  <si>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</si>
  <si>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</si>
  <si>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RouteGenr_lActDst_PHY/Speed Torque Trace Generator</t>
  </si>
  <si>
    <t>RouteGenr_lActDst_PHY/PCCM RPU Interface</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</si>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</sst>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85" zoomScaleNormal="85" zoomScalePageLayoutView="80" workbookViewId="0">
      <pane ySplit="2" topLeftCell="A453" activePane="bottomLeft" state="frozen"/>
      <selection pane="bottomLeft" activeCell="A463" sqref="A463:XFD466"/>
    </sheetView>
  </sheetViews>
  <sheetFormatPr baseColWidth="10"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5">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5">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5">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5">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5">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5">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5">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5">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5">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5">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5">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5">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5">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5">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5">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5">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5">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5">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5">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5">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5">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5">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5">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5">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5">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5">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5">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5">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5">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5">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5">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5">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5">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5">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5">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5">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5">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5">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5">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5">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5">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5">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5">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5">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5">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5">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5">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5">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5">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5">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5">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5">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5">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5">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5">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5">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5">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5">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5">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5">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5">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5">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5">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5">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5">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5">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5">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5">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5">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5">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5">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5">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5">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5">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5">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5">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5">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5">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5">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5">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5">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5">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5">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5">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5">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5">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5">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5">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5">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5">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5">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5">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5">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5">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5">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5">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5">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5">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5">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5">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5">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5">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5">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5">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5">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5">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5">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5">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5">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5">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5">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5">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5">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5">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5">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5">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5">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5">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5">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5">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5">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5">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5">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5">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5">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5">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5">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5">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5">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5">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5">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5">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5">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5">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5">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5">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5">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5">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5">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5">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5">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5">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5">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5">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5">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5">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5">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5">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5">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5">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5">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5">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5">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5">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5">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5">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5">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5">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5">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5">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5">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5">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5">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5">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5">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5">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5">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5">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5">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5">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5">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5">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5">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5">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5">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5">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5">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5">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5">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5">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5">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5">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5">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5">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5">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5">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5">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5">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5">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5">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5">
      <c r="A462" t="s">
        <v>4259</v>
      </c>
      <c r="B462" t="s">
        <v>4260</v>
      </c>
      <c r="C462" t="s">
        <v>4261</v>
      </c>
      <c r="D462" t="s">
        <v>37</v>
      </c>
      <c r="E462" t="s">
        <v>3843</v>
      </c>
      <c r="F462" t="s">
        <v>35</v>
      </c>
      <c r="G462" t="s">
        <v>2694</v>
      </c>
      <c r="H462" s="8" t="s">
        <v>64</v>
      </c>
      <c r="J462" s="16" t="s">
        <v>4262</v>
      </c>
      <c r="K462" t="s">
        <v>14</v>
      </c>
      <c r="L462" t="s">
        <v>2659</v>
      </c>
      <c r="M462" s="17">
        <v>0</v>
      </c>
      <c r="N462" s="17">
        <v>1000000000</v>
      </c>
      <c r="O462" s="17">
        <v>2.3283064000000002E-3</v>
      </c>
      <c r="P462">
        <v>4294967296</v>
      </c>
      <c r="Q462" t="s">
        <v>2660</v>
      </c>
      <c r="R462" t="s">
        <v>2660</v>
      </c>
    </row>
    <row r="463" spans="1:18" x14ac:dyDescent="0.25">
      <c r="A463" t="s">
        <v>4265</v>
      </c>
      <c r="B463" t="s">
        <v>4265</v>
      </c>
      <c r="C463" t="s">
        <v>4266</v>
      </c>
      <c r="D463" t="s">
        <v>2782</v>
      </c>
      <c r="E463" t="s">
        <v>3535</v>
      </c>
      <c r="F463" t="s">
        <v>34</v>
      </c>
      <c r="G463" t="s">
        <v>2700</v>
      </c>
      <c r="H463" s="8" t="s">
        <v>79</v>
      </c>
      <c r="J463" s="16" t="s">
        <v>4267</v>
      </c>
      <c r="K463" t="s">
        <v>14</v>
      </c>
      <c r="L463" t="s">
        <v>2659</v>
      </c>
      <c r="M463" s="17">
        <v>0</v>
      </c>
      <c r="N463" s="17">
        <v>100</v>
      </c>
      <c r="O463" s="17">
        <v>2.33E-8</v>
      </c>
      <c r="P463">
        <v>4294967296</v>
      </c>
      <c r="Q463" t="s">
        <v>2660</v>
      </c>
      <c r="R463" t="s">
        <v>2660</v>
      </c>
    </row>
    <row r="464" spans="1:18" x14ac:dyDescent="0.25">
      <c r="A464" t="s">
        <v>4268</v>
      </c>
      <c r="B464" t="s">
        <v>4268</v>
      </c>
      <c r="C464" t="s">
        <v>4269</v>
      </c>
      <c r="D464" t="s">
        <v>2782</v>
      </c>
      <c r="E464" t="s">
        <v>3535</v>
      </c>
      <c r="F464" t="s">
        <v>34</v>
      </c>
      <c r="G464" t="s">
        <v>2700</v>
      </c>
      <c r="H464" s="8" t="s">
        <v>79</v>
      </c>
      <c r="J464" s="16" t="s">
        <v>4270</v>
      </c>
      <c r="K464" t="s">
        <v>14</v>
      </c>
      <c r="L464" t="s">
        <v>2659</v>
      </c>
      <c r="M464" s="17">
        <v>0</v>
      </c>
      <c r="N464" s="17">
        <v>100</v>
      </c>
      <c r="O464" s="17">
        <v>2.33E-8</v>
      </c>
      <c r="P464">
        <v>4294967296</v>
      </c>
      <c r="Q464" t="s">
        <v>2660</v>
      </c>
      <c r="R464" t="s">
        <v>2660</v>
      </c>
    </row>
    <row r="465" spans="1:18" x14ac:dyDescent="0.25">
      <c r="A465" t="s">
        <v>4271</v>
      </c>
      <c r="B465" t="s">
        <v>4271</v>
      </c>
      <c r="C465" t="s">
        <v>4272</v>
      </c>
      <c r="D465" t="s">
        <v>2782</v>
      </c>
      <c r="E465" t="s">
        <v>3535</v>
      </c>
      <c r="F465" t="s">
        <v>34</v>
      </c>
      <c r="G465" t="s">
        <v>2700</v>
      </c>
      <c r="H465" s="8" t="s">
        <v>79</v>
      </c>
      <c r="J465" s="16" t="s">
        <v>4273</v>
      </c>
      <c r="K465" t="s">
        <v>14</v>
      </c>
      <c r="L465" t="s">
        <v>2659</v>
      </c>
      <c r="M465" s="17">
        <v>0</v>
      </c>
      <c r="N465" s="17">
        <v>100</v>
      </c>
      <c r="O465" s="17">
        <v>2.33E-8</v>
      </c>
      <c r="P465">
        <v>4294967296</v>
      </c>
      <c r="Q465" t="s">
        <v>2660</v>
      </c>
      <c r="R465" t="s">
        <v>2660</v>
      </c>
    </row>
    <row r="466" spans="1:18" x14ac:dyDescent="0.25">
      <c r="A466" t="s">
        <v>3664</v>
      </c>
      <c r="B466" t="s">
        <v>3664</v>
      </c>
      <c r="C466" t="s">
        <v>4274</v>
      </c>
      <c r="D466" t="s">
        <v>2782</v>
      </c>
      <c r="E466" t="s">
        <v>3535</v>
      </c>
      <c r="F466" t="s">
        <v>34</v>
      </c>
      <c r="G466" t="s">
        <v>2700</v>
      </c>
      <c r="H466" s="8" t="s">
        <v>79</v>
      </c>
      <c r="J466" s="16" t="s">
        <v>4275</v>
      </c>
      <c r="K466" t="s">
        <v>14</v>
      </c>
      <c r="L466" t="s">
        <v>2659</v>
      </c>
      <c r="M466" s="17">
        <v>0</v>
      </c>
      <c r="N466" s="17">
        <v>100</v>
      </c>
      <c r="O466" s="17">
        <v>2.33E-8</v>
      </c>
      <c r="P466">
        <v>4294967296</v>
      </c>
      <c r="Q466" t="s">
        <v>2660</v>
      </c>
      <c r="R466" t="s">
        <v>2660</v>
      </c>
    </row>
    <row r="467" spans="1:18" x14ac:dyDescent="0.25">
      <c r="M467" s="17"/>
      <c r="N467" s="17"/>
      <c r="O467" s="17"/>
    </row>
    <row r="468" spans="1:18" x14ac:dyDescent="0.25">
      <c r="M468" s="17"/>
      <c r="N468" s="17"/>
      <c r="O468" s="17"/>
    </row>
    <row r="469" spans="1:18" x14ac:dyDescent="0.25">
      <c r="M469" s="17"/>
      <c r="N469" s="17"/>
      <c r="O469" s="17"/>
    </row>
    <row r="470" spans="1:18" x14ac:dyDescent="0.25">
      <c r="M470" s="17"/>
      <c r="N470" s="17"/>
      <c r="O470" s="17"/>
    </row>
    <row r="471" spans="1:18" x14ac:dyDescent="0.25">
      <c r="M471" s="17"/>
      <c r="N471" s="17"/>
      <c r="O471" s="17"/>
    </row>
    <row r="472" spans="1:18" x14ac:dyDescent="0.25">
      <c r="M472" s="17"/>
      <c r="N472" s="17"/>
      <c r="O472" s="17"/>
    </row>
    <row r="473" spans="1:18" x14ac:dyDescent="0.25">
      <c r="M473" s="17"/>
      <c r="N473" s="17"/>
      <c r="O473" s="17"/>
    </row>
    <row r="474" spans="1:18" x14ac:dyDescent="0.25">
      <c r="M474" s="17"/>
      <c r="N474" s="17"/>
      <c r="O474" s="17"/>
    </row>
    <row r="475" spans="1:18" x14ac:dyDescent="0.25">
      <c r="M475" s="17"/>
      <c r="N475" s="17"/>
      <c r="O475" s="17"/>
    </row>
    <row r="476" spans="1:18" x14ac:dyDescent="0.25">
      <c r="M476" s="17"/>
      <c r="N476" s="17"/>
      <c r="O476" s="17"/>
    </row>
    <row r="477" spans="1:18" x14ac:dyDescent="0.25">
      <c r="M477" s="17"/>
      <c r="N477" s="17"/>
      <c r="O477" s="17"/>
    </row>
    <row r="478" spans="1:18" x14ac:dyDescent="0.25">
      <c r="M478" s="17"/>
      <c r="N478" s="17"/>
      <c r="O478" s="17"/>
    </row>
    <row r="479" spans="1:18" x14ac:dyDescent="0.25">
      <c r="M479" s="17"/>
      <c r="N479" s="17"/>
      <c r="O479" s="17"/>
    </row>
    <row r="480" spans="1:18"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Normal="100" zoomScalePageLayoutView="70" workbookViewId="0">
      <pane xSplit="1" ySplit="2" topLeftCell="B362" activePane="bottomRight" state="frozen"/>
      <selection pane="topRight" activeCell="B1" sqref="B1"/>
      <selection pane="bottomLeft" activeCell="A3" sqref="A3"/>
      <selection pane="bottomRight" activeCell="A461" sqref="A461"/>
    </sheetView>
  </sheetViews>
  <sheetFormatPr baseColWidth="10"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8" width="11.42578125" customWidth="1"/>
    <col min="39" max="39" width="59.28515625" customWidth="1"/>
    <col min="40" max="40" width="34"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45" customHeight="1"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45" customHeight="1"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45" customHeight="1"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45" customHeight="1"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45" customHeight="1" x14ac:dyDescent="0.25">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45" customHeight="1"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45" customHeight="1"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45" customHeight="1"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45" customHeight="1"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45" customHeight="1"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45" customHeight="1"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45" customHeight="1"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45" customHeight="1"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45" customHeight="1"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45" customHeight="1"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45" customHeight="1"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45" customHeight="1"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45" customHeight="1"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45" customHeight="1"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45" customHeight="1"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45" customHeight="1"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45" customHeight="1"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45" customHeight="1"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45" customHeight="1"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45" customHeight="1"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45" customHeight="1"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45" customHeight="1"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45" customHeight="1"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45" customHeight="1"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45" customHeight="1"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45" customHeight="1"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45" customHeight="1"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45" customHeight="1"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45" customHeight="1"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45" customHeight="1"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45" customHeight="1"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45" customHeight="1"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45" customHeight="1"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45" customHeight="1"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45" customHeight="1"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45" customHeight="1"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45" customHeight="1"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45" customHeight="1"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45" customHeight="1"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45" customHeight="1"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45" customHeight="1"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45" customHeight="1"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45" customHeight="1"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45" customHeight="1"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45" customHeight="1"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45" customHeight="1"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45" customHeight="1"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45" customHeight="1"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45" customHeight="1"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45" customHeight="1"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45" customHeight="1"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45" customHeight="1"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45" customHeight="1"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45" customHeight="1"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45" customHeight="1"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45" customHeight="1"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45" customHeight="1"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45" customHeight="1"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45" customHeight="1"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45" customHeight="1"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45" customHeight="1"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45" customHeight="1"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45" customHeight="1"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45" customHeight="1"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45" customHeight="1"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45" customHeight="1"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45" customHeight="1"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45" customHeight="1"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45" customHeight="1"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45" customHeight="1"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45" customHeight="1"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45" customHeight="1"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45" customHeight="1"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45" customHeight="1"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45" customHeight="1"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45" customHeight="1"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45" customHeight="1"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45" customHeight="1"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45" customHeight="1"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45" customHeight="1"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45" customHeight="1"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45" customHeight="1"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45" customHeight="1"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45" customHeight="1"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45" customHeight="1"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45" customHeight="1"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45" customHeight="1"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45" customHeight="1"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45" customHeight="1"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45" customHeight="1"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45" customHeight="1"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45" customHeight="1"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45" customHeight="1"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45" customHeight="1"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45" customHeight="1"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45" customHeight="1"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45" customHeight="1"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45" customHeight="1"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45" customHeight="1"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45" customHeight="1"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45" customHeight="1"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45" customHeight="1"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45" customHeight="1"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45" customHeight="1"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45" customHeight="1"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45" customHeight="1"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45" customHeight="1"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45" customHeight="1"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45" customHeight="1"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45" customHeight="1"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45" customHeight="1"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45" customHeight="1"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45" customHeight="1"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45" customHeight="1"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45" customHeight="1"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45" customHeight="1"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45" customHeight="1"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45" customHeight="1"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45" customHeight="1"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45" customHeight="1"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45" customHeight="1"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45" customHeight="1"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45" customHeight="1"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45" customHeight="1"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45" customHeight="1" x14ac:dyDescent="0.25">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45" customHeight="1" x14ac:dyDescent="0.25">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45" customHeight="1"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45" customHeight="1"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45" customHeight="1"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45" customHeight="1"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45" customHeight="1" x14ac:dyDescent="0.25">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45" customHeight="1"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45" customHeight="1"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45" customHeight="1"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45" customHeight="1"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45" customHeight="1"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45" customHeight="1"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45" customHeight="1"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45" customHeight="1"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45" customHeight="1"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45" customHeight="1"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45" customHeight="1"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45" customHeight="1"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45" customHeight="1"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45" customHeight="1"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45" customHeight="1"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45" customHeight="1"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45" customHeight="1"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45" customHeight="1"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45" customHeight="1"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45" customHeight="1"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45" customHeight="1"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45" customHeight="1"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45" customHeight="1"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45" customHeight="1"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45" customHeight="1"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45" customHeight="1"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ht="14.45" customHeight="1"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45" customHeight="1" x14ac:dyDescent="0.25">
      <c r="A166" s="9" t="str">
        <f>IF(ISBLANK('Signal Definition'!J166),"",'Signal Definition'!J166)</f>
        <v>AirCdn_pwrRqrdMecl_PHY</v>
      </c>
      <c r="B166" s="9">
        <f t="array" ref="B166">COUNT(FIND("input",$D166:$BY166))</f>
        <v>0</v>
      </c>
      <c r="C166" s="9">
        <f t="array" ref="C166">COUNT(FIND("output",$D166:$BY166))</f>
        <v>1</v>
      </c>
      <c r="Q166" t="s">
        <v>2661</v>
      </c>
    </row>
    <row r="167" spans="1:26" ht="14.45" customHeight="1"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45" customHeight="1" x14ac:dyDescent="0.25">
      <c r="A168" s="9" t="str">
        <f>IF(ISBLANK('Signal Definition'!J168),"",'Signal Definition'!J168)</f>
        <v>AuxTqSum_jAuxJSum_PHY</v>
      </c>
      <c r="B168" s="9">
        <f t="array" ref="B168">COUNT(FIND("input",$D168:$BY168))</f>
        <v>0</v>
      </c>
      <c r="C168" s="9">
        <f t="array" ref="C168">COUNT(FIND("output",$D168:$BY168))</f>
        <v>1</v>
      </c>
      <c r="W168" t="s">
        <v>2661</v>
      </c>
    </row>
    <row r="169" spans="1:26" ht="14.45" customHeight="1"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45" customHeight="1"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45" customHeight="1"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45" customHeight="1"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45" customHeight="1"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45" customHeight="1"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45" customHeight="1"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45" customHeight="1"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45" customHeight="1"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45" customHeight="1"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45" customHeight="1" x14ac:dyDescent="0.25">
      <c r="A179" s="9" t="str">
        <f>IF(ISBLANK('Signal Definition'!J179),"",'Signal Definition'!J179)</f>
        <v>CoolgFan_trqCoolgFan_PHY</v>
      </c>
      <c r="B179" s="9">
        <f t="array" ref="B179">COUNT(FIND("input",$D179:$BY179))</f>
        <v>0</v>
      </c>
      <c r="C179" s="9">
        <f t="array" ref="C179">COUNT(FIND("output",$D179:$BY179))</f>
        <v>1</v>
      </c>
      <c r="R179" t="s">
        <v>2661</v>
      </c>
    </row>
    <row r="180" spans="1:23" ht="14.45" customHeight="1" x14ac:dyDescent="0.25">
      <c r="A180" s="9" t="str">
        <f>IF(ISBLANK('Signal Definition'!J180),"",'Signal Definition'!J180)</f>
        <v>ElecSys_pwrBattPwr_PHY</v>
      </c>
      <c r="B180" s="9">
        <f t="array" ref="B180">COUNT(FIND("input",$D180:$BY180))</f>
        <v>0</v>
      </c>
      <c r="C180" s="9">
        <f t="array" ref="C180">COUNT(FIND("output",$D180:$BY180))</f>
        <v>1</v>
      </c>
      <c r="T180" t="s">
        <v>2661</v>
      </c>
    </row>
    <row r="181" spans="1:23" ht="14.45" customHeight="1" x14ac:dyDescent="0.25">
      <c r="A181" s="9" t="str">
        <f>IF(ISBLANK('Signal Definition'!J181),"",'Signal Definition'!J181)</f>
        <v>ElecSys_uBattTerminalU_PHY</v>
      </c>
      <c r="B181" s="9">
        <f t="array" ref="B181">COUNT(FIND("input",$D181:$BY181))</f>
        <v>0</v>
      </c>
      <c r="C181" s="9">
        <f t="array" ref="C181">COUNT(FIND("output",$D181:$BY181))</f>
        <v>1</v>
      </c>
      <c r="T181" t="s">
        <v>2661</v>
      </c>
    </row>
    <row r="182" spans="1:23" ht="14.45" customHeight="1" x14ac:dyDescent="0.25">
      <c r="A182" s="9" t="str">
        <f>IF(ISBLANK('Signal Definition'!J182),"",'Signal Definition'!J182)</f>
        <v>ElecSys_chrgBattChrg_PHY</v>
      </c>
      <c r="B182" s="9">
        <f t="array" ref="B182">COUNT(FIND("input",$D182:$BY182))</f>
        <v>0</v>
      </c>
      <c r="C182" s="9">
        <f t="array" ref="C182">COUNT(FIND("output",$D182:$BY182))</f>
        <v>1</v>
      </c>
      <c r="T182" t="s">
        <v>2661</v>
      </c>
    </row>
    <row r="183" spans="1:23" ht="14.45" customHeight="1" x14ac:dyDescent="0.25">
      <c r="A183" s="9" t="str">
        <f>IF(ISBLANK('Signal Definition'!J183),"",'Signal Definition'!J183)</f>
        <v>ElecSys_tBattT_PHY</v>
      </c>
      <c r="B183" s="9">
        <f t="array" ref="B183">COUNT(FIND("input",$D183:$BY183))</f>
        <v>0</v>
      </c>
      <c r="C183" s="9">
        <f t="array" ref="C183">COUNT(FIND("output",$D183:$BY183))</f>
        <v>1</v>
      </c>
      <c r="T183" t="s">
        <v>2661</v>
      </c>
    </row>
    <row r="184" spans="1:23" ht="14.45" customHeight="1"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45" customHeight="1"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45" customHeight="1"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45" customHeight="1"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45" customHeight="1"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45" customHeight="1"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ht="14.45" customHeight="1"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45" customHeight="1"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45" customHeight="1"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45" customHeight="1"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45" customHeight="1"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45" customHeight="1"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45" customHeight="1"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45" customHeight="1"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45" customHeight="1"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45" customHeight="1"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45" customHeight="1"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45" customHeight="1" x14ac:dyDescent="0.25">
      <c r="A201" s="9" t="str">
        <f>IF(ISBLANK('Signal Definition'!J201),"",'Signal Definition'!J201)</f>
        <v>ECU_trqEstimdTotAux_PHY</v>
      </c>
      <c r="B201" s="9">
        <f t="array" ref="B201">COUNT(FIND("input",$D201:$BY201))</f>
        <v>0</v>
      </c>
      <c r="C201" s="9">
        <f t="array" ref="C201">COUNT(FIND("output",$D201:$BY201))</f>
        <v>1</v>
      </c>
      <c r="J201" t="s">
        <v>2661</v>
      </c>
    </row>
    <row r="202" spans="1:41" ht="14.45" customHeight="1"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41" ht="14.45" customHeight="1"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45" customHeight="1"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45" customHeight="1"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41" ht="14.45" customHeight="1" x14ac:dyDescent="0.25">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45" customHeight="1" x14ac:dyDescent="0.25">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45" customHeight="1"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45" customHeight="1"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45" customHeight="1"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45" customHeight="1"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45" customHeight="1"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45" customHeight="1"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45" customHeight="1"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45" customHeight="1"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45" customHeight="1" x14ac:dyDescent="0.25">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45" customHeight="1"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45" customHeight="1" x14ac:dyDescent="0.25">
      <c r="A218" s="9" t="str">
        <f>IF(ISBLANK('Signal Definition'!J218),"",'Signal Definition'!J218)</f>
        <v>EngMdl_pAftTrb_PHY</v>
      </c>
      <c r="B218" s="9">
        <f t="array" ref="B218">COUNT(FIND("input",$D218:$BY218))</f>
        <v>0</v>
      </c>
      <c r="C218" s="9">
        <f t="array" ref="C218">COUNT(FIND("output",$D218:$BY218))</f>
        <v>1</v>
      </c>
      <c r="K218" t="s">
        <v>2661</v>
      </c>
    </row>
    <row r="219" spans="1:40" ht="14.45" customHeight="1"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45" customHeight="1"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45" customHeight="1"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45" customHeight="1"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45" customHeight="1"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45" customHeight="1"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45" customHeight="1" x14ac:dyDescent="0.25">
      <c r="A225" s="9" t="str">
        <f>IF(ISBLANK('Signal Definition'!J225),"",'Signal Definition'!J225)</f>
        <v>AirCdn_tAirCdnIntrAirT_PHY</v>
      </c>
      <c r="B225" s="9">
        <f t="array" ref="B225">COUNT(FIND("input",$D225:$BY225))</f>
        <v>0</v>
      </c>
      <c r="C225" s="9">
        <f t="array" ref="C225">COUNT(FIND("output",$D225:$BY225))</f>
        <v>1</v>
      </c>
      <c r="Q225" t="s">
        <v>2661</v>
      </c>
    </row>
    <row r="226" spans="1:40" ht="14.45" customHeight="1"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45" customHeight="1" x14ac:dyDescent="0.25">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45" customHeight="1" x14ac:dyDescent="0.25">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45" customHeight="1" x14ac:dyDescent="0.25">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45" customHeight="1" x14ac:dyDescent="0.25">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45" customHeight="1" x14ac:dyDescent="0.25">
      <c r="A231" s="9" t="str">
        <f>IF(ISBLANK('Signal Definition'!J231),"",'Signal Definition'!J231)</f>
        <v>EngMdl_trqIndcdTqOut_PHY</v>
      </c>
      <c r="B231" s="9">
        <f t="array" ref="B231">COUNT(FIND("input",$D231:$BY231))</f>
        <v>0</v>
      </c>
      <c r="C231" s="9">
        <f t="array" ref="C231">COUNT(FIND("output",$D231:$BY231))</f>
        <v>1</v>
      </c>
      <c r="K231" t="s">
        <v>2661</v>
      </c>
    </row>
    <row r="232" spans="1:40" ht="14.45" customHeight="1" x14ac:dyDescent="0.25">
      <c r="A232" s="9" t="str">
        <f>IF(ISBLANK('Signal Definition'!J232),"",'Signal Definition'!J232)</f>
        <v>ExhATSysMdl_ratNh3SnsrDs_PHY</v>
      </c>
      <c r="B232" s="9">
        <f t="array" ref="B232">COUNT(FIND("input",$D232:$BY232))</f>
        <v>0</v>
      </c>
      <c r="C232" s="9">
        <f t="array" ref="C232">COUNT(FIND("output",$D232:$BY232))</f>
        <v>1</v>
      </c>
      <c r="L232" t="s">
        <v>2661</v>
      </c>
    </row>
    <row r="233" spans="1:40" ht="14.45" customHeight="1" x14ac:dyDescent="0.25">
      <c r="A233" s="9" t="str">
        <f>IF(ISBLANK('Signal Definition'!J233),"",'Signal Definition'!J233)</f>
        <v>ExhATSysMdl_mNh3SCR_PHY</v>
      </c>
      <c r="B233" s="9">
        <f t="array" ref="B233">COUNT(FIND("input",$D233:$BY233))</f>
        <v>0</v>
      </c>
      <c r="C233" s="9">
        <f t="array" ref="C233">COUNT(FIND("output",$D233:$BY233))</f>
        <v>1</v>
      </c>
      <c r="L233" t="s">
        <v>2661</v>
      </c>
    </row>
    <row r="234" spans="1:40" ht="14.45" customHeight="1"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45" customHeight="1"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45" customHeight="1"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45" customHeight="1"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45" customHeight="1"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45" customHeight="1"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45" customHeight="1"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ht="14.45" customHeight="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ht="14.45" customHeight="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ht="14.45" customHeight="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ht="14.45" customHeight="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ht="14.45" customHeight="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ht="14.45" customHeight="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ht="14.45" customHeight="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ht="14.45" customHeight="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ht="14.45" customHeight="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ht="14.45" customHeight="1" x14ac:dyDescent="0.25">
      <c r="A250" s="9" t="str">
        <f>IF(ISBLANK('Signal Definition'!J250),"",'Signal Definition'!J250)</f>
        <v>EgyFlowCoorr_stTDecDi_INT</v>
      </c>
      <c r="B250" s="9">
        <f t="array" ref="B250">COUNT(FIND("input",$D250:$BY250))</f>
        <v>0</v>
      </c>
      <c r="C250" s="9">
        <f t="array" ref="C250">COUNT(FIND("output",$D250:$BY250))</f>
        <v>1</v>
      </c>
      <c r="Z250" t="s">
        <v>2661</v>
      </c>
    </row>
    <row r="251" spans="1:31" ht="14.45" customHeight="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45" customHeight="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45" customHeight="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45" customHeight="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45" customHeight="1" x14ac:dyDescent="0.25">
      <c r="A255" s="9" t="str">
        <f>IF(ISBLANK('Signal Definition'!J255),"",'Signal Definition'!J255)</f>
        <v>PredtnHrznGenr_tiVectHrznSho_PHY</v>
      </c>
      <c r="B255" s="9">
        <f t="array" ref="B255">COUNT(FIND("input",$D255:$BY255))</f>
        <v>0</v>
      </c>
      <c r="C255" s="9">
        <f t="array" ref="C255">COUNT(FIND("output",$D255:$BY255))</f>
        <v>1</v>
      </c>
      <c r="AE255" t="s">
        <v>2661</v>
      </c>
    </row>
    <row r="256" spans="1:31" ht="14.45" customHeight="1" x14ac:dyDescent="0.25">
      <c r="A256" s="9" t="str">
        <f>IF(ISBLANK('Signal Definition'!J256),"",'Signal Definition'!J256)</f>
        <v>PredtnHrznGenr_tiVectHrznLong_PHY</v>
      </c>
      <c r="B256" s="9">
        <f t="array" ref="B256">COUNT(FIND("input",$D256:$BY256))</f>
        <v>0</v>
      </c>
      <c r="C256" s="9">
        <f t="array" ref="C256">COUNT(FIND("output",$D256:$BY256))</f>
        <v>1</v>
      </c>
      <c r="AE256" t="s">
        <v>2661</v>
      </c>
    </row>
    <row r="257" spans="1:41" ht="14.45" customHeight="1" x14ac:dyDescent="0.25">
      <c r="A257" s="9" t="str">
        <f>IF(ISBLANK('Signal Definition'!J257),"",'Signal Definition'!J257)</f>
        <v>PredtnHrznGenr_trqVectHrznLong_PHY</v>
      </c>
      <c r="B257" s="9">
        <f t="array" ref="B257">COUNT(FIND("input",$D257:$BY257))</f>
        <v>0</v>
      </c>
      <c r="C257" s="9">
        <f t="array" ref="C257">COUNT(FIND("output",$D257:$BY257))</f>
        <v>1</v>
      </c>
      <c r="AE257" t="s">
        <v>2661</v>
      </c>
    </row>
    <row r="258" spans="1:41" ht="14.45" customHeight="1" x14ac:dyDescent="0.25">
      <c r="A258" s="9" t="str">
        <f>IF(ISBLANK('Signal Definition'!J258),"",'Signal Definition'!J258)</f>
        <v>PredtnHrznGenr_trqVectHrznSho_PHY</v>
      </c>
      <c r="B258" s="9">
        <f t="array" ref="B258">COUNT(FIND("input",$D258:$BY258))</f>
        <v>0</v>
      </c>
      <c r="C258" s="9">
        <f t="array" ref="C258">COUNT(FIND("output",$D258:$BY258))</f>
        <v>1</v>
      </c>
      <c r="AE258" t="s">
        <v>2661</v>
      </c>
    </row>
    <row r="259" spans="1:41" ht="14.45" customHeight="1" x14ac:dyDescent="0.25">
      <c r="A259" s="9" t="str">
        <f>IF(ISBLANK('Signal Definition'!J259),"",'Signal Definition'!J259)</f>
        <v>PredtnHrznGenr_nVectHrznSho_PHY</v>
      </c>
      <c r="B259" s="9">
        <f t="array" ref="B259">COUNT(FIND("input",$D259:$BY259))</f>
        <v>0</v>
      </c>
      <c r="C259" s="9">
        <f t="array" ref="C259">COUNT(FIND("output",$D259:$BY259))</f>
        <v>1</v>
      </c>
      <c r="AE259" t="s">
        <v>2661</v>
      </c>
    </row>
    <row r="260" spans="1:41" ht="14.45" customHeight="1" x14ac:dyDescent="0.25">
      <c r="A260" s="9" t="str">
        <f>IF(ISBLANK('Signal Definition'!J260),"",'Signal Definition'!J260)</f>
        <v>PredtnHrznGenr_nVectHrznLong_PHY</v>
      </c>
      <c r="B260" s="9">
        <f t="array" ref="B260">COUNT(FIND("input",$D260:$BY260))</f>
        <v>0</v>
      </c>
      <c r="C260" s="9">
        <f t="array" ref="C260">COUNT(FIND("output",$D260:$BY260))</f>
        <v>1</v>
      </c>
      <c r="AE260" t="s">
        <v>2661</v>
      </c>
    </row>
    <row r="261" spans="1:41" ht="14.45" customHeight="1" x14ac:dyDescent="0.25">
      <c r="A261" s="9" t="str">
        <f>IF(ISBLANK('Signal Definition'!J261),"",'Signal Definition'!J261)</f>
        <v>PredtnHrznGenr_idxVectHrznLenLong_PHY</v>
      </c>
      <c r="B261" s="9">
        <f t="array" ref="B261">COUNT(FIND("input",$D261:$BY261))</f>
        <v>0</v>
      </c>
      <c r="C261" s="9">
        <f t="array" ref="C261">COUNT(FIND("output",$D261:$BY261))</f>
        <v>1</v>
      </c>
      <c r="AE261" t="s">
        <v>2661</v>
      </c>
    </row>
    <row r="262" spans="1:41" ht="14.45" customHeight="1" x14ac:dyDescent="0.25">
      <c r="A262" s="9" t="str">
        <f>IF(ISBLANK('Signal Definition'!J262),"",'Signal Definition'!J262)</f>
        <v>PredtnHrznGenr_idxVectHrznLenSho_PHY</v>
      </c>
      <c r="B262" s="9">
        <f t="array" ref="B262">COUNT(FIND("input",$D262:$BY262))</f>
        <v>0</v>
      </c>
      <c r="C262" s="9">
        <f t="array" ref="C262">COUNT(FIND("output",$D262:$BY262))</f>
        <v>1</v>
      </c>
      <c r="AE262" t="s">
        <v>2661</v>
      </c>
    </row>
    <row r="263" spans="1:41" ht="14.45" customHeight="1" x14ac:dyDescent="0.25">
      <c r="A263" s="9" t="str">
        <f>IF(ISBLANK('Signal Definition'!J263),"",'Signal Definition'!J263)</f>
        <v>PredtnHrznGenr_tiHrznLenSho_PHY</v>
      </c>
      <c r="B263" s="9">
        <f t="array" ref="B263">COUNT(FIND("input",$D263:$BY263))</f>
        <v>0</v>
      </c>
      <c r="C263" s="9">
        <f t="array" ref="C263">COUNT(FIND("output",$D263:$BY263))</f>
        <v>1</v>
      </c>
      <c r="AE263" t="s">
        <v>2661</v>
      </c>
    </row>
    <row r="264" spans="1:41" ht="14.45" customHeight="1" x14ac:dyDescent="0.25">
      <c r="A264" s="9" t="str">
        <f>IF(ISBLANK('Signal Definition'!J264),"",'Signal Definition'!J264)</f>
        <v>PredtnHrznGenr_tiHrznLenLong_PHY</v>
      </c>
      <c r="B264" s="9">
        <f t="array" ref="B264">COUNT(FIND("input",$D264:$BY264))</f>
        <v>0</v>
      </c>
      <c r="C264" s="9">
        <f t="array" ref="C264">COUNT(FIND("output",$D264:$BY264))</f>
        <v>1</v>
      </c>
      <c r="AE264" t="s">
        <v>2661</v>
      </c>
    </row>
    <row r="265" spans="1:41" ht="14.45" customHeight="1" x14ac:dyDescent="0.25">
      <c r="A265" s="9" t="str">
        <f>IF(ISBLANK('Signal Definition'!J265),"",'Signal Definition'!J265)</f>
        <v>PredtnHrznGenr_stTrigOptmr_PHY</v>
      </c>
      <c r="B265" s="9">
        <f t="array" ref="B265">COUNT(FIND("input",$D265:$BY265))</f>
        <v>0</v>
      </c>
      <c r="C265" s="9">
        <f t="array" ref="C265">COUNT(FIND("output",$D265:$BY265))</f>
        <v>1</v>
      </c>
      <c r="AE265" t="s">
        <v>2661</v>
      </c>
    </row>
    <row r="266" spans="1:41" ht="14.45" customHeight="1" x14ac:dyDescent="0.25">
      <c r="A266" s="9" t="str">
        <f>IF(ISBLANK('Signal Definition'!J266),"",'Signal Definition'!J266)</f>
        <v>PredtnHrznGenr_swtExtSrcPredtnData_PHY</v>
      </c>
      <c r="B266" s="9">
        <f t="array" ref="B266">COUNT(FIND("input",$D266:$BY266))</f>
        <v>0</v>
      </c>
      <c r="C266" s="9">
        <f t="array" ref="C266">COUNT(FIND("output",$D266:$BY266))</f>
        <v>1</v>
      </c>
      <c r="AE266" t="s">
        <v>2661</v>
      </c>
    </row>
    <row r="267" spans="1:41" ht="14.45" customHeight="1" x14ac:dyDescent="0.25">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45" customHeight="1" x14ac:dyDescent="0.25">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45" customHeight="1" x14ac:dyDescent="0.25">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45" customHeight="1" x14ac:dyDescent="0.25">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45" customHeight="1" x14ac:dyDescent="0.25">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45" customHeight="1"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45" customHeight="1"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45" customHeight="1"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40" ht="14.45" customHeight="1"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40" ht="14.45" customHeight="1"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40" ht="14.45" customHeight="1"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45" customHeight="1"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45" customHeight="1"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40" ht="14.45" customHeight="1"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40" ht="14.45" customHeight="1"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40" ht="14.45" customHeight="1"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45" customHeight="1"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45" customHeight="1"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45" customHeight="1" x14ac:dyDescent="0.25">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45" customHeight="1" x14ac:dyDescent="0.25">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45" customHeight="1" x14ac:dyDescent="0.25">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45" customHeight="1" x14ac:dyDescent="0.25">
      <c r="A288" s="9" t="str">
        <f>IF(ISBLANK('Signal Definition'!J288),"",'Signal Definition'!J288)</f>
        <v>EngCtrl_numEngOpertgModOvrd_INT</v>
      </c>
      <c r="B288" s="9">
        <f t="array" ref="B288">COUNT(FIND("input",$D288:$BY288))</f>
        <v>0</v>
      </c>
      <c r="C288" s="9">
        <f t="array" ref="C288">COUNT(FIND("output",$D288:$BY288))</f>
        <v>1</v>
      </c>
      <c r="Y288" t="s">
        <v>2661</v>
      </c>
    </row>
    <row r="289" spans="1:41" ht="14.45" customHeight="1"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45" customHeight="1"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41" ht="14.45" customHeight="1"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45" customHeight="1" x14ac:dyDescent="0.25">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45" customHeight="1" x14ac:dyDescent="0.25">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45" customHeight="1" x14ac:dyDescent="0.25">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45" customHeight="1" x14ac:dyDescent="0.25">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45" customHeight="1" x14ac:dyDescent="0.25">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45" customHeight="1" x14ac:dyDescent="0.25">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45" customHeight="1" x14ac:dyDescent="0.25">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45" customHeight="1" x14ac:dyDescent="0.25">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45" customHeight="1" x14ac:dyDescent="0.25">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45" customHeight="1" x14ac:dyDescent="0.25">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45" customHeight="1"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45" customHeight="1"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45" customHeight="1"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45" customHeight="1"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45" customHeight="1"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45" customHeight="1"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45" customHeight="1"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45" customHeight="1"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45" customHeight="1"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45" customHeight="1"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45" customHeight="1"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45" customHeight="1"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45" customHeight="1"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45" customHeight="1"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45" customHeight="1"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45" customHeight="1"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45" customHeight="1"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45" customHeight="1"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45" customHeight="1"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45" customHeight="1"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45" customHeight="1"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45" customHeight="1"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45" customHeight="1"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45" customHeight="1"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45" customHeight="1"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45" customHeight="1"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45" customHeight="1"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45" customHeight="1"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45" customHeight="1"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45" customHeight="1"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45" customHeight="1"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45" customHeight="1"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45" customHeight="1"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45" customHeight="1"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45" customHeight="1"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45" customHeight="1"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45" customHeight="1"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ht="14.45" customHeight="1"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45" customHeight="1"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45" customHeight="1"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45" customHeight="1"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45" customHeight="1"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45" customHeight="1"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45" customHeight="1"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45" customHeight="1"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45" customHeight="1"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45" customHeight="1"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45" customHeight="1"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45" customHeight="1"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45" customHeight="1"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ht="14.45" customHeight="1"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45" customHeight="1"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ht="14.45" customHeight="1"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45" customHeight="1"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45" customHeight="1"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45" customHeight="1"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45" customHeight="1"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45" customHeight="1"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ht="14.45" customHeight="1"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45" customHeight="1" x14ac:dyDescent="0.25">
      <c r="A361" s="9" t="str">
        <f>IF(ISBLANK('Signal Definition'!J361),"",'Signal Definition'!J361)</f>
        <v>RealECU_numOperModAct_PHY</v>
      </c>
      <c r="B361" s="9">
        <f t="array" ref="B361">COUNT(FIND("input",$D361:$BY361))</f>
        <v>0</v>
      </c>
      <c r="C361" s="9">
        <f t="array" ref="C361">COUNT(FIND("output",$D361:$BY361))</f>
        <v>1</v>
      </c>
      <c r="AH361" t="s">
        <v>2661</v>
      </c>
    </row>
    <row r="362" spans="1:34" ht="14.45" customHeight="1" x14ac:dyDescent="0.25">
      <c r="A362" s="9" t="str">
        <f>IF(ISBLANK('Signal Definition'!J362),"",'Signal Definition'!J362)</f>
        <v>RealECU_qInjTot_PHY</v>
      </c>
      <c r="B362" s="9">
        <f t="array" ref="B362">COUNT(FIND("input",$D362:$BY362))</f>
        <v>0</v>
      </c>
      <c r="C362" s="9">
        <f t="array" ref="C362">COUNT(FIND("output",$D362:$BY362))</f>
        <v>1</v>
      </c>
      <c r="AH362" t="s">
        <v>2661</v>
      </c>
    </row>
    <row r="363" spans="1:34" ht="14.45" customHeight="1" x14ac:dyDescent="0.25">
      <c r="A363" s="9" t="str">
        <f>IF(ISBLANK('Signal Definition'!J363),"",'Signal Definition'!J363)</f>
        <v>RealECU_qInjMai1_PHY</v>
      </c>
      <c r="B363" s="9">
        <f t="array" ref="B363">COUNT(FIND("input",$D363:$BY363))</f>
        <v>0</v>
      </c>
      <c r="C363" s="9">
        <f t="array" ref="C363">COUNT(FIND("output",$D363:$BY363))</f>
        <v>1</v>
      </c>
      <c r="AH363" t="s">
        <v>2661</v>
      </c>
    </row>
    <row r="364" spans="1:34" ht="14.45" customHeight="1" x14ac:dyDescent="0.25">
      <c r="A364" s="9" t="str">
        <f>IF(ISBLANK('Signal Definition'!J364),"",'Signal Definition'!J364)</f>
        <v>RealECU_qInjPil1_PHY</v>
      </c>
      <c r="B364" s="9">
        <f t="array" ref="B364">COUNT(FIND("input",$D364:$BY364))</f>
        <v>0</v>
      </c>
      <c r="C364" s="9">
        <f t="array" ref="C364">COUNT(FIND("output",$D364:$BY364))</f>
        <v>1</v>
      </c>
      <c r="AH364" t="s">
        <v>2661</v>
      </c>
    </row>
    <row r="365" spans="1:34" ht="14.45" customHeight="1" x14ac:dyDescent="0.25">
      <c r="A365" s="9" t="str">
        <f>IF(ISBLANK('Signal Definition'!J365),"",'Signal Definition'!J365)</f>
        <v>RealECU_qInjPil2_PHY</v>
      </c>
      <c r="B365" s="9">
        <f t="array" ref="B365">COUNT(FIND("input",$D365:$BY365))</f>
        <v>0</v>
      </c>
      <c r="C365" s="9">
        <f t="array" ref="C365">COUNT(FIND("output",$D365:$BY365))</f>
        <v>1</v>
      </c>
      <c r="AH365" t="s">
        <v>2661</v>
      </c>
    </row>
    <row r="366" spans="1:34" ht="14.45" customHeight="1" x14ac:dyDescent="0.25">
      <c r="A366" s="9" t="str">
        <f>IF(ISBLANK('Signal Definition'!J366),"",'Signal Definition'!J366)</f>
        <v>RealECU_qInjPost1_PHY</v>
      </c>
      <c r="B366" s="9">
        <f t="array" ref="B366">COUNT(FIND("input",$D366:$BY366))</f>
        <v>0</v>
      </c>
      <c r="C366" s="9">
        <f t="array" ref="C366">COUNT(FIND("output",$D366:$BY366))</f>
        <v>1</v>
      </c>
      <c r="AH366" t="s">
        <v>2661</v>
      </c>
    </row>
    <row r="367" spans="1:34" ht="14.45" customHeight="1" x14ac:dyDescent="0.25">
      <c r="A367" s="9" t="str">
        <f>IF(ISBLANK('Signal Definition'!J367),"",'Signal Definition'!J367)</f>
        <v>RealECU_qInjPost2_PHY</v>
      </c>
      <c r="B367" s="9">
        <f t="array" ref="B367">COUNT(FIND("input",$D367:$BY367))</f>
        <v>0</v>
      </c>
      <c r="C367" s="9">
        <f t="array" ref="C367">COUNT(FIND("output",$D367:$BY367))</f>
        <v>1</v>
      </c>
      <c r="AH367" t="s">
        <v>2661</v>
      </c>
    </row>
    <row r="368" spans="1:34" ht="14.45" customHeight="1" x14ac:dyDescent="0.25">
      <c r="A368" s="9" t="str">
        <f>IF(ISBLANK('Signal Definition'!J368),"",'Signal Definition'!J368)</f>
        <v>RealECU_phiInjMai1_PHY</v>
      </c>
      <c r="B368" s="9">
        <f t="array" ref="B368">COUNT(FIND("input",$D368:$BY368))</f>
        <v>0</v>
      </c>
      <c r="C368" s="9">
        <f t="array" ref="C368">COUNT(FIND("output",$D368:$BY368))</f>
        <v>1</v>
      </c>
      <c r="AH368" t="s">
        <v>2661</v>
      </c>
    </row>
    <row r="369" spans="1:34" ht="14.45" customHeight="1" x14ac:dyDescent="0.25">
      <c r="A369" s="9" t="str">
        <f>IF(ISBLANK('Signal Definition'!J369),"",'Signal Definition'!J369)</f>
        <v>RealECU_phiInjPil1_PHY</v>
      </c>
      <c r="B369" s="9">
        <f t="array" ref="B369">COUNT(FIND("input",$D369:$BY369))</f>
        <v>0</v>
      </c>
      <c r="C369" s="9">
        <f t="array" ref="C369">COUNT(FIND("output",$D369:$BY369))</f>
        <v>1</v>
      </c>
      <c r="AH369" t="s">
        <v>2661</v>
      </c>
    </row>
    <row r="370" spans="1:34" ht="14.45" customHeight="1" x14ac:dyDescent="0.25">
      <c r="A370" s="9" t="str">
        <f>IF(ISBLANK('Signal Definition'!J370),"",'Signal Definition'!J370)</f>
        <v>RealECU_phiInjPil2_PHY</v>
      </c>
      <c r="B370" s="9">
        <f t="array" ref="B370">COUNT(FIND("input",$D370:$BY370))</f>
        <v>0</v>
      </c>
      <c r="C370" s="9">
        <f t="array" ref="C370">COUNT(FIND("output",$D370:$BY370))</f>
        <v>1</v>
      </c>
      <c r="AH370" t="s">
        <v>2661</v>
      </c>
    </row>
    <row r="371" spans="1:34" ht="14.45" customHeight="1" x14ac:dyDescent="0.25">
      <c r="A371" s="9" t="str">
        <f>IF(ISBLANK('Signal Definition'!J371),"",'Signal Definition'!J371)</f>
        <v>RealECU_phiInjPost1_PHY</v>
      </c>
      <c r="B371" s="9">
        <f t="array" ref="B371">COUNT(FIND("input",$D371:$BY371))</f>
        <v>0</v>
      </c>
      <c r="C371" s="9">
        <f t="array" ref="C371">COUNT(FIND("output",$D371:$BY371))</f>
        <v>1</v>
      </c>
      <c r="AH371" t="s">
        <v>2661</v>
      </c>
    </row>
    <row r="372" spans="1:34" ht="14.45" customHeight="1" x14ac:dyDescent="0.25">
      <c r="A372" s="9" t="str">
        <f>IF(ISBLANK('Signal Definition'!J372),"",'Signal Definition'!J372)</f>
        <v>RealECU_phiInjPost2_PHY</v>
      </c>
      <c r="B372" s="9">
        <f t="array" ref="B372">COUNT(FIND("input",$D372:$BY372))</f>
        <v>0</v>
      </c>
      <c r="C372" s="9">
        <f t="array" ref="C372">COUNT(FIND("output",$D372:$BY372))</f>
        <v>1</v>
      </c>
      <c r="AH372" t="s">
        <v>2661</v>
      </c>
    </row>
    <row r="373" spans="1:34" ht="14.45" customHeight="1" x14ac:dyDescent="0.25">
      <c r="A373" s="9" t="str">
        <f>IF(ISBLANK('Signal Definition'!J373),"",'Signal Definition'!J373)</f>
        <v>RealECU_pFuRailDes_PHY</v>
      </c>
      <c r="B373" s="9">
        <f t="array" ref="B373">COUNT(FIND("input",$D373:$BY373))</f>
        <v>0</v>
      </c>
      <c r="C373" s="9">
        <f t="array" ref="C373">COUNT(FIND("output",$D373:$BY373))</f>
        <v>1</v>
      </c>
      <c r="AH373" t="s">
        <v>2661</v>
      </c>
    </row>
    <row r="374" spans="1:34" ht="14.45" customHeight="1" x14ac:dyDescent="0.25">
      <c r="A374" s="9" t="str">
        <f>IF(ISBLANK('Signal Definition'!J374),"",'Signal Definition'!J374)</f>
        <v>RealECU_nEngSetLo_PHY</v>
      </c>
      <c r="B374" s="9">
        <f t="array" ref="B374">COUNT(FIND("input",$D374:$BY374))</f>
        <v>0</v>
      </c>
      <c r="C374" s="9">
        <f t="array" ref="C374">COUNT(FIND("output",$D374:$BY374))</f>
        <v>1</v>
      </c>
      <c r="AH374" t="s">
        <v>2661</v>
      </c>
    </row>
    <row r="375" spans="1:34" ht="14.45" customHeight="1" x14ac:dyDescent="0.25">
      <c r="A375" s="9" t="str">
        <f>IF(ISBLANK('Signal Definition'!J375),"",'Signal Definition'!J375)</f>
        <v>RealECU_trqEngMax_PHY</v>
      </c>
      <c r="B375" s="9">
        <f t="array" ref="B375">COUNT(FIND("input",$D375:$BY375))</f>
        <v>0</v>
      </c>
      <c r="C375" s="9">
        <f t="array" ref="C375">COUNT(FIND("output",$D375:$BY375))</f>
        <v>1</v>
      </c>
      <c r="AH375" t="s">
        <v>2661</v>
      </c>
    </row>
    <row r="376" spans="1:34" ht="14.45" customHeight="1" x14ac:dyDescent="0.25">
      <c r="A376" s="9" t="str">
        <f>IF(ISBLANK('Signal Definition'!J376),"",'Signal Definition'!J376)</f>
        <v>RealECU_prcEngActTq_PHY</v>
      </c>
      <c r="B376" s="9">
        <f t="array" ref="B376">COUNT(FIND("input",$D376:$BY376))</f>
        <v>0</v>
      </c>
      <c r="C376" s="9">
        <f t="array" ref="C376">COUNT(FIND("output",$D376:$BY376))</f>
        <v>1</v>
      </c>
      <c r="AH376" t="s">
        <v>2661</v>
      </c>
    </row>
    <row r="377" spans="1:34" ht="14.45" customHeight="1"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ht="14.45" customHeight="1" x14ac:dyDescent="0.25">
      <c r="A378" s="9" t="str">
        <f>IF(ISBLANK('Signal Definition'!J378),"",'Signal Definition'!J378)</f>
        <v>RealECU_prcEngFricTq_PHY</v>
      </c>
      <c r="B378" s="9">
        <f t="array" ref="B378">COUNT(FIND("input",$D378:$BY378))</f>
        <v>0</v>
      </c>
      <c r="C378" s="9">
        <f t="array" ref="C378">COUNT(FIND("output",$D378:$BY378))</f>
        <v>1</v>
      </c>
      <c r="AH378" t="s">
        <v>2661</v>
      </c>
    </row>
    <row r="379" spans="1:34" ht="14.45" customHeight="1" x14ac:dyDescent="0.25">
      <c r="A379" s="9" t="str">
        <f>IF(ISBLANK('Signal Definition'!J379),"",'Signal Definition'!J379)</f>
        <v>RealECU_mflUreaDes_PHY</v>
      </c>
      <c r="B379" s="9">
        <f t="array" ref="B379">COUNT(FIND("input",$D379:$BY379))</f>
        <v>0</v>
      </c>
      <c r="C379" s="9">
        <f t="array" ref="C379">COUNT(FIND("output",$D379:$BY379))</f>
        <v>1</v>
      </c>
      <c r="AH379" t="s">
        <v>2661</v>
      </c>
    </row>
    <row r="380" spans="1:34" ht="14.45" customHeight="1" x14ac:dyDescent="0.25">
      <c r="A380" s="9" t="str">
        <f>IF(ISBLANK('Signal Definition'!J380),"",'Signal Definition'!J380)</f>
        <v>RealECU_nFanDes_PHY</v>
      </c>
      <c r="B380" s="9">
        <f t="array" ref="B380">COUNT(FIND("input",$D380:$BY380))</f>
        <v>0</v>
      </c>
      <c r="C380" s="9">
        <f t="array" ref="C380">COUNT(FIND("output",$D380:$BY380))</f>
        <v>1</v>
      </c>
      <c r="AH380" t="s">
        <v>2661</v>
      </c>
    </row>
    <row r="381" spans="1:34" ht="14.45" customHeight="1"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ht="14.45" customHeight="1" x14ac:dyDescent="0.25">
      <c r="A382" s="9" t="str">
        <f>IF(ISBLANK('Signal Definition'!J382),"",'Signal Definition'!J382)</f>
        <v>RealECU_trqEngSetInr_PHY</v>
      </c>
      <c r="B382" s="9">
        <f t="array" ref="B382">COUNT(FIND("input",$D382:$BY382))</f>
        <v>0</v>
      </c>
      <c r="C382" s="9">
        <f t="array" ref="C382">COUNT(FIND("output",$D382:$BY382))</f>
        <v>1</v>
      </c>
      <c r="AH382" t="s">
        <v>2661</v>
      </c>
    </row>
    <row r="383" spans="1:34" ht="14.45" customHeight="1" x14ac:dyDescent="0.25">
      <c r="A383" s="9" t="str">
        <f>IF(ISBLANK('Signal Definition'!J383),"",'Signal Definition'!J383)</f>
        <v>RealECU_prcTrbVlvDes_PHY</v>
      </c>
      <c r="B383" s="9">
        <f t="array" ref="B383">COUNT(FIND("input",$D383:$BY383))</f>
        <v>0</v>
      </c>
      <c r="C383" s="9">
        <f t="array" ref="C383">COUNT(FIND("output",$D383:$BY383))</f>
        <v>1</v>
      </c>
      <c r="AH383" t="s">
        <v>2661</v>
      </c>
    </row>
    <row r="384" spans="1:34" ht="14.45" customHeight="1" x14ac:dyDescent="0.25">
      <c r="A384" s="9" t="str">
        <f>IF(ISBLANK('Signal Definition'!J384),"",'Signal Definition'!J384)</f>
        <v>RealECU_prcEgrVlvDes_PHY</v>
      </c>
      <c r="B384" s="9">
        <f t="array" ref="B384">COUNT(FIND("input",$D384:$BY384))</f>
        <v>0</v>
      </c>
      <c r="C384" s="9">
        <f t="array" ref="C384">COUNT(FIND("output",$D384:$BY384))</f>
        <v>1</v>
      </c>
      <c r="AH384" t="s">
        <v>2661</v>
      </c>
    </row>
    <row r="385" spans="1:34" ht="14.45" customHeight="1" x14ac:dyDescent="0.25">
      <c r="A385" s="9" t="str">
        <f>IF(ISBLANK('Signal Definition'!J385),"",'Signal Definition'!J385)</f>
        <v>RealECU_prcThrVlvDes_PHY</v>
      </c>
      <c r="B385" s="9">
        <f t="array" ref="B385">COUNT(FIND("input",$D385:$BY385))</f>
        <v>0</v>
      </c>
      <c r="C385" s="9">
        <f t="array" ref="C385">COUNT(FIND("output",$D385:$BY385))</f>
        <v>1</v>
      </c>
      <c r="AH385" t="s">
        <v>2661</v>
      </c>
    </row>
    <row r="386" spans="1:34" ht="14.45" customHeight="1" x14ac:dyDescent="0.25">
      <c r="A386" s="9" t="str">
        <f>IF(ISBLANK('Signal Definition'!J386),"",'Signal Definition'!J386)</f>
        <v>RealECU_stCrsCtrl_PHY</v>
      </c>
      <c r="B386" s="9">
        <f t="array" ref="B386">COUNT(FIND("input",$D386:$BY386))</f>
        <v>0</v>
      </c>
      <c r="C386" s="9">
        <f t="array" ref="C386">COUNT(FIND("output",$D386:$BY386))</f>
        <v>1</v>
      </c>
      <c r="AH386" t="s">
        <v>2661</v>
      </c>
    </row>
    <row r="387" spans="1:34" ht="14.45" customHeight="1"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ht="14.45" customHeight="1" x14ac:dyDescent="0.25">
      <c r="A388" s="9" t="str">
        <f>IF(ISBLANK('Signal Definition'!J388),"",'Signal Definition'!J388)</f>
        <v>RealECU_vVehCrsCtrl_PHY</v>
      </c>
      <c r="B388" s="9">
        <f t="array" ref="B388">COUNT(FIND("input",$D388:$BY388))</f>
        <v>0</v>
      </c>
      <c r="C388" s="9">
        <f t="array" ref="C388">COUNT(FIND("output",$D388:$BY388))</f>
        <v>1</v>
      </c>
      <c r="AH388" t="s">
        <v>2661</v>
      </c>
    </row>
    <row r="389" spans="1:34" ht="14.45" customHeight="1" x14ac:dyDescent="0.25">
      <c r="A389" s="9" t="str">
        <f>IF(ISBLANK('Signal Definition'!J389),"",'Signal Definition'!J389)</f>
        <v>RealECU_pIntkMnfldDes_PHY</v>
      </c>
      <c r="B389" s="9">
        <f t="array" ref="B389">COUNT(FIND("input",$D389:$BY389))</f>
        <v>0</v>
      </c>
      <c r="C389" s="9">
        <f t="array" ref="C389">COUNT(FIND("output",$D389:$BY389))</f>
        <v>1</v>
      </c>
      <c r="AH389" t="s">
        <v>2661</v>
      </c>
    </row>
    <row r="390" spans="1:34" ht="14.45" customHeight="1"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ht="14.45" customHeight="1"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ht="14.45" customHeight="1" x14ac:dyDescent="0.25">
      <c r="A392" s="9" t="str">
        <f>IF(ISBLANK('Signal Definition'!J392),"",'Signal Definition'!J392)</f>
        <v>RealECU_swtAirCmpr_PHY</v>
      </c>
      <c r="B392" s="9">
        <f t="array" ref="B392">COUNT(FIND("input",$D392:$BY392))</f>
        <v>0</v>
      </c>
      <c r="C392" s="9">
        <f t="array" ref="C392">COUNT(FIND("output",$D392:$BY392))</f>
        <v>1</v>
      </c>
      <c r="AH392" t="s">
        <v>2661</v>
      </c>
    </row>
    <row r="393" spans="1:34" ht="14.45" customHeight="1" x14ac:dyDescent="0.25">
      <c r="A393" s="9" t="str">
        <f>IF(ISBLANK('Signal Definition'!J393),"",'Signal Definition'!J393)</f>
        <v>RealECU_pAirTank_PHY</v>
      </c>
      <c r="B393" s="9">
        <f t="array" ref="B393">COUNT(FIND("input",$D393:$BY393))</f>
        <v>0</v>
      </c>
      <c r="C393" s="9">
        <f t="array" ref="C393">COUNT(FIND("output",$D393:$BY393))</f>
        <v>1</v>
      </c>
      <c r="AH393" t="s">
        <v>2661</v>
      </c>
    </row>
    <row r="394" spans="1:34" ht="14.45" customHeight="1"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ht="14.45" customHeight="1"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ht="14.45" customHeight="1" x14ac:dyDescent="0.25">
      <c r="A396" s="9" t="str">
        <f>IF(ISBLANK('Signal Definition'!J396),"",'Signal Definition'!J396)</f>
        <v>RealECU_trqGenr_PHY</v>
      </c>
      <c r="B396" s="9">
        <f t="array" ref="B396">COUNT(FIND("input",$D396:$BY396))</f>
        <v>0</v>
      </c>
      <c r="C396" s="9">
        <f t="array" ref="C396">COUNT(FIND("output",$D396:$BY396))</f>
        <v>1</v>
      </c>
      <c r="AH396" t="s">
        <v>2661</v>
      </c>
    </row>
    <row r="397" spans="1:34" ht="14.45" customHeight="1" x14ac:dyDescent="0.25">
      <c r="A397" s="9" t="str">
        <f>IF(ISBLANK('Signal Definition'!J397),"",'Signal Definition'!J397)</f>
        <v>RealECU_nGenr_PHY</v>
      </c>
      <c r="B397" s="9">
        <f t="array" ref="B397">COUNT(FIND("input",$D397:$BY397))</f>
        <v>0</v>
      </c>
      <c r="C397" s="9">
        <f t="array" ref="C397">COUNT(FIND("output",$D397:$BY397))</f>
        <v>1</v>
      </c>
      <c r="AH397" t="s">
        <v>2661</v>
      </c>
    </row>
    <row r="398" spans="1:34" ht="14.45" customHeight="1" x14ac:dyDescent="0.25">
      <c r="A398" s="9" t="str">
        <f>IF(ISBLANK('Signal Definition'!J398),"",'Signal Definition'!J398)</f>
        <v>RealECU_tCooltSp_PHY</v>
      </c>
      <c r="B398" s="9">
        <f t="array" ref="B398">COUNT(FIND("input",$D398:$BY398))</f>
        <v>0</v>
      </c>
      <c r="C398" s="9">
        <f t="array" ref="C398">COUNT(FIND("output",$D398:$BY398))</f>
        <v>1</v>
      </c>
      <c r="AH398" t="s">
        <v>2661</v>
      </c>
    </row>
    <row r="399" spans="1:34" ht="14.45" customHeight="1" x14ac:dyDescent="0.25">
      <c r="A399" s="9" t="str">
        <f>IF(ISBLANK('Signal Definition'!J399),"",'Signal Definition'!J399)</f>
        <v>RealECU_tIntrTSp_PHY</v>
      </c>
      <c r="B399" s="9">
        <f t="array" ref="B399">COUNT(FIND("input",$D399:$BY399))</f>
        <v>0</v>
      </c>
      <c r="C399" s="9">
        <f t="array" ref="C399">COUNT(FIND("output",$D399:$BY399))</f>
        <v>1</v>
      </c>
      <c r="AH399" t="s">
        <v>2661</v>
      </c>
    </row>
    <row r="400" spans="1:34" ht="14.45" customHeight="1" x14ac:dyDescent="0.25">
      <c r="A400" s="9" t="str">
        <f>IF(ISBLANK('Signal Definition'!J400),"",'Signal Definition'!J400)</f>
        <v>RealECU_nCrksft_PHY</v>
      </c>
      <c r="B400" s="9">
        <f t="array" ref="B400">COUNT(FIND("input",$D400:$BY400))</f>
        <v>0</v>
      </c>
      <c r="C400" s="9">
        <f t="array" ref="C400">COUNT(FIND("output",$D400:$BY400))</f>
        <v>1</v>
      </c>
      <c r="AH400" t="s">
        <v>2661</v>
      </c>
    </row>
    <row r="401" spans="1:38" ht="14.45" customHeight="1" x14ac:dyDescent="0.25">
      <c r="A401" s="9" t="str">
        <f>IF(ISBLANK('Signal Definition'!J401),"",'Signal Definition'!J401)</f>
        <v>RealECU_trqEngTqOut_PHY</v>
      </c>
      <c r="B401" s="9">
        <f t="array" ref="B401">COUNT(FIND("input",$D401:$BY401))</f>
        <v>0</v>
      </c>
      <c r="C401" s="9">
        <f t="array" ref="C401">COUNT(FIND("output",$D401:$BY401))</f>
        <v>1</v>
      </c>
      <c r="AH401" t="s">
        <v>2661</v>
      </c>
    </row>
    <row r="402" spans="1:38" ht="14.45" customHeight="1"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ht="14.45" customHeight="1"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ht="14.45" customHeight="1"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ht="14.45" customHeight="1"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ht="14.45" customHeight="1"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ht="14.45" customHeight="1"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ht="14.45" customHeight="1" x14ac:dyDescent="0.25">
      <c r="A408" s="9" t="str">
        <f>IF(ISBLANK('Signal Definition'!J408),"",'Signal Definition'!J408)</f>
        <v>RealECU_vVehSpd_PHY</v>
      </c>
      <c r="B408" s="9">
        <f t="array" ref="B408">COUNT(FIND("input",$D408:$BY408))</f>
        <v>0</v>
      </c>
      <c r="C408" s="9">
        <f t="array" ref="C408">COUNT(FIND("output",$D408:$BY408))</f>
        <v>1</v>
      </c>
      <c r="AH408" t="s">
        <v>2661</v>
      </c>
    </row>
    <row r="409" spans="1:38" ht="14.45" customHeight="1" x14ac:dyDescent="0.25">
      <c r="A409" s="9" t="str">
        <f>IF(ISBLANK('Signal Definition'!J409),"",'Signal Definition'!J409)</f>
        <v>RealECU_lDstTrvld_PHY</v>
      </c>
      <c r="B409" s="9">
        <f t="array" ref="B409">COUNT(FIND("input",$D409:$BY409))</f>
        <v>0</v>
      </c>
      <c r="C409" s="9">
        <f t="array" ref="C409">COUNT(FIND("output",$D409:$BY409))</f>
        <v>1</v>
      </c>
      <c r="AH409" t="s">
        <v>2661</v>
      </c>
    </row>
    <row r="410" spans="1:38" ht="14.45" customHeight="1" x14ac:dyDescent="0.25">
      <c r="A410" s="9" t="str">
        <f>IF(ISBLANK('Signal Definition'!J410),"",'Signal Definition'!J410)</f>
        <v>RealECU_aVeh_PHY</v>
      </c>
      <c r="B410" s="9">
        <f t="array" ref="B410">COUNT(FIND("input",$D410:$BY410))</f>
        <v>0</v>
      </c>
      <c r="C410" s="9">
        <f t="array" ref="C410">COUNT(FIND("output",$D410:$BY410))</f>
        <v>1</v>
      </c>
      <c r="AH410" t="s">
        <v>2661</v>
      </c>
    </row>
    <row r="411" spans="1:38" ht="14.45" customHeight="1"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1</v>
      </c>
      <c r="AL412" t="s">
        <v>2661</v>
      </c>
    </row>
    <row r="413" spans="1:38" ht="14.45" customHeight="1"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ht="14.45" customHeight="1"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ht="14.45" customHeight="1"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ht="14.45" customHeight="1" x14ac:dyDescent="0.25">
      <c r="A416" s="9" t="str">
        <f>IF(ISBLANK('Signal Definition'!J416),"",'Signal Definition'!J416)</f>
        <v>RealRPU_tCooltSp_PHY</v>
      </c>
      <c r="B416" s="9">
        <f t="array" ref="B416">COUNT(FIND("input",$D416:$BY416))</f>
        <v>0</v>
      </c>
      <c r="C416" s="9">
        <f t="array" ref="C416">COUNT(FIND("output",$D416:$BY416))</f>
        <v>1</v>
      </c>
      <c r="AL416" t="s">
        <v>2661</v>
      </c>
    </row>
    <row r="417" spans="1:41" ht="14.45" customHeight="1" x14ac:dyDescent="0.25">
      <c r="A417" s="9" t="str">
        <f>IF(ISBLANK('Signal Definition'!J417),"",'Signal Definition'!J417)</f>
        <v>RealRPU_tIntrTSp_PHY</v>
      </c>
      <c r="B417" s="9">
        <f t="array" ref="B417">COUNT(FIND("input",$D417:$BY417))</f>
        <v>0</v>
      </c>
      <c r="C417" s="9">
        <f t="array" ref="C417">COUNT(FIND("output",$D417:$BY417))</f>
        <v>1</v>
      </c>
      <c r="AL417" t="s">
        <v>2661</v>
      </c>
    </row>
    <row r="418" spans="1:41" ht="14.45" customHeight="1" x14ac:dyDescent="0.25">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5">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5">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45" customHeight="1" x14ac:dyDescent="0.25">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45" customHeight="1" x14ac:dyDescent="0.25">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45" customHeight="1" x14ac:dyDescent="0.25">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45" customHeight="1" x14ac:dyDescent="0.25">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5">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5">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5">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5">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25">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5">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5">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5">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25">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25">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25">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5">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5">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5">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5">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5">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5">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25">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25">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25">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25">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25">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25">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25">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25">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25">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25">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25">
      <c r="A452" s="9" t="str">
        <f>IF(ISBLANK('Signal Definition'!J452),"",'Signal Definition'!J452)</f>
        <v>HrznAryCalcn_lDstHrznLst_INT</v>
      </c>
      <c r="B452" s="9">
        <f t="array" ref="B452">COUNT(FIND("input",$D452:$BY452))</f>
        <v>0</v>
      </c>
      <c r="C452" s="9">
        <f t="array" ref="C452">COUNT(FIND("output",$D452:$BY452))</f>
        <v>1</v>
      </c>
      <c r="AO452" t="s">
        <v>2661</v>
      </c>
    </row>
    <row r="453" spans="1:41" x14ac:dyDescent="0.25">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25">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25">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25">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25">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25">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25">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25">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25">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25">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25">
      <c r="A463" s="9" t="str">
        <f>IF(ISBLANK('Signal Definition'!J463),"",'Signal Definition'!J463)</f>
        <v>EgyFlowCoorr_prcDeltaEngLoad_INT</v>
      </c>
      <c r="B463" s="9">
        <f t="array" ref="B463">COUNT(FIND("input",$D463:$BY463))</f>
        <v>0</v>
      </c>
      <c r="C463" s="9">
        <f t="array" ref="C463">COUNT(FIND("output",$D463:$BY463))</f>
        <v>0</v>
      </c>
    </row>
    <row r="464" spans="1:41" x14ac:dyDescent="0.25">
      <c r="A464" s="9" t="str">
        <f>IF(ISBLANK('Signal Definition'!J464),"",'Signal Definition'!J464)</f>
        <v>EgyFlowCoorr_prcEngLoadPrevFlMean_INT</v>
      </c>
      <c r="B464" s="9">
        <f t="array" ref="B464">COUNT(FIND("input",$D464:$BY464))</f>
        <v>0</v>
      </c>
      <c r="C464" s="9">
        <f t="array" ref="C464">COUNT(FIND("output",$D464:$BY464))</f>
        <v>0</v>
      </c>
    </row>
    <row r="465" spans="1:3" x14ac:dyDescent="0.25">
      <c r="A465" s="9" t="str">
        <f>IF(ISBLANK('Signal Definition'!J465),"",'Signal Definition'!J465)</f>
        <v>EgyFlowCoorr_prcEngLoadHrznFlMeanCurrVal_INT</v>
      </c>
      <c r="B465" s="9">
        <f t="array" ref="B465">COUNT(FIND("input",$D465:$BY465))</f>
        <v>0</v>
      </c>
      <c r="C465" s="9">
        <f t="array" ref="C465">COUNT(FIND("output",$D465:$BY465))</f>
        <v>0</v>
      </c>
    </row>
    <row r="466" spans="1:3" x14ac:dyDescent="0.25">
      <c r="A466" s="9" t="str">
        <f>IF(ISBLANK('Signal Definition'!J466),"",'Signal Definition'!J466)</f>
        <v>EgyFlowCoorr_prcEngLoad_INT</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password="D3ED"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5"/>
  <sheetViews>
    <sheetView topLeftCell="G22" zoomScale="95" zoomScaleNormal="95" workbookViewId="0">
      <selection activeCell="P52" sqref="P52"/>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5">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5">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5">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5">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5">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5">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5">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5">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5">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5">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5">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5">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5">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5">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5">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5">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5">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5">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5">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5">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5">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1E-3</v>
      </c>
    </row>
    <row r="52" spans="1:16" x14ac:dyDescent="0.25">
      <c r="A52" t="s">
        <v>4240</v>
      </c>
      <c r="B52" t="s">
        <v>4241</v>
      </c>
      <c r="C52" t="s">
        <v>4242</v>
      </c>
      <c r="D52" t="s">
        <v>3697</v>
      </c>
      <c r="E52" t="s">
        <v>3849</v>
      </c>
      <c r="F52" t="s">
        <v>2701</v>
      </c>
      <c r="G52" t="s">
        <v>113</v>
      </c>
      <c r="H52" t="s">
        <v>2568</v>
      </c>
      <c r="I52" s="68" t="s">
        <v>4243</v>
      </c>
      <c r="J52" t="s">
        <v>14</v>
      </c>
      <c r="K52">
        <v>0</v>
      </c>
      <c r="L52">
        <v>0</v>
      </c>
      <c r="M52">
        <v>1</v>
      </c>
      <c r="N52">
        <v>2.0000000000000001E-10</v>
      </c>
      <c r="O52">
        <v>4294967296</v>
      </c>
      <c r="P52" s="54">
        <v>0</v>
      </c>
    </row>
    <row r="53" spans="1:16" x14ac:dyDescent="0.25">
      <c r="A53" t="s">
        <v>4244</v>
      </c>
      <c r="B53" t="s">
        <v>4245</v>
      </c>
      <c r="C53" t="s">
        <v>4246</v>
      </c>
      <c r="D53" t="s">
        <v>2716</v>
      </c>
      <c r="E53" t="s">
        <v>2717</v>
      </c>
      <c r="F53" t="s">
        <v>2669</v>
      </c>
      <c r="G53" t="s">
        <v>113</v>
      </c>
      <c r="H53" t="s">
        <v>2568</v>
      </c>
      <c r="I53" s="68" t="s">
        <v>4247</v>
      </c>
      <c r="J53" t="s">
        <v>14</v>
      </c>
      <c r="K53">
        <v>0</v>
      </c>
      <c r="L53">
        <v>0</v>
      </c>
      <c r="M53">
        <v>1</v>
      </c>
      <c r="N53">
        <v>2.0000000000000001E-10</v>
      </c>
      <c r="O53">
        <v>4294967296</v>
      </c>
      <c r="P53" s="54">
        <v>1</v>
      </c>
    </row>
    <row r="54" spans="1:16" x14ac:dyDescent="0.25">
      <c r="A54" t="s">
        <v>4248</v>
      </c>
      <c r="B54" t="s">
        <v>4249</v>
      </c>
      <c r="C54" t="s">
        <v>4250</v>
      </c>
      <c r="D54" t="s">
        <v>2716</v>
      </c>
      <c r="E54" t="s">
        <v>2717</v>
      </c>
      <c r="F54" t="s">
        <v>2669</v>
      </c>
      <c r="G54" t="s">
        <v>113</v>
      </c>
      <c r="H54" t="s">
        <v>2637</v>
      </c>
      <c r="I54" s="68" t="s">
        <v>4251</v>
      </c>
      <c r="J54" t="s">
        <v>14</v>
      </c>
      <c r="K54" t="s">
        <v>4252</v>
      </c>
      <c r="L54">
        <v>0</v>
      </c>
      <c r="M54">
        <v>5</v>
      </c>
      <c r="N54">
        <v>1.2E-9</v>
      </c>
      <c r="O54">
        <v>4294967296</v>
      </c>
      <c r="P54" s="54" t="s">
        <v>4253</v>
      </c>
    </row>
    <row r="55" spans="1:16" x14ac:dyDescent="0.25">
      <c r="A55" t="s">
        <v>4254</v>
      </c>
      <c r="B55" t="s">
        <v>4255</v>
      </c>
      <c r="C55" t="s">
        <v>4256</v>
      </c>
      <c r="D55" t="s">
        <v>2716</v>
      </c>
      <c r="E55" t="s">
        <v>2717</v>
      </c>
      <c r="F55" t="s">
        <v>2669</v>
      </c>
      <c r="G55" t="s">
        <v>113</v>
      </c>
      <c r="H55" t="s">
        <v>2638</v>
      </c>
      <c r="I55" s="68" t="s">
        <v>4257</v>
      </c>
      <c r="J55" t="s">
        <v>14</v>
      </c>
      <c r="K55" t="s">
        <v>4252</v>
      </c>
      <c r="L55">
        <v>0</v>
      </c>
      <c r="M55">
        <v>10</v>
      </c>
      <c r="N55">
        <v>2.2999999999999999E-9</v>
      </c>
      <c r="O55">
        <v>4294967296</v>
      </c>
      <c r="P55" s="54" t="s">
        <v>4258</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3746</v>
      </c>
    </row>
    <row r="16" spans="1:16" x14ac:dyDescent="0.25">
      <c r="A16" s="21" t="s">
        <v>165</v>
      </c>
      <c r="B16" s="21" t="s">
        <v>166</v>
      </c>
      <c r="C16" s="36"/>
      <c r="D16" s="19" t="s">
        <v>3146</v>
      </c>
      <c r="E16" s="20" t="s">
        <v>3149</v>
      </c>
      <c r="H16" s="34" t="s">
        <v>55</v>
      </c>
      <c r="I16" s="30" t="s">
        <v>54</v>
      </c>
      <c r="J16" s="32" t="s">
        <v>56</v>
      </c>
      <c r="M16" s="57" t="s">
        <v>3837</v>
      </c>
      <c r="N16" s="60" t="s">
        <v>3881</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3747</v>
      </c>
      <c r="H29" s="34" t="s">
        <v>123</v>
      </c>
      <c r="I29" s="30" t="s">
        <v>122</v>
      </c>
      <c r="J29" s="32" t="s">
        <v>113</v>
      </c>
    </row>
    <row r="30" spans="1:14" x14ac:dyDescent="0.25">
      <c r="A30" s="21" t="s">
        <v>193</v>
      </c>
      <c r="B30" s="21" t="s">
        <v>194</v>
      </c>
      <c r="C30" s="36"/>
      <c r="D30" s="19" t="s">
        <v>3752</v>
      </c>
      <c r="E30" s="20" t="s">
        <v>3753</v>
      </c>
      <c r="H30" s="34" t="s">
        <v>87</v>
      </c>
      <c r="I30" s="30" t="s">
        <v>86</v>
      </c>
      <c r="J30" s="32" t="s">
        <v>88</v>
      </c>
    </row>
    <row r="31" spans="1:14" x14ac:dyDescent="0.25">
      <c r="A31" s="21" t="s">
        <v>195</v>
      </c>
      <c r="B31" s="21" t="s">
        <v>196</v>
      </c>
      <c r="C31" s="36"/>
      <c r="D31" s="19" t="s">
        <v>3838</v>
      </c>
      <c r="E31" s="20" t="s">
        <v>3882</v>
      </c>
      <c r="H31" s="34" t="s">
        <v>70</v>
      </c>
      <c r="I31" s="30" t="s">
        <v>69</v>
      </c>
      <c r="J31" s="32" t="s">
        <v>71</v>
      </c>
    </row>
    <row r="32" spans="1:14" x14ac:dyDescent="0.25">
      <c r="A32" s="21" t="s">
        <v>197</v>
      </c>
      <c r="B32" s="21" t="s">
        <v>198</v>
      </c>
      <c r="C32" s="36"/>
      <c r="D32" s="19" t="s">
        <v>3840</v>
      </c>
      <c r="E32" s="20" t="s">
        <v>3883</v>
      </c>
      <c r="H32" s="34" t="s">
        <v>92</v>
      </c>
      <c r="I32" s="30" t="s">
        <v>91</v>
      </c>
      <c r="J32" s="32" t="s">
        <v>93</v>
      </c>
    </row>
    <row r="33" spans="1:10" x14ac:dyDescent="0.25">
      <c r="A33" s="21" t="s">
        <v>199</v>
      </c>
      <c r="B33" s="21" t="s">
        <v>200</v>
      </c>
      <c r="C33" s="36"/>
      <c r="D33" s="19" t="s">
        <v>3843</v>
      </c>
      <c r="E33" s="20" t="s">
        <v>3884</v>
      </c>
      <c r="H33" s="34" t="s">
        <v>125</v>
      </c>
      <c r="I33" s="30" t="s">
        <v>124</v>
      </c>
      <c r="J33" s="32" t="s">
        <v>113</v>
      </c>
    </row>
    <row r="34" spans="1:10" x14ac:dyDescent="0.25">
      <c r="A34" s="21" t="s">
        <v>201</v>
      </c>
      <c r="B34" s="21" t="s">
        <v>202</v>
      </c>
      <c r="C34" s="36"/>
      <c r="D34" s="19" t="s">
        <v>3849</v>
      </c>
      <c r="E34" s="20" t="s">
        <v>3885</v>
      </c>
      <c r="H34" s="34" t="s">
        <v>127</v>
      </c>
      <c r="I34" s="30" t="s">
        <v>126</v>
      </c>
      <c r="J34" s="32" t="s">
        <v>113</v>
      </c>
    </row>
    <row r="35" spans="1:10" x14ac:dyDescent="0.25">
      <c r="A35" s="21" t="s">
        <v>203</v>
      </c>
      <c r="B35" s="21" t="s">
        <v>204</v>
      </c>
      <c r="C35" s="36"/>
      <c r="D35" s="19" t="s">
        <v>3869</v>
      </c>
      <c r="E35" s="20" t="s">
        <v>3886</v>
      </c>
      <c r="H35" s="34" t="s">
        <v>95</v>
      </c>
      <c r="I35" s="30" t="s">
        <v>94</v>
      </c>
      <c r="J35" s="32" t="s">
        <v>96</v>
      </c>
    </row>
    <row r="36" spans="1:10" x14ac:dyDescent="0.25">
      <c r="A36" s="21" t="s">
        <v>2832</v>
      </c>
      <c r="B36" s="21" t="s">
        <v>2833</v>
      </c>
      <c r="C36" s="36"/>
      <c r="D36" s="19" t="s">
        <v>4020</v>
      </c>
      <c r="E36" s="20" t="s">
        <v>4021</v>
      </c>
      <c r="H36" s="34" t="s">
        <v>2338</v>
      </c>
      <c r="I36" s="30" t="s">
        <v>97</v>
      </c>
      <c r="J36" s="32" t="s">
        <v>2601</v>
      </c>
    </row>
    <row r="37" spans="1:10" x14ac:dyDescent="0.25">
      <c r="A37" s="21" t="s">
        <v>205</v>
      </c>
      <c r="B37" s="21" t="s">
        <v>206</v>
      </c>
      <c r="C37" s="36"/>
      <c r="D37" s="19" t="s">
        <v>4057</v>
      </c>
      <c r="E37" s="20" t="s">
        <v>4058</v>
      </c>
      <c r="H37" s="34" t="s">
        <v>99</v>
      </c>
      <c r="I37" s="30" t="s">
        <v>98</v>
      </c>
      <c r="J37" s="32" t="s">
        <v>100</v>
      </c>
    </row>
    <row r="38" spans="1:10" x14ac:dyDescent="0.25">
      <c r="A38" s="21" t="s">
        <v>207</v>
      </c>
      <c r="B38" s="21" t="s">
        <v>208</v>
      </c>
      <c r="C38" s="36"/>
      <c r="D38" s="19" t="s">
        <v>4059</v>
      </c>
      <c r="E38" s="20" t="s">
        <v>4060</v>
      </c>
      <c r="H38" s="34" t="s">
        <v>102</v>
      </c>
      <c r="I38" s="30" t="s">
        <v>101</v>
      </c>
      <c r="J38" s="32" t="s">
        <v>103</v>
      </c>
    </row>
    <row r="39" spans="1:10" x14ac:dyDescent="0.25">
      <c r="A39" s="21" t="s">
        <v>209</v>
      </c>
      <c r="B39" s="21" t="s">
        <v>209</v>
      </c>
      <c r="C39" s="36"/>
      <c r="D39" s="19" t="s">
        <v>4105</v>
      </c>
      <c r="E39" s="20" t="s">
        <v>4106</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3748</v>
      </c>
      <c r="B480" s="21" t="s">
        <v>3749</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3750</v>
      </c>
      <c r="B565" s="21" t="s">
        <v>3751</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3887</v>
      </c>
      <c r="B875" s="21" t="s">
        <v>3887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3888</v>
      </c>
      <c r="B1059" s="21" t="s">
        <v>3888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3889</v>
      </c>
      <c r="B1062" s="21" t="s">
        <v>3889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3890</v>
      </c>
      <c r="B1259" s="21" t="s">
        <v>3891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password="D3ED"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40"/>
  <sheetViews>
    <sheetView workbookViewId="0">
      <selection activeCell="E23" sqref="E23"/>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D25" t="s">
        <v>1901</v>
      </c>
      <c r="E25" s="53"/>
    </row>
    <row r="26" spans="1:5" x14ac:dyDescent="0.25">
      <c r="A26" t="s">
        <v>2615</v>
      </c>
      <c r="B26" s="17" t="s">
        <v>2674</v>
      </c>
      <c r="C26" t="s">
        <v>3556</v>
      </c>
      <c r="D26" t="s">
        <v>1901</v>
      </c>
      <c r="E26" s="53"/>
    </row>
    <row r="27" spans="1:5" x14ac:dyDescent="0.25">
      <c r="A27" t="s">
        <v>2663</v>
      </c>
      <c r="B27" s="17" t="s">
        <v>2782</v>
      </c>
      <c r="C27" t="s">
        <v>3616</v>
      </c>
      <c r="D27" t="s">
        <v>1901</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D30" t="s">
        <v>1901</v>
      </c>
      <c r="E30" s="53"/>
    </row>
    <row r="31" spans="1:5" x14ac:dyDescent="0.25">
      <c r="A31" t="s">
        <v>2663</v>
      </c>
      <c r="B31" s="17" t="s">
        <v>2782</v>
      </c>
      <c r="C31" t="s">
        <v>3752</v>
      </c>
      <c r="D31" t="s">
        <v>1901</v>
      </c>
      <c r="E31" s="53"/>
    </row>
    <row r="32" spans="1:5" x14ac:dyDescent="0.25">
      <c r="A32" t="s">
        <v>3892</v>
      </c>
      <c r="B32" s="17" t="s">
        <v>3837</v>
      </c>
      <c r="C32" t="s">
        <v>3838</v>
      </c>
      <c r="D32" t="s">
        <v>1901</v>
      </c>
      <c r="E32" s="53"/>
    </row>
    <row r="33" spans="1:4" x14ac:dyDescent="0.25">
      <c r="A33" t="s">
        <v>2405</v>
      </c>
      <c r="B33" s="17" t="s">
        <v>2716</v>
      </c>
      <c r="C33" t="s">
        <v>3840</v>
      </c>
      <c r="D33" t="s">
        <v>1901</v>
      </c>
    </row>
    <row r="34" spans="1:4" x14ac:dyDescent="0.25">
      <c r="A34" t="s">
        <v>3893</v>
      </c>
      <c r="B34" t="s">
        <v>37</v>
      </c>
      <c r="C34" t="s">
        <v>3843</v>
      </c>
      <c r="D34" t="s">
        <v>1901</v>
      </c>
    </row>
    <row r="35" spans="1:4" x14ac:dyDescent="0.25">
      <c r="A35" t="s">
        <v>2663</v>
      </c>
      <c r="B35" t="s">
        <v>3697</v>
      </c>
      <c r="C35" t="s">
        <v>3849</v>
      </c>
      <c r="D35" t="s">
        <v>1901</v>
      </c>
    </row>
    <row r="36" spans="1:4" x14ac:dyDescent="0.25">
      <c r="A36" t="s">
        <v>2663</v>
      </c>
      <c r="B36" t="s">
        <v>2782</v>
      </c>
      <c r="C36" t="s">
        <v>3869</v>
      </c>
      <c r="D36" t="s">
        <v>1901</v>
      </c>
    </row>
    <row r="37" spans="1:4" x14ac:dyDescent="0.25">
      <c r="A37" t="s">
        <v>2663</v>
      </c>
      <c r="B37" t="s">
        <v>2782</v>
      </c>
      <c r="C37" t="s">
        <v>4020</v>
      </c>
      <c r="D37" t="s">
        <v>1901</v>
      </c>
    </row>
    <row r="38" spans="1:4" x14ac:dyDescent="0.25">
      <c r="A38" t="s">
        <v>2663</v>
      </c>
      <c r="B38" t="s">
        <v>2782</v>
      </c>
      <c r="C38" t="s">
        <v>4057</v>
      </c>
      <c r="D38" t="s">
        <v>1901</v>
      </c>
    </row>
    <row r="39" spans="1:4" x14ac:dyDescent="0.25">
      <c r="A39" t="s">
        <v>2663</v>
      </c>
      <c r="B39" t="s">
        <v>2782</v>
      </c>
      <c r="C39" t="s">
        <v>4059</v>
      </c>
      <c r="D39" t="s">
        <v>1901</v>
      </c>
    </row>
    <row r="40" spans="1:4" x14ac:dyDescent="0.25">
      <c r="A40" t="s">
        <v>2663</v>
      </c>
      <c r="B40" t="s">
        <v>2782</v>
      </c>
      <c r="C40" t="s">
        <v>4105</v>
      </c>
      <c r="D40" t="s">
        <v>1901</v>
      </c>
    </row>
  </sheetData>
  <sheetProtection password="D3ED"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2"/>
  <sheetViews>
    <sheetView tabSelected="1" topLeftCell="A19" workbookViewId="0">
      <selection activeCell="A39" sqref="A39:A42"/>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row r="2" spans="1:5" x14ac:dyDescent="0.25">
      <c r="A2" t="s">
        <v>4072</v>
      </c>
      <c r="D2" t="s">
        <v>4217</v>
      </c>
      <c r="E2" t="s">
        <v>4200</v>
      </c>
    </row>
    <row r="3" spans="1:5" x14ac:dyDescent="0.25">
      <c r="A3" t="s">
        <v>4074</v>
      </c>
      <c r="D3" t="s">
        <v>4218</v>
      </c>
      <c r="E3" t="s">
        <v>4201</v>
      </c>
    </row>
    <row r="4" spans="1:5" x14ac:dyDescent="0.25">
      <c r="A4" t="s">
        <v>4080</v>
      </c>
      <c r="D4" t="s">
        <v>4219</v>
      </c>
      <c r="E4" t="s">
        <v>4202</v>
      </c>
    </row>
    <row r="5" spans="1:5" x14ac:dyDescent="0.25">
      <c r="A5" t="s">
        <v>4083</v>
      </c>
      <c r="D5" t="s">
        <v>4220</v>
      </c>
      <c r="E5" t="s">
        <v>4203</v>
      </c>
    </row>
    <row r="6" spans="1:5" x14ac:dyDescent="0.25">
      <c r="A6" t="s">
        <v>4112</v>
      </c>
      <c r="D6" t="s">
        <v>4221</v>
      </c>
      <c r="E6" t="s">
        <v>4204</v>
      </c>
    </row>
    <row r="7" spans="1:5" x14ac:dyDescent="0.25">
      <c r="A7" t="s">
        <v>4115</v>
      </c>
      <c r="D7" t="s">
        <v>4222</v>
      </c>
      <c r="E7" t="s">
        <v>4205</v>
      </c>
    </row>
    <row r="8" spans="1:5" x14ac:dyDescent="0.25">
      <c r="A8" t="s">
        <v>4118</v>
      </c>
      <c r="D8" t="s">
        <v>4223</v>
      </c>
      <c r="E8" t="s">
        <v>4206</v>
      </c>
    </row>
    <row r="9" spans="1:5" x14ac:dyDescent="0.25">
      <c r="A9" t="s">
        <v>4121</v>
      </c>
      <c r="D9" t="s">
        <v>4224</v>
      </c>
      <c r="E9" t="s">
        <v>4207</v>
      </c>
    </row>
    <row r="10" spans="1:5" x14ac:dyDescent="0.25">
      <c r="A10" t="s">
        <v>4124</v>
      </c>
      <c r="D10" t="s">
        <v>4225</v>
      </c>
      <c r="E10" t="s">
        <v>4208</v>
      </c>
    </row>
    <row r="11" spans="1:5" x14ac:dyDescent="0.25">
      <c r="A11" t="s">
        <v>4199</v>
      </c>
      <c r="D11" t="s">
        <v>4226</v>
      </c>
      <c r="E11" t="s">
        <v>4209</v>
      </c>
    </row>
    <row r="12" spans="1:5" x14ac:dyDescent="0.25">
      <c r="A12" t="s">
        <v>4125</v>
      </c>
      <c r="D12" t="s">
        <v>4227</v>
      </c>
      <c r="E12" t="s">
        <v>4210</v>
      </c>
    </row>
    <row r="13" spans="1:5" x14ac:dyDescent="0.25">
      <c r="A13" t="s">
        <v>4126</v>
      </c>
      <c r="D13" t="s">
        <v>4228</v>
      </c>
      <c r="E13" t="s">
        <v>4211</v>
      </c>
    </row>
    <row r="14" spans="1:5" x14ac:dyDescent="0.25">
      <c r="A14" t="s">
        <v>4127</v>
      </c>
      <c r="D14" t="s">
        <v>4229</v>
      </c>
      <c r="E14" t="s">
        <v>4212</v>
      </c>
    </row>
    <row r="15" spans="1:5" x14ac:dyDescent="0.25">
      <c r="A15" t="s">
        <v>4128</v>
      </c>
      <c r="D15" t="s">
        <v>4230</v>
      </c>
      <c r="E15" t="s">
        <v>4213</v>
      </c>
    </row>
    <row r="16" spans="1:5" x14ac:dyDescent="0.25">
      <c r="A16" t="s">
        <v>4131</v>
      </c>
      <c r="D16" t="s">
        <v>4231</v>
      </c>
      <c r="E16" t="s">
        <v>4214</v>
      </c>
    </row>
    <row r="17" spans="1:5" x14ac:dyDescent="0.25">
      <c r="A17" t="s">
        <v>4134</v>
      </c>
      <c r="D17" t="s">
        <v>4232</v>
      </c>
      <c r="E17" t="s">
        <v>4215</v>
      </c>
    </row>
    <row r="18" spans="1:5" x14ac:dyDescent="0.25">
      <c r="A18" t="s">
        <v>4137</v>
      </c>
      <c r="D18" t="s">
        <v>4233</v>
      </c>
      <c r="E18" t="s">
        <v>4216</v>
      </c>
    </row>
    <row r="19" spans="1:5" x14ac:dyDescent="0.25">
      <c r="A19" t="s">
        <v>4140</v>
      </c>
      <c r="D19" t="s">
        <v>4234</v>
      </c>
    </row>
    <row r="20" spans="1:5" x14ac:dyDescent="0.25">
      <c r="A20" t="s">
        <v>4143</v>
      </c>
      <c r="D20" t="s">
        <v>4235</v>
      </c>
    </row>
    <row r="21" spans="1:5" x14ac:dyDescent="0.25">
      <c r="A21" t="s">
        <v>4146</v>
      </c>
      <c r="D21" t="s">
        <v>4236</v>
      </c>
    </row>
    <row r="22" spans="1:5" x14ac:dyDescent="0.25">
      <c r="A22" t="s">
        <v>4149</v>
      </c>
      <c r="D22" t="s">
        <v>4237</v>
      </c>
    </row>
    <row r="23" spans="1:5" x14ac:dyDescent="0.25">
      <c r="A23" t="s">
        <v>4152</v>
      </c>
      <c r="D23" t="s">
        <v>4238</v>
      </c>
    </row>
    <row r="24" spans="1:5" x14ac:dyDescent="0.25">
      <c r="A24" t="s">
        <v>4156</v>
      </c>
      <c r="D24" t="s">
        <v>4239</v>
      </c>
    </row>
    <row r="25" spans="1:5" x14ac:dyDescent="0.25">
      <c r="A25" t="s">
        <v>4159</v>
      </c>
      <c r="D25" t="s">
        <v>4263</v>
      </c>
    </row>
    <row r="26" spans="1:5" x14ac:dyDescent="0.25">
      <c r="A26" t="s">
        <v>4162</v>
      </c>
      <c r="D26" t="s">
        <v>4264</v>
      </c>
    </row>
    <row r="27" spans="1:5" x14ac:dyDescent="0.25">
      <c r="A27" t="s">
        <v>4165</v>
      </c>
    </row>
    <row r="28" spans="1:5" x14ac:dyDescent="0.25">
      <c r="A28" t="s">
        <v>4168</v>
      </c>
    </row>
    <row r="29" spans="1:5" x14ac:dyDescent="0.25">
      <c r="A29" t="s">
        <v>4171</v>
      </c>
    </row>
    <row r="30" spans="1:5" x14ac:dyDescent="0.25">
      <c r="A30" t="s">
        <v>4174</v>
      </c>
    </row>
    <row r="31" spans="1:5" x14ac:dyDescent="0.25">
      <c r="A31" t="s">
        <v>4177</v>
      </c>
    </row>
    <row r="32" spans="1:5" x14ac:dyDescent="0.25">
      <c r="A32" t="s">
        <v>4180</v>
      </c>
    </row>
    <row r="33" spans="1:1" x14ac:dyDescent="0.25">
      <c r="A33" t="s">
        <v>4183</v>
      </c>
    </row>
    <row r="34" spans="1:1" x14ac:dyDescent="0.25">
      <c r="A34" t="s">
        <v>4186</v>
      </c>
    </row>
    <row r="35" spans="1:1" x14ac:dyDescent="0.25">
      <c r="A35" t="s">
        <v>4189</v>
      </c>
    </row>
    <row r="36" spans="1:1" x14ac:dyDescent="0.25">
      <c r="A36" t="s">
        <v>4192</v>
      </c>
    </row>
    <row r="37" spans="1:1" x14ac:dyDescent="0.25">
      <c r="A37" t="s">
        <v>4195</v>
      </c>
    </row>
    <row r="38" spans="1:1" x14ac:dyDescent="0.25">
      <c r="A38" t="s">
        <v>4198</v>
      </c>
    </row>
    <row r="39" spans="1:1" x14ac:dyDescent="0.25">
      <c r="A39" t="s">
        <v>4267</v>
      </c>
    </row>
    <row r="40" spans="1:1" x14ac:dyDescent="0.25">
      <c r="A40" t="s">
        <v>4270</v>
      </c>
    </row>
    <row r="41" spans="1:1" x14ac:dyDescent="0.25">
      <c r="A41" t="s">
        <v>4273</v>
      </c>
    </row>
    <row r="42" spans="1:1" x14ac:dyDescent="0.25">
      <c r="A42" t="s">
        <v>4275</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2019-03-25T14:50:15Z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