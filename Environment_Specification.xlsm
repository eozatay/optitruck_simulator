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C:\Users\sevren\Desktop\Projects\optiTruck Project\OptiTruck_Simulink_Model\08_02_2019\optitruck_simulator-master\"/>
    </mc:Choice>
  </mc:AlternateContent>
  <bookViews>
    <workbookView xWindow="0" yWindow="0" windowWidth="23040" windowHeight="9210" tabRatio="631"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Connections'!$A$2:$BK$1068</definedName>
    <definedName name="_xlnm._FilterDatabase" localSheetId="1" hidden="1">'Signal Definition'!$A$2:$Q$289</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G9" i="5"/>
  <c r="E9" i="5"/>
  <c r="G8" i="5"/>
  <c r="E8" i="5"/>
  <c r="F8" i="5" s="1"/>
  <c r="G7" i="5"/>
  <c r="E7" i="5"/>
  <c r="G6" i="5"/>
  <c r="E6" i="5"/>
  <c r="F6" i="5" s="1"/>
  <c r="G5" i="5"/>
  <c r="E5" i="5"/>
  <c r="F5" i="5" s="1"/>
  <c r="G4" i="5"/>
  <c r="E4" i="5"/>
  <c r="G3" i="5"/>
  <c r="E3" i="5"/>
  <c r="F3" i="5"/>
  <c r="G2" i="5"/>
  <c r="E2" i="5"/>
  <c r="BJ2" i="3"/>
  <c r="AQ2" i="3"/>
  <c r="AW2" i="3"/>
  <c r="BB2" i="3"/>
  <c r="K2" i="3"/>
  <c r="AR2" i="3"/>
  <c r="AN2" i="3"/>
  <c r="F2" i="3"/>
  <c r="H2" i="3"/>
  <c r="J2" i="3"/>
  <c r="BG2" i="3"/>
  <c r="G2" i="3"/>
  <c r="AT2" i="3"/>
  <c r="AC2" i="3"/>
  <c r="N2" i="3"/>
  <c r="W2" i="3"/>
  <c r="L2" i="3"/>
  <c r="AG2" i="3"/>
  <c r="BF2" i="3"/>
  <c r="AE2" i="3"/>
  <c r="I2" i="3"/>
  <c r="E2" i="3"/>
  <c r="Y2" i="3"/>
  <c r="V2" i="3"/>
  <c r="BI2" i="3"/>
  <c r="AD2" i="3"/>
  <c r="AV2" i="3"/>
  <c r="S2" i="3"/>
  <c r="BC2" i="3"/>
  <c r="AP2" i="3"/>
  <c r="AZ2" i="3"/>
  <c r="D2" i="3"/>
  <c r="AO2" i="3"/>
  <c r="AM2" i="3"/>
  <c r="AB2" i="3"/>
  <c r="M2" i="3"/>
  <c r="AK2" i="3"/>
  <c r="T2" i="3"/>
  <c r="BD2" i="3"/>
  <c r="P2" i="3"/>
  <c r="AY2" i="3"/>
  <c r="BK2" i="3"/>
  <c r="AU2" i="3"/>
  <c r="AI2" i="3"/>
  <c r="AX2" i="3"/>
  <c r="Q2" i="3"/>
  <c r="X2" i="3"/>
  <c r="BA2" i="3"/>
  <c r="BE2" i="3"/>
  <c r="O2" i="3"/>
  <c r="AH2" i="3"/>
  <c r="U2" i="3"/>
  <c r="AS2" i="3"/>
  <c r="AA2" i="3"/>
  <c r="AJ2" i="3"/>
  <c r="AF2" i="3"/>
  <c r="Z2" i="3"/>
  <c r="AL2" i="3"/>
  <c r="R2" i="3"/>
  <c r="BH2" i="3"/>
  <c r="F2" i="5" l="1"/>
  <c r="F9" i="5"/>
  <c r="F4" i="5"/>
  <c r="F7" i="5"/>
</calcChain>
</file>

<file path=xl/sharedStrings.xml><?xml version="1.0" encoding="utf-8"?>
<sst xmlns="http://schemas.openxmlformats.org/spreadsheetml/2006/main" count="8461" uniqueCount="3940">
  <si>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</si>
  <si>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</si>
  <si>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</si>
  <si>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</si>
  <si>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</si>
  <si>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</si>
  <si>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</si>
  <si>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</si>
  <si>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</si>
  <si>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</si>
  <si>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</si>
  <si>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</si>
  <si>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</si>
  <si>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</si>
  <si>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</si>
  <si>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</si>
  <si>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</si>
  <si>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</si>
  <si>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</si>
  <si>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</si>
  <si>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</si>
  <si>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</si>
  <si>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</si>
  <si>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</si>
  <si>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</si>
  <si>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</si>
  <si>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</si>
  <si>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</si>
  <si>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</si>
  <si>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</si>
  <si>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</si>
  <si>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</si>
  <si>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</si>
  <si>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</si>
  <si>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</si>
  <si>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</si>
  <si>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</si>
  <si>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</si>
  <si>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</si>
  <si>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</si>
  <si>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</si>
  <si>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</si>
  <si>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</si>
  <si>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</si>
  <si>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</si>
  <si>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</si>
  <si>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</si>
  <si>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</si>
  <si>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</si>
  <si>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</si>
  <si>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</si>
  <si>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</si>
  <si>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</si>
  <si>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</si>
  <si>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</si>
  <si>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</si>
  <si>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</si>
  <si>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</si>
  <si>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</si>
  <si>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</si>
  <si>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</si>
  <si>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</si>
  <si>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</si>
  <si>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</si>
  <si>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</si>
  <si>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</si>
  <si>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</si>
  <si>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</si>
  <si>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</si>
  <si>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</si>
  <si>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</si>
  <si>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</si>
  <si>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</si>
  <si>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</si>
  <si>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</si>
  <si>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</si>
  <si>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</si>
  <si>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</si>
  <si>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</si>
  <si>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</si>
  <si>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</si>
  <si>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</si>
  <si>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</si>
  <si>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</si>
  <si>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</si>
  <si>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</si>
  <si>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</si>
  <si>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</si>
  <si>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</si>
  <si>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</si>
  <si>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</si>
  <si>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</si>
  <si>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</si>
  <si>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</si>
  <si>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</si>
  <si>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</si>
  <si>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</si>
  <si>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</si>
  <si>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</si>
  <si>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</si>
  <si>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</si>
  <si>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</si>
  <si>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</si>
  <si>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</si>
  <si>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</si>
  <si>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</si>
  <si>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</si>
  <si>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</si>
  <si>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</si>
  <si>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</si>
  <si>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</si>
  <si>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</si>
  <si>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</si>
  <si>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</si>
  <si>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</si>
  <si>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</si>
  <si>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</si>
  <si>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</si>
  <si>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</si>
  <si>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</si>
  <si>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</si>
  <si>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</si>
  <si>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</si>
  <si>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</si>
  <si>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</si>
  <si>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</si>
  <si>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</si>
  <si>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</si>
  <si>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</si>
  <si>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</si>
  <si>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</si>
  <si>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</si>
  <si>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</si>
  <si>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</si>
  <si>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</si>
  <si>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</si>
  <si>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</si>
  <si>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</si>
  <si>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</si>
  <si>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</si>
  <si>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</si>
  <si>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</si>
  <si>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</si>
  <si>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</si>
  <si>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</si>
  <si>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</si>
  <si>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</si>
  <si>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</si>
  <si>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</si>
  <si>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</si>
  <si>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</si>
  <si>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</si>
  <si>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</si>
  <si>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</si>
  <si>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</si>
  <si>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</si>
  <si>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</si>
  <si>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</si>
  <si>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</si>
  <si>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</si>
  <si>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</si>
  <si>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</si>
  <si>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</si>
  <si>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</si>
  <si>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</si>
  <si>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</si>
  <si>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</si>
  <si>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</si>
  <si>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</si>
  <si>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</si>
  <si>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</si>
  <si>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</si>
  <si>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</si>
  <si>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</si>
  <si>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</si>
  <si>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</si>
  <si>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</si>
  <si>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</si>
  <si>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</si>
  <si>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</si>
  <si>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</si>
  <si>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</si>
  <si>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</si>
  <si>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</si>
  <si>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</si>
  <si>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</si>
  <si>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</si>
  <si>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</si>
  <si>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</si>
  <si>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</si>
  <si>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</si>
  <si>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</si>
  <si>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</si>
  <si>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</si>
  <si>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</si>
  <si>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</si>
  <si>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</si>
  <si>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</si>
  <si>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</si>
  <si>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</si>
  <si>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</si>
  <si>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</si>
  <si>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</si>
  <si>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</si>
  <si>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</si>
  <si>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</si>
  <si>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</si>
  <si>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</si>
  <si>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</si>
  <si>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</si>
  <si>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</si>
  <si>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</si>
  <si>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</si>
  <si>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</si>
  <si>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</si>
  <si>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</si>
  <si>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</si>
  <si>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</si>
  <si>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</si>
  <si>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</si>
  <si>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</si>
  <si>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</si>
  <si>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</si>
  <si>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</si>
  <si>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</si>
  <si>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</si>
  <si>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</si>
  <si>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</si>
  <si>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</si>
  <si>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</si>
  <si>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</si>
  <si>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</si>
  <si>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</si>
  <si>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</si>
  <si>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</si>
  <si>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</si>
  <si>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</si>
  <si>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</si>
  <si>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</si>
  <si>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</si>
  <si>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</si>
  <si>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</si>
  <si>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</si>
  <si>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</si>
  <si>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</si>
  <si>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</si>
  <si>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</si>
  <si>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</si>
  <si>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</si>
  <si>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</si>
  <si>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</si>
  <si>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</si>
  <si>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</si>
  <si>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</si>
  <si>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</si>
  <si>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</si>
  <si>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</si>
  <si>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</si>
  <si>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</si>
  <si>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</si>
  <si>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</si>
  <si>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</si>
  <si>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</si>
  <si>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</si>
  <si>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</si>
  <si>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</si>
  <si>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</si>
  <si>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</si>
  <si>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</si>
  <si>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</si>
  <si>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</si>
  <si>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</si>
  <si>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</si>
  <si>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</si>
  <si>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</si>
  <si>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</si>
  <si>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</si>
  <si>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</si>
  <si>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</si>
  <si>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</si>
  <si>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</si>
  <si>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</si>
  <si>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</si>
  <si>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</si>
  <si>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</si>
  <si>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</si>
  <si>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</si>
  <si>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</si>
  <si>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</si>
  <si>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</si>
  <si>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</si>
  <si>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</si>
  <si>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</si>
  <si>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</si>
  <si>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</si>
  <si>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</si>
  <si>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</si>
  <si>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</si>
  <si>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</si>
  <si>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</si>
  <si>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</si>
  <si>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</si>
  <si>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</si>
  <si>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</si>
  <si>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</si>
  <si>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</si>
  <si>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</si>
  <si>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</si>
  <si>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</si>
  <si>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</si>
  <si>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</si>
  <si>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</si>
  <si>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</si>
  <si>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</si>
  <si>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</si>
  <si>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</si>
  <si>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</si>
  <si>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</si>
  <si>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</si>
  <si>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</si>
  <si>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</si>
  <si>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</si>
  <si>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</si>
  <si>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</si>
  <si>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</si>
  <si>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</si>
  <si>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</si>
  <si>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</si>
  <si>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</si>
  <si>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</si>
  <si>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</si>
  <si>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</si>
  <si>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</si>
  <si>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</si>
  <si>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</si>
  <si>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</si>
  <si>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</si>
  <si>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</si>
  <si>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</si>
  <si>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</si>
  <si>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</si>
  <si>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</si>
  <si>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</si>
  <si>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</si>
  <si>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</si>
  <si>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</si>
  <si>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</si>
  <si>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</si>
  <si>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</si>
  <si>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</si>
  <si>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</si>
  <si>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</si>
  <si>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</si>
  <si>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</si>
  <si>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</si>
  <si>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</si>
  <si>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</si>
  <si>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</si>
  <si>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</si>
  <si>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</si>
  <si>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</si>
  <si>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</si>
  <si>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</si>
  <si>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</si>
  <si>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</si>
  <si>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</si>
  <si>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</si>
  <si>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</si>
  <si>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</si>
  <si>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</si>
  <si>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</si>
  <si>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</si>
  <si>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</si>
  <si>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</si>
  <si>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</si>
  <si>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</si>
  <si>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</si>
  <si>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</si>
  <si>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</si>
  <si>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</si>
  <si>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</si>
  <si>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</si>
  <si>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</si>
  <si>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</si>
  <si>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</si>
  <si>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</si>
  <si>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</si>
  <si>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</si>
  <si>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</si>
  <si>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</si>
  <si>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</si>
  <si>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</si>
  <si>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</si>
  <si>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</si>
  <si>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</si>
  <si>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</si>
  <si>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</si>
  <si>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</si>
  <si>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</si>
  <si>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</si>
  <si>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</si>
  <si>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</si>
  <si>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</si>
  <si>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</si>
  <si>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</si>
  <si>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</si>
  <si>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</si>
  <si>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</si>
  <si>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</si>
  <si>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</si>
  <si>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</si>
  <si>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</si>
  <si>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</si>
  <si>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</si>
  <si>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</si>
  <si>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</si>
  <si>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</si>
  <si>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</si>
  <si>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</si>
  <si>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</si>
  <si>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</si>
  <si>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</si>
  <si>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</si>
  <si>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</si>
  <si>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</si>
  <si>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</si>
  <si>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</si>
  <si>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</si>
  <si>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</si>
  <si>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</si>
  <si>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</si>
  <si>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</si>
  <si>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</si>
  <si>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</si>
  <si>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</si>
  <si>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</si>
  <si>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</si>
  <si>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</si>
  <si>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</si>
  <si>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</si>
  <si>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</si>
  <si>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</si>
  <si>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</si>
  <si>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</si>
  <si>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</si>
  <si>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</si>
  <si>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</si>
  <si>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</si>
  <si>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</si>
  <si>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</si>
  <si>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</si>
  <si>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</si>
  <si>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</si>
  <si>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</si>
  <si>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</si>
  <si>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</si>
  <si>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</si>
  <si>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</si>
  <si>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</si>
  <si>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</si>
  <si>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</si>
  <si>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</si>
  <si>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</si>
  <si>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</si>
  <si>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</si>
  <si>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</si>
  <si>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</si>
  <si>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</si>
  <si>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</si>
  <si>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</si>
  <si>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</si>
  <si>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</si>
  <si>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</si>
  <si>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</si>
  <si>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</si>
  <si>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</si>
  <si>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</si>
  <si>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</si>
  <si>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</si>
  <si>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</si>
  <si>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</si>
  <si>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</si>
  <si>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</si>
  <si>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</si>
  <si>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</si>
  <si>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</si>
  <si>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</si>
  <si>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</si>
  <si>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</si>
  <si>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</si>
  <si>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</si>
  <si>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</si>
  <si>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</si>
  <si>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</si>
  <si>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</si>
  <si>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</si>
  <si>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</si>
  <si>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</si>
  <si>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</si>
  <si>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</si>
  <si>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</si>
  <si>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</si>
  <si>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</si>
  <si>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</si>
  <si>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</si>
  <si>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</si>
  <si>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</si>
  <si>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</si>
  <si>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</si>
  <si>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</si>
  <si>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</si>
  <si>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</si>
  <si>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</si>
  <si>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</si>
  <si>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</si>
  <si>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</si>
  <si>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</si>
  <si>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</si>
  <si>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</si>
  <si>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</si>
  <si>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</si>
  <si>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</si>
  <si>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</si>
  <si>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</si>
  <si>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</si>
  <si>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</si>
  <si>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</si>
  <si>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</si>
  <si>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</si>
  <si>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</si>
  <si>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</si>
  <si>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</si>
  <si>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</si>
  <si>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</si>
  <si>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</si>
  <si>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</si>
  <si>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</si>
  <si>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</si>
  <si>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</si>
  <si>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</si>
  <si>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</si>
  <si>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</si>
  <si>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</si>
  <si>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</si>
  <si>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</si>
  <si>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</si>
  <si>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</si>
  <si>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</si>
  <si>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</si>
  <si>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</si>
  <si>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</si>
  <si>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</si>
  <si>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</si>
  <si>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</si>
  <si>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</si>
  <si>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</si>
  <si>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</si>
  <si>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</si>
  <si>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</si>
  <si>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</si>
  <si>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</si>
  <si>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</si>
  <si>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</si>
  <si>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</si>
  <si>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</si>
  <si>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</si>
  <si>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</si>
  <si>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</si>
  <si>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</si>
  <si>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</si>
  <si>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</si>
  <si>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</si>
  <si>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</si>
  <si>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</si>
  <si>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</si>
  <si>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</si>
  <si>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</si>
  <si>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</si>
  <si>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</si>
  <si>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</si>
  <si>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</si>
  <si>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</si>
  <si>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</si>
  <si>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</si>
  <si>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</si>
  <si>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</si>
  <si>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</si>
  <si>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</si>
  <si>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</si>
  <si>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</si>
  <si>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</si>
  <si>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</si>
  <si>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</si>
  <si>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</si>
  <si>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</si>
  <si>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</si>
  <si>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</si>
  <si>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</si>
  <si>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</si>
  <si>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</si>
  <si>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</si>
  <si>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</si>
  <si>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</si>
  <si>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</si>
  <si>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</si>
  <si>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</si>
  <si>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</si>
  <si>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</si>
  <si>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</si>
  <si>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</si>
  <si>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</si>
  <si>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</si>
  <si>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</si>
  <si>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</si>
  <si>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</si>
  <si>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</si>
  <si>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</si>
  <si>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</si>
  <si>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</si>
  <si>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</si>
  <si>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</si>
  <si>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</si>
  <si>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</si>
  <si>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</si>
  <si>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</si>
  <si>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</si>
  <si>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</si>
  <si>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</si>
  <si>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</si>
  <si>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</si>
  <si>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</si>
  <si>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</si>
  <si>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</si>
  <si>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</si>
  <si>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</si>
  <si>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</si>
  <si>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</si>
  <si>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</si>
  <si>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</si>
  <si>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</si>
  <si>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</si>
  <si>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</si>
  <si>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</si>
  <si>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</si>
  <si>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</si>
  <si>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</si>
  <si>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</si>
  <si>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</si>
  <si>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</si>
  <si>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</si>
  <si>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</si>
  <si>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</si>
  <si>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</si>
  <si>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</si>
  <si>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</si>
  <si>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</si>
  <si>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</si>
  <si>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</si>
  <si>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</si>
  <si>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</si>
  <si>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</si>
  <si>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</si>
  <si>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</si>
  <si>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</si>
  <si>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</si>
  <si>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</si>
  <si>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</si>
  <si>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</si>
  <si>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</si>
  <si>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</si>
  <si>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</si>
  <si>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</si>
  <si>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</si>
  <si>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</si>
  <si>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</si>
  <si>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</si>
  <si>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</si>
  <si>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</si>
  <si>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</si>
  <si>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</si>
  <si>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</si>
  <si>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</si>
  <si>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</si>
  <si>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</si>
  <si>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</si>
  <si>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</si>
  <si>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</si>
  <si>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</si>
  <si>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</si>
  <si>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</si>
  <si>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</si>
  <si>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</si>
  <si>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</si>
  <si>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</si>
  <si>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</si>
  <si>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</si>
  <si>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</si>
  <si>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</si>
  <si>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</si>
  <si>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</si>
  <si>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</si>
  <si>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</si>
  <si>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</si>
  <si>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</si>
  <si>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</si>
  <si>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</si>
  <si>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</si>
  <si>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</si>
  <si>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</si>
  <si>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</si>
  <si>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</si>
  <si>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</si>
  <si>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</si>
  <si>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</si>
  <si>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</si>
  <si>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</si>
  <si>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</si>
  <si>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</si>
  <si>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</si>
  <si>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</si>
  <si>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</si>
  <si>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</si>
  <si>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</si>
  <si>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</si>
  <si>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</si>
  <si>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</si>
  <si>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</si>
  <si>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</si>
  <si>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</si>
  <si>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</si>
  <si>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</si>
  <si>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</si>
  <si>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</si>
  <si>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</si>
  <si>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</si>
  <si>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</si>
  <si>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</si>
  <si>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</si>
  <si>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</si>
  <si>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</si>
  <si>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</si>
  <si>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</si>
  <si>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</si>
  <si>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</si>
  <si>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</si>
  <si>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</si>
  <si>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</si>
  <si>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</si>
  <si>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</si>
  <si>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</si>
  <si>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</si>
  <si>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</si>
  <si>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</si>
  <si>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</si>
  <si>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</si>
  <si>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</si>
  <si>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</si>
  <si>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</si>
  <si>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</si>
  <si>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</si>
  <si>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</si>
  <si>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</si>
  <si>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</si>
  <si>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</si>
  <si>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</si>
  <si>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</si>
  <si>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</si>
  <si>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</si>
  <si>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</si>
  <si>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</si>
  <si>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</si>
  <si>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</si>
  <si>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</si>
  <si>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</si>
  <si>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</si>
  <si>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</si>
  <si>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</si>
  <si>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</si>
  <si>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</si>
  <si>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</si>
  <si>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</si>
  <si>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</si>
  <si>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</si>
  <si>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</si>
  <si>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</si>
  <si>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</si>
  <si>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</si>
  <si>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</si>
  <si>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</si>
  <si>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</si>
  <si>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</si>
  <si>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</si>
  <si>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</si>
  <si>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</si>
  <si>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</si>
  <si>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</si>
  <si>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</si>
  <si>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</si>
  <si>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</si>
  <si>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</si>
  <si>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</si>
  <si>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</si>
  <si>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</si>
  <si>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</si>
  <si>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</si>
  <si>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</si>
  <si>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</si>
  <si>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</si>
  <si>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</si>
  <si>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</si>
  <si>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</si>
  <si>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</si>
  <si>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</si>
  <si>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</si>
  <si>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</si>
  <si>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</si>
  <si>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</si>
  <si>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</si>
  <si>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</si>
  <si>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</si>
  <si>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</si>
  <si>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</si>
  <si>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</si>
  <si>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</si>
  <si>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</si>
  <si>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</si>
  <si>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</si>
  <si>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</si>
  <si>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</si>
  <si>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</si>
  <si>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</si>
  <si>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</si>
  <si>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</si>
  <si>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</si>
  <si>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</si>
  <si>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</si>
  <si>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</si>
  <si>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</si>
  <si>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</si>
  <si>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</si>
  <si>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</si>
  <si>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</si>
  <si>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</si>
  <si>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</si>
  <si>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</si>
  <si>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</si>
  <si>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</si>
  <si>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</si>
  <si>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</si>
  <si>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</si>
  <si>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</si>
  <si>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</si>
  <si>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</si>
  <si>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</si>
  <si>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</si>
  <si>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</si>
  <si>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</si>
  <si>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</si>
  <si>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</si>
  <si>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</si>
  <si>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</si>
  <si>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</si>
  <si>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</si>
  <si>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</si>
  <si>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</si>
  <si>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</si>
  <si>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</si>
  <si>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</si>
  <si>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</si>
  <si>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</si>
  <si>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</si>
  <si>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</si>
  <si>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</si>
  <si>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</si>
  <si>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</si>
  <si>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</si>
  <si>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</si>
  <si>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</si>
  <si>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</si>
  <si>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</si>
  <si>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</si>
  <si>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</si>
  <si>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</si>
  <si>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</si>
  <si>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</si>
  <si>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</si>
  <si>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</si>
  <si>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</si>
  <si>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</si>
  <si>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</si>
  <si>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</si>
  <si>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</si>
  <si>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</si>
  <si>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</si>
  <si>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</si>
  <si>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</si>
  <si>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</si>
  <si>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</si>
  <si>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</si>
  <si>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</si>
  <si>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</si>
  <si>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</si>
  <si>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</si>
  <si>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</si>
  <si>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</si>
  <si>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</si>
  <si>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</si>
  <si>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</si>
  <si>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</si>
  <si>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</si>
  <si>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</si>
  <si>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</si>
  <si>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</si>
  <si>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</si>
  <si>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</si>
  <si>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</si>
  <si>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</si>
  <si>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</si>
  <si>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</si>
  <si>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</si>
  <si>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</si>
  <si>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</si>
  <si>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</si>
  <si>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</si>
  <si>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</si>
  <si>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</si>
  <si>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</si>
  <si>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</si>
  <si>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</si>
  <si>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</si>
  <si>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</si>
  <si>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</si>
  <si>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</si>
  <si>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</si>
  <si>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</si>
  <si>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</si>
  <si>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</si>
  <si>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</si>
  <si>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</si>
  <si>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</si>
  <si>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</si>
  <si>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</si>
  <si>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</si>
  <si>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</si>
  <si>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</si>
  <si>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</si>
  <si>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</si>
  <si>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</si>
  <si>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</si>
  <si>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</si>
  <si>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</si>
  <si>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</si>
  <si>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</si>
  <si>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</si>
  <si>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</si>
  <si>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</si>
  <si>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</si>
  <si>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</si>
  <si>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</si>
  <si>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</si>
  <si>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</si>
  <si>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</si>
  <si>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</si>
  <si>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</si>
  <si>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</si>
  <si>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</si>
  <si>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</si>
  <si>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</si>
  <si>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</si>
  <si>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</si>
  <si>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</si>
  <si>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</si>
  <si>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</si>
  <si>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</si>
  <si>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</si>
  <si>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</si>
  <si>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</si>
  <si>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</si>
  <si>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</si>
  <si>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</si>
  <si>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</si>
  <si>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</si>
  <si>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</si>
  <si>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</si>
  <si>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</si>
  <si>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</si>
  <si>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</si>
  <si>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</si>
  <si>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</si>
  <si>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</si>
  <si>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</si>
  <si>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</si>
  <si>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</si>
  <si>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</si>
  <si>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</si>
  <si>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</si>
  <si>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</si>
  <si>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</si>
  <si>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</si>
  <si>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</si>
  <si>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</si>
  <si>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</si>
  <si>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</si>
  <si>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</si>
  <si>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</si>
  <si>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</si>
  <si>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</si>
  <si>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</si>
  <si>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</si>
  <si>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</si>
  <si>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</si>
  <si>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</si>
  <si>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</si>
  <si>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</si>
  <si>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</si>
  <si>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</si>
  <si>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</si>
  <si>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</si>
  <si>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</si>
  <si>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</si>
  <si>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</si>
  <si>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</si>
  <si>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</si>
  <si>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</si>
  <si>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</si>
  <si>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</si>
  <si>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</si>
  <si>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</si>
  <si>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</si>
  <si>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</si>
  <si>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</si>
  <si>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</si>
  <si>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</si>
  <si>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</si>
  <si>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</si>
  <si>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</si>
  <si>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</si>
  <si>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</si>
  <si>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</si>
  <si>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</si>
  <si>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</si>
  <si>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</si>
  <si>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</si>
  <si>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</si>
  <si>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</si>
  <si>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</si>
  <si>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</si>
  <si>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</si>
  <si>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</si>
  <si>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</si>
  <si>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</si>
  <si>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</si>
  <si>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</si>
  <si>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</si>
  <si>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</si>
  <si>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</si>
  <si>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</si>
  <si>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</si>
  <si>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</si>
  <si>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</si>
  <si>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</si>
  <si>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</si>
  <si>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</si>
  <si>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</si>
  <si>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</si>
  <si>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</si>
  <si>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</si>
  <si>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</si>
  <si>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</si>
  <si>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</si>
  <si>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</si>
  <si>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</si>
  <si>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</si>
  <si>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</si>
  <si>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</si>
  <si>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</si>
  <si>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</si>
  <si>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</si>
  <si>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</si>
  <si>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</si>
  <si>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</si>
  <si>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</si>
  <si>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</si>
  <si>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</si>
  <si>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</si>
  <si>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</si>
  <si>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</si>
  <si>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</si>
  <si>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</si>
  <si>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</si>
  <si>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</si>
  <si>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</si>
  <si>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</si>
  <si>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</si>
  <si>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</si>
  <si>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</si>
  <si>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</si>
  <si>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</si>
  <si>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</si>
  <si>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</si>
  <si>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</si>
  <si>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</si>
  <si>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</si>
  <si>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</si>
  <si>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</si>
  <si>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</si>
  <si>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</si>
  <si>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</si>
  <si>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</si>
  <si>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</si>
  <si>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</si>
  <si>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</si>
  <si>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</si>
  <si>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</si>
  <si>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</si>
  <si>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</si>
  <si>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</si>
  <si>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</si>
  <si>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</si>
  <si>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</si>
  <si>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</si>
  <si>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</si>
  <si>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</si>
  <si>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</si>
  <si>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</si>
  <si>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</si>
  <si>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</si>
  <si>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</si>
  <si>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</si>
  <si>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</si>
  <si>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</si>
  <si>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</si>
  <si>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</si>
  <si>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</si>
  <si>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</si>
  <si>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</si>
  <si>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</si>
  <si>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</si>
  <si>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</si>
  <si>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</si>
  <si>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</si>
  <si>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</si>
  <si>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</si>
  <si>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</si>
  <si>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</si>
  <si>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</si>
  <si>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</si>
  <si>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</si>
  <si>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</si>
  <si>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</si>
  <si>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</si>
  <si>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</si>
  <si>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</si>
  <si>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</si>
  <si>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</si>
  <si>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</si>
  <si>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</si>
  <si>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</si>
  <si>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</si>
  <si>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</si>
  <si>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</si>
  <si>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</si>
  <si>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</si>
  <si>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</si>
  <si>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</si>
  <si>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</si>
  <si>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</si>
  <si>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</si>
  <si>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</si>
  <si>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</si>
  <si>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</si>
  <si>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</si>
  <si>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</si>
  <si>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</si>
  <si>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</si>
  <si>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</si>
  <si>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</si>
  <si>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</si>
  <si>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</si>
  <si>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</si>
  <si>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</si>
  <si>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</si>
  <si>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</si>
  <si>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</si>
  <si>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</si>
  <si>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</si>
  <si>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</si>
  <si>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</si>
  <si>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</si>
  <si>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</si>
  <si>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</si>
  <si>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</si>
  <si>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</si>
  <si>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</si>
  <si>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</si>
  <si>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</si>
  <si>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</si>
  <si>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</si>
  <si>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</si>
  <si>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</si>
  <si>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</si>
  <si>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</si>
  <si>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</si>
  <si>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</si>
  <si>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</si>
  <si>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</si>
  <si>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</si>
  <si>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</si>
  <si>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</si>
  <si>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</si>
  <si>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</si>
  <si>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</si>
  <si>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</si>
  <si>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</si>
  <si>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</si>
  <si>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</si>
  <si>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</si>
  <si>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</si>
  <si>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</si>
  <si>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</si>
  <si>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</si>
  <si>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</si>
  <si>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</si>
  <si>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</si>
  <si>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</si>
  <si>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</si>
  <si>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</si>
  <si>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</si>
  <si>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</si>
  <si>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</si>
  <si>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</si>
  <si>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</si>
  <si>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</si>
  <si>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</si>
  <si>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</si>
  <si>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</si>
  <si>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</si>
  <si>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</si>
  <si>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</si>
  <si>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</si>
  <si>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</si>
  <si>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</si>
  <si>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</si>
  <si>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</si>
  <si>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</si>
  <si>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</si>
  <si>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</si>
  <si>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</si>
  <si>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</si>
  <si>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</si>
  <si>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</si>
  <si>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</si>
  <si>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</si>
  <si>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</si>
  <si>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</si>
  <si>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</si>
  <si>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</si>
  <si>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</si>
  <si>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</si>
  <si>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</si>
  <si>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</si>
  <si>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</si>
  <si>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</si>
  <si>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</si>
  <si>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</si>
  <si>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</si>
  <si>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</si>
  <si>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</si>
  <si>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</si>
  <si>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</si>
  <si>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</si>
  <si>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</si>
  <si>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</si>
  <si>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</si>
  <si>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</si>
  <si>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</si>
  <si>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</si>
  <si>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</si>
  <si>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</si>
  <si>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</si>
  <si>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</si>
  <si>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</si>
  <si>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</si>
  <si>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</si>
  <si>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</si>
  <si>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</si>
  <si>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</si>
  <si>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</si>
  <si>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</si>
  <si>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</si>
  <si>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</si>
  <si>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</si>
  <si>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</si>
  <si>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</si>
  <si>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</si>
  <si>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</si>
  <si>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</si>
  <si>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</si>
  <si>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</si>
  <si>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</si>
  <si>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</si>
  <si>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</si>
  <si>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</si>
  <si>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</si>
  <si>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</si>
  <si>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</si>
  <si>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</si>
  <si>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</si>
  <si>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</si>
  <si>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</si>
  <si>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</si>
  <si>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</si>
  <si>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</si>
  <si>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</si>
  <si>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</si>
  <si>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</si>
  <si>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</si>
  <si>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</si>
  <si>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</si>
  <si>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</si>
  <si>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</si>
  <si>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</si>
  <si>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</si>
  <si>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</si>
  <si>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</si>
  <si>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</si>
  <si>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</si>
  <si>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</si>
  <si>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</si>
  <si>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</si>
  <si>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</si>
  <si>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</si>
  <si>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</si>
  <si>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</si>
  <si>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</si>
  <si>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</si>
  <si>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</si>
  <si>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</si>
  <si>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</si>
  <si>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</si>
  <si>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</si>
  <si>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</si>
  <si>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</si>
  <si>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</si>
  <si>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</si>
  <si>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</si>
  <si>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</si>
  <si>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</si>
  <si>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</si>
  <si>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</si>
  <si>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</si>
  <si>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</si>
  <si>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</si>
  <si>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</si>
  <si>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</si>
  <si>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</si>
  <si>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</si>
  <si>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</si>
  <si>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</si>
  <si>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</si>
  <si>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</si>
  <si>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</si>
  <si>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</si>
  <si>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</si>
  <si>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</si>
  <si>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</si>
  <si>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</si>
  <si>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</si>
  <si>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</si>
  <si>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</si>
  <si>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</si>
  <si>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</si>
  <si>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</si>
  <si>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</si>
  <si>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</si>
  <si>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</si>
  <si>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</si>
  <si>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</si>
  <si>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</si>
  <si>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</si>
  <si>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</si>
  <si>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</si>
  <si>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</si>
  <si>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</si>
  <si>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</si>
  <si>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</si>
  <si>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</si>
  <si>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</si>
  <si>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</si>
  <si>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</si>
  <si>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</si>
  <si>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</si>
  <si>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</si>
  <si>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</si>
  <si>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</si>
  <si>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</si>
  <si>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</si>
  <si>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</si>
  <si>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</si>
  <si>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</si>
  <si>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</si>
  <si>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</si>
  <si>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</si>
  <si>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</si>
  <si>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</si>
  <si>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</si>
  <si>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</si>
  <si>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</si>
  <si>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</si>
  <si>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</si>
  <si>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</si>
  <si>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</si>
  <si>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</si>
  <si>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</si>
  <si>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</si>
  <si>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</si>
  <si>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</si>
  <si>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</si>
  <si>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</si>
  <si>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</si>
  <si>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</si>
  <si>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</si>
  <si>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</si>
  <si>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</si>
  <si>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</si>
  <si>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</si>
  <si>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</si>
  <si>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</si>
  <si>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</si>
  <si>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</si>
  <si>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</si>
  <si>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</si>
  <si>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</si>
  <si>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</si>
  <si>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</si>
  <si>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</si>
  <si>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</si>
  <si>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</si>
  <si>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</si>
  <si>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</si>
  <si>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</si>
  <si>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</si>
  <si>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</si>
  <si>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</si>
  <si>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</si>
  <si>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</si>
  <si>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</si>
  <si>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</si>
  <si>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</si>
  <si>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</si>
  <si>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</si>
  <si>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</si>
  <si>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</si>
  <si>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</si>
  <si>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</si>
  <si>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</si>
  <si>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</si>
  <si>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</si>
  <si>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</si>
  <si>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</si>
  <si>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</si>
  <si>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</si>
  <si>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</si>
  <si>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</si>
  <si>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</si>
  <si>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</si>
  <si>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</si>
  <si>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</si>
  <si>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</si>
  <si>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</si>
  <si>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</si>
  <si>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</si>
  <si>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</si>
  <si>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</si>
  <si>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</si>
  <si>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</si>
  <si>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</si>
  <si>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</si>
  <si>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</si>
  <si>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</si>
  <si>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</si>
  <si>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</si>
  <si>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</si>
  <si>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</si>
  <si>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</si>
  <si>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</si>
  <si>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</si>
  <si>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</si>
  <si>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</si>
  <si>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</si>
  <si>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</si>
  <si>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</si>
  <si>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</si>
  <si>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</si>
  <si>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</si>
  <si>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</si>
  <si>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</si>
  <si>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</si>
  <si>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</si>
  <si>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</si>
  <si>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</si>
  <si>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</si>
  <si>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</si>
  <si>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</si>
  <si>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</si>
  <si>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</si>
  <si>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</si>
  <si>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</si>
  <si>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</si>
  <si>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</si>
  <si>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</si>
  <si>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</si>
  <si>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</si>
  <si>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</si>
  <si>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</si>
  <si>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</si>
  <si>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</si>
  <si>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</si>
  <si>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</si>
  <si>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</si>
  <si>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</si>
  <si>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</si>
  <si>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</si>
  <si>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</si>
  <si>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</si>
  <si>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</si>
  <si>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</si>
  <si>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</si>
  <si>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</si>
  <si>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</si>
  <si>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</si>
  <si>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</si>
  <si>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</si>
  <si>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</si>
  <si>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</si>
  <si>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</si>
  <si>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</si>
  <si>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</si>
  <si>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</si>
  <si>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</si>
  <si>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</si>
  <si>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</si>
  <si>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</si>
  <si>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</si>
  <si>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</si>
  <si>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</si>
  <si>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</si>
  <si>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</si>
  <si>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</si>
  <si>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</si>
  <si>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</si>
  <si>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</si>
  <si>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</si>
  <si>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</si>
  <si>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</si>
  <si>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</si>
  <si>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</si>
  <si>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</si>
  <si>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</si>
  <si>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</si>
  <si>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</si>
  <si>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</si>
  <si>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</si>
  <si>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</si>
  <si>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</si>
  <si>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</si>
  <si>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</si>
  <si>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</si>
  <si>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</si>
  <si>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</si>
  <si>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</si>
  <si>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</si>
  <si>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</si>
  <si>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</si>
  <si>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</si>
  <si>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</si>
  <si>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</si>
  <si>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</si>
  <si>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</si>
  <si>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</si>
  <si>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</si>
  <si>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</si>
  <si>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</si>
  <si>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</si>
  <si>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</si>
  <si>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</si>
  <si>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</si>
  <si>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</si>
  <si>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</si>
  <si>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</si>
  <si>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</si>
  <si>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</si>
  <si>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</si>
  <si>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</si>
  <si>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</si>
  <si>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</si>
  <si>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</si>
  <si>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</si>
  <si>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</si>
  <si>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</si>
  <si>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</si>
  <si>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</si>
  <si>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</si>
  <si>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</si>
  <si>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</si>
  <si>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</si>
  <si>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</si>
  <si>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</si>
  <si>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</si>
  <si>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</si>
  <si>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</si>
  <si>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</si>
  <si>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</si>
  <si>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</si>
  <si>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</si>
  <si>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</si>
  <si>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</si>
  <si>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</si>
  <si>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</si>
  <si>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</si>
  <si>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</si>
  <si>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</si>
  <si>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</si>
  <si>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</si>
  <si>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</si>
  <si>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</si>
  <si>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</si>
  <si>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</si>
  <si>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</si>
  <si>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</si>
  <si>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</si>
  <si>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</si>
  <si>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</si>
  <si>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</si>
  <si>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</si>
  <si>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</si>
  <si>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</si>
  <si>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</si>
  <si>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</si>
  <si>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</si>
  <si>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</si>
  <si>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</si>
  <si>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</si>
  <si>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</si>
  <si>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</si>
  <si>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</si>
  <si>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</si>
  <si>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</si>
  <si>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</si>
  <si>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</si>
  <si>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</si>
  <si>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</si>
  <si>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</si>
  <si>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</si>
  <si>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</si>
  <si>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</si>
  <si>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</si>
  <si>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</si>
  <si>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</si>
  <si>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</si>
  <si>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</si>
  <si>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</si>
  <si>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</si>
  <si>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</si>
  <si>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</si>
  <si>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</si>
  <si>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</si>
  <si>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</si>
  <si>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</si>
  <si>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</si>
  <si>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</si>
  <si>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</si>
  <si>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</si>
  <si>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</si>
  <si>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</si>
  <si>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</si>
  <si>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</si>
  <si>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</si>
  <si>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</si>
  <si>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</si>
  <si>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</si>
  <si>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</si>
  <si>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</si>
  <si>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</si>
  <si>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</si>
  <si>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</si>
  <si>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</si>
  <si>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</si>
  <si>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</si>
  <si>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</si>
  <si>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</si>
  <si>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</si>
  <si>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</si>
  <si>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</si>
  <si>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</si>
  <si>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</si>
  <si>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</si>
  <si>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</si>
  <si>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</si>
  <si>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</si>
  <si>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</si>
  <si>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</si>
  <si>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</si>
  <si>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</si>
  <si>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</si>
  <si>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</si>
  <si>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</si>
  <si>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</si>
  <si>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</si>
  <si>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</si>
  <si>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</si>
  <si>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</si>
  <si>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</si>
  <si>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</si>
  <si>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</si>
  <si>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</si>
  <si>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</si>
  <si>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</si>
  <si>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</si>
  <si>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</si>
  <si>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</si>
  <si>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</si>
  <si>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</si>
  <si>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</si>
  <si>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</si>
  <si>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</si>
  <si>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</si>
  <si>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</si>
  <si>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</si>
  <si>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</si>
  <si>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</si>
  <si>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</si>
  <si>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</si>
  <si>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</si>
  <si>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</si>
  <si>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</si>
  <si>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</si>
  <si>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</si>
  <si>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</si>
  <si>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</si>
  <si>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</si>
  <si>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</si>
  <si>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</si>
  <si>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</si>
  <si>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</si>
  <si>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</si>
  <si>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</si>
  <si>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</si>
  <si>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</si>
  <si>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</si>
  <si>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</si>
  <si>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</si>
  <si>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</si>
  <si>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</si>
  <si>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</si>
  <si>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</si>
  <si>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</si>
  <si>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</si>
  <si>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</si>
  <si>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</si>
  <si>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</si>
  <si>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</si>
  <si>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</si>
  <si>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</si>
  <si>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</si>
  <si>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</si>
  <si>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</si>
  <si>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</si>
  <si>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</si>
  <si>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</si>
  <si>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</si>
  <si>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</si>
  <si>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</si>
  <si>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</si>
  <si>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</si>
  <si>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</si>
  <si>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</si>
  <si>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</si>
  <si>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</si>
  <si>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</si>
  <si>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</si>
  <si>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</si>
  <si>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</si>
  <si>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</si>
  <si>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</si>
  <si>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</si>
  <si>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</si>
  <si>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</si>
  <si>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</si>
  <si>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</si>
  <si>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</si>
  <si>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</si>
  <si>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</si>
  <si>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</si>
  <si>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</si>
  <si>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</si>
  <si>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</si>
  <si>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</si>
  <si>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</si>
  <si>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</si>
  <si>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</si>
  <si>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</si>
  <si>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</si>
  <si>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</si>
  <si>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</si>
  <si>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</si>
  <si>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</si>
  <si>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</si>
  <si>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</si>
  <si>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</si>
  <si>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</si>
  <si>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</si>
  <si>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</si>
  <si>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</si>
  <si>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</si>
  <si>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</si>
  <si>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</si>
  <si>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</si>
  <si>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</si>
  <si>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</si>
  <si>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</si>
  <si>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</si>
  <si>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</si>
  <si>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</si>
  <si>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</si>
  <si>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</si>
  <si>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</si>
  <si>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</si>
  <si>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</si>
  <si>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</si>
  <si>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</si>
  <si>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</si>
  <si>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</si>
  <si>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</si>
  <si>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</si>
  <si>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</si>
  <si>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</si>
  <si>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</si>
  <si>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</si>
  <si>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</si>
  <si>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</si>
  <si>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</si>
  <si>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</si>
  <si>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</si>
  <si>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</si>
  <si>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</si>
  <si>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</si>
  <si>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</si>
  <si>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</si>
  <si>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</si>
  <si>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</si>
  <si>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</si>
  <si>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</si>
  <si>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</si>
  <si>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</si>
  <si>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</si>
  <si>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</si>
  <si>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</si>
  <si>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</si>
  <si>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</si>
  <si>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</si>
  <si>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</si>
  <si>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</si>
  <si>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</si>
  <si>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</si>
  <si>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</si>
  <si>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</si>
  <si>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</si>
  <si>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</si>
  <si>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</si>
  <si>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</si>
  <si>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</si>
  <si>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</si>
  <si>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</si>
  <si>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</si>
  <si>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</si>
  <si>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</si>
  <si>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</si>
  <si>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</si>
  <si>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</si>
  <si>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</si>
  <si>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</si>
  <si>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</si>
  <si>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</si>
  <si>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</si>
  <si>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</si>
  <si>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</si>
  <si>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</si>
  <si>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</si>
  <si>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</si>
  <si>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</si>
  <si>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</si>
  <si>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</si>
  <si>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</si>
  <si>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</si>
  <si>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</si>
  <si>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</si>
  <si>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</si>
  <si>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</si>
  <si>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</si>
  <si>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</si>
  <si>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</si>
  <si>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</si>
  <si>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</si>
  <si>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</si>
  <si>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</si>
  <si>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</si>
  <si>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</si>
  <si>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</si>
  <si>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</si>
  <si>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</si>
  <si>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</si>
  <si>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</si>
  <si>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</si>
  <si>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</si>
  <si>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</si>
  <si>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</si>
  <si>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</si>
  <si>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</si>
  <si>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</si>
  <si>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</si>
  <si>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</si>
  <si>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</si>
  <si>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</si>
  <si>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</si>
  <si>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</si>
  <si>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</si>
  <si>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</si>
  <si>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</si>
  <si>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</si>
  <si>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</si>
  <si>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</si>
  <si>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</si>
  <si>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</si>
  <si>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</si>
  <si>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</si>
  <si>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</si>
  <si>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</si>
  <si>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</si>
  <si>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</si>
  <si>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</si>
  <si>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</si>
  <si>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</si>
  <si>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</si>
  <si>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</si>
  <si>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</si>
  <si>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</si>
  <si>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</si>
  <si>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</si>
  <si>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</si>
  <si>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</si>
  <si>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</si>
  <si>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</si>
  <si>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</si>
  <si>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</si>
  <si>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</si>
  <si>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</si>
  <si>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</si>
  <si>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</si>
  <si>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</si>
  <si>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</si>
  <si>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</si>
  <si>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</si>
  <si>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</si>
  <si>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</si>
  <si>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</si>
  <si>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</si>
  <si>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</si>
  <si>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</si>
  <si>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</si>
  <si>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</si>
  <si>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</si>
  <si>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</si>
  <si>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</si>
  <si>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</si>
  <si>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</si>
  <si>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</si>
  <si>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</si>
  <si>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</si>
  <si>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</si>
  <si>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</si>
  <si>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</si>
  <si>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</si>
  <si>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</si>
  <si>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</si>
  <si>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</si>
  <si>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</si>
  <si>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</si>
  <si>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</si>
  <si>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</si>
  <si>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</si>
  <si>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</si>
  <si>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</si>
  <si>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</si>
  <si>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</si>
  <si>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</si>
  <si>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</si>
  <si>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</si>
  <si>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</si>
  <si>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</si>
  <si>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</si>
  <si>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</si>
  <si>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</si>
  <si>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</si>
  <si>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</si>
  <si>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</si>
  <si>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</si>
  <si>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</si>
  <si>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</si>
  <si>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</si>
  <si>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</si>
  <si>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</si>
  <si>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</si>
  <si>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</si>
  <si>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</si>
  <si>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</si>
  <si>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</si>
  <si>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</si>
  <si>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</si>
  <si>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</si>
  <si>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</si>
  <si>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</si>
  <si>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</si>
  <si>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</si>
  <si>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</si>
  <si>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</si>
  <si>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</si>
  <si>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</si>
  <si>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</si>
  <si>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</si>
  <si>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</si>
  <si>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</si>
  <si>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</si>
  <si>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</si>
  <si>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</si>
  <si>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</si>
  <si>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</si>
  <si>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</si>
  <si>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</si>
  <si>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</si>
  <si>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</si>
  <si>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</si>
  <si>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</si>
  <si>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</si>
  <si>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</si>
  <si>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</si>
  <si>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</si>
  <si>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</si>
  <si>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</si>
  <si>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</si>
  <si>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</si>
  <si>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</si>
  <si>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</si>
  <si>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</si>
  <si>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</si>
  <si>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</si>
  <si>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</si>
  <si>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</si>
  <si>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</si>
  <si>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</si>
  <si>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</si>
  <si>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</si>
  <si>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</si>
  <si>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</si>
  <si>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</si>
  <si>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</si>
  <si>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</si>
  <si>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</si>
  <si>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</si>
  <si>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</si>
  <si>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</si>
  <si>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</si>
  <si>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</si>
  <si>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</si>
  <si>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</si>
  <si>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</si>
  <si>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</si>
  <si>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</si>
  <si>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</si>
  <si>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</si>
  <si>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</si>
  <si>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</si>
  <si>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</si>
  <si>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</si>
  <si>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</si>
  <si>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</si>
  <si>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</si>
  <si>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</si>
  <si>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</si>
  <si>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</si>
  <si>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</si>
  <si>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</si>
  <si>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</si>
  <si>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</si>
  <si>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</si>
  <si>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</si>
  <si>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</si>
  <si>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</si>
  <si>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</si>
  <si>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</si>
  <si>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</si>
  <si>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</si>
  <si>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</si>
  <si>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</si>
  <si>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</si>
  <si>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</si>
  <si>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</si>
  <si>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</si>
  <si>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</si>
  <si>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</si>
  <si>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</si>
  <si>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</si>
  <si>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</si>
  <si>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</si>
  <si>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</si>
  <si>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</si>
  <si>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</si>
  <si>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</si>
  <si>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</si>
  <si>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</si>
  <si>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</si>
  <si>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</si>
  <si>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</si>
  <si>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</si>
  <si>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</si>
  <si>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</si>
  <si>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</si>
  <si>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</si>
  <si>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</si>
  <si>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</si>
  <si>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</si>
  <si>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</si>
  <si>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</si>
  <si>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</si>
  <si>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</si>
  <si>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</si>
  <si>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</si>
  <si>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</si>
  <si>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</si>
  <si>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</si>
  <si>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</si>
  <si>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</si>
  <si>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</si>
  <si>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</si>
  <si>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</si>
  <si>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</si>
  <si>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</si>
  <si>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</si>
  <si>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</si>
  <si>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</si>
  <si>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</si>
  <si>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</si>
  <si>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</si>
  <si>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</si>
  <si>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</si>
  <si>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</si>
  <si>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</si>
  <si>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</si>
  <si>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</si>
  <si>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</si>
  <si>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</si>
  <si>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</si>
  <si>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</si>
  <si>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</si>
  <si>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</si>
  <si>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</si>
  <si>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</si>
  <si>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</si>
  <si>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</si>
  <si>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</si>
  <si>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</si>
  <si>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</si>
  <si>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</si>
  <si>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</si>
  <si>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</si>
  <si>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</si>
  <si>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</si>
  <si>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</si>
  <si>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</si>
  <si>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</si>
  <si>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</si>
  <si>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</si>
  <si>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</si>
  <si>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</si>
  <si>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</si>
  <si>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</si>
  <si>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</si>
  <si>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</si>
  <si>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</si>
  <si>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</si>
  <si>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</si>
  <si>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</si>
  <si>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</si>
  <si>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</si>
  <si>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</si>
  <si>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</si>
  <si>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</si>
  <si>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</si>
  <si>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</si>
  <si>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</si>
  <si>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</si>
  <si>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</si>
  <si>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</si>
  <si>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</si>
  <si>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</si>
  <si>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</si>
  <si>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</si>
  <si>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</si>
  <si>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</si>
  <si>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</si>
  <si>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</si>
  <si>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</si>
  <si>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</si>
  <si>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</si>
  <si>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</si>
  <si>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</si>
  <si>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</si>
  <si>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</si>
  <si>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</si>
  <si>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</si>
  <si>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</si>
  <si>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</si>
  <si>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</si>
  <si>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</si>
  <si>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</si>
  <si>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</si>
  <si>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</si>
  <si>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</si>
  <si>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</si>
  <si>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</si>
  <si>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</si>
  <si>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</si>
  <si>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</si>
  <si>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</si>
  <si>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</si>
  <si>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</si>
  <si>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</si>
  <si>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</si>
  <si>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</si>
  <si>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</si>
  <si>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</si>
  <si>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</si>
  <si>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</si>
  <si>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</si>
  <si>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</si>
  <si>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</si>
  <si>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</si>
  <si>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</si>
  <si>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</si>
  <si>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</si>
  <si>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</si>
  <si>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</si>
  <si>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</si>
  <si>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</si>
  <si>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</si>
  <si>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</si>
  <si>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</si>
  <si>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</si>
  <si>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</si>
  <si>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</si>
  <si>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</si>
  <si>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</si>
  <si>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</si>
  <si>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</si>
  <si>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</si>
  <si>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</si>
  <si>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</si>
  <si>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</si>
  <si>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</si>
  <si>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</si>
  <si>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</si>
  <si>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</si>
  <si>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</si>
  <si>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</si>
  <si>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</si>
  <si>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</si>
  <si>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</si>
  <si>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</si>
  <si>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</si>
  <si>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</si>
  <si>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</si>
  <si>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</si>
  <si>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</si>
  <si>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</si>
  <si>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</si>
  <si>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</si>
  <si>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</si>
  <si>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</si>
  <si>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</si>
  <si>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</si>
  <si>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</si>
  <si>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</si>
  <si>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</si>
  <si>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</si>
  <si>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</si>
  <si>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</si>
  <si>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</si>
  <si>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</si>
  <si>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</si>
  <si>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</si>
  <si>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</si>
  <si>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</si>
  <si>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</si>
  <si>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</si>
  <si>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</si>
  <si>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</si>
  <si>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</si>
  <si>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</si>
  <si>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</si>
  <si>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</si>
  <si>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</si>
  <si>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</si>
  <si>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</si>
  <si>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</si>
  <si>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</si>
  <si>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</si>
  <si>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</si>
  <si>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</si>
  <si>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</si>
  <si>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</si>
  <si>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</si>
  <si>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</si>
  <si>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</si>
  <si>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</si>
  <si>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</si>
  <si>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</si>
  <si>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</si>
  <si>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</si>
  <si>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</si>
  <si>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</si>
  <si>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</si>
  <si>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</si>
  <si>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</si>
  <si>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</si>
  <si>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</si>
  <si>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</si>
  <si>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</si>
  <si>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</si>
  <si>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</si>
  <si>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</si>
  <si>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</si>
  <si>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</si>
  <si>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</si>
  <si>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</si>
  <si>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</si>
  <si>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</si>
  <si>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</si>
  <si>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</si>
  <si>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</si>
  <si>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</si>
  <si>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</si>
  <si>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</si>
  <si>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</si>
  <si>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</si>
  <si>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</si>
  <si>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</si>
  <si>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</si>
  <si>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</si>
  <si>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</si>
  <si>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</si>
  <si>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</si>
  <si>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</si>
  <si>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</si>
  <si>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</si>
  <si>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</si>
  <si>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</si>
  <si>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</si>
  <si>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</si>
  <si>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</si>
  <si>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</si>
  <si>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</si>
  <si>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</si>
  <si>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</si>
  <si>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</si>
  <si>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</si>
  <si>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</si>
  <si>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</si>
  <si>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</si>
  <si>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</si>
  <si>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</si>
  <si>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</si>
  <si>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</si>
  <si>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</si>
  <si>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</si>
  <si>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</si>
  <si>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</si>
  <si>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</si>
  <si>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</si>
  <si>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</si>
  <si>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</si>
  <si>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</si>
  <si>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</si>
  <si>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</si>
  <si>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</si>
  <si>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</si>
  <si>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</si>
  <si>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</si>
  <si>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</si>
  <si>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</si>
  <si>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</si>
  <si>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</si>
  <si>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</si>
  <si>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</si>
  <si>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</si>
  <si>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</si>
  <si>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</si>
  <si>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</si>
  <si>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</si>
  <si>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</si>
  <si>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</si>
  <si>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</si>
  <si>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</si>
  <si>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</si>
  <si>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</si>
  <si>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</si>
  <si>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</si>
  <si>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</si>
  <si>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</si>
  <si>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</si>
  <si>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</si>
  <si>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</si>
  <si>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</si>
  <si>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</si>
  <si>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</si>
  <si>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</si>
  <si>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</si>
  <si>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</si>
  <si>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</si>
  <si>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</si>
  <si>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</si>
  <si>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</si>
  <si>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</si>
  <si>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</si>
  <si>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</si>
  <si>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</si>
  <si>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</si>
  <si>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</si>
  <si>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</si>
  <si>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</si>
  <si>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</si>
  <si>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</si>
  <si>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</si>
  <si>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</si>
  <si>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</si>
  <si>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</si>
  <si>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</si>
  <si>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</si>
  <si>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</si>
  <si>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</si>
  <si>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</si>
  <si>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</si>
  <si>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</si>
  <si>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</si>
  <si>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</si>
  <si>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</si>
  <si>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</si>
  <si>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</si>
  <si>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</si>
  <si>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</si>
  <si>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</si>
  <si>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</si>
  <si>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</si>
  <si>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</si>
  <si>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</si>
  <si>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</si>
  <si>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</si>
  <si>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</si>
  <si>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</si>
  <si>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</si>
  <si>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</si>
  <si>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</si>
  <si>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</si>
  <si>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</si>
  <si>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</si>
  <si>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</si>
  <si>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</si>
  <si>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</si>
  <si>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</si>
  <si>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</si>
  <si>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</si>
  <si>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</si>
  <si>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</si>
  <si>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</si>
  <si>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</si>
  <si>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</si>
  <si>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</si>
  <si>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</si>
  <si>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</si>
  <si>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</si>
  <si>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</si>
  <si>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</si>
  <si>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</si>
  <si>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</si>
  <si>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</si>
  <si>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</si>
  <si>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</si>
  <si>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</si>
  <si>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</si>
  <si>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</si>
  <si>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</si>
  <si>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</si>
  <si>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</si>
  <si>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</si>
  <si>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</si>
  <si>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</si>
  <si>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</si>
  <si>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</si>
  <si>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</si>
  <si>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</si>
  <si>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</si>
  <si>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</si>
  <si>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</si>
  <si>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</si>
  <si>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</si>
  <si>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</si>
  <si>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</si>
  <si>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</si>
  <si>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</si>
  <si>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</si>
  <si>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</si>
  <si>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</si>
  <si>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</si>
  <si>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</si>
  <si>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</si>
  <si>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</si>
  <si>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</si>
  <si>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</si>
  <si>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</si>
  <si>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</si>
  <si>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</si>
  <si>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</si>
  <si>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</si>
  <si>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</si>
  <si>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</si>
  <si>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</si>
  <si>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</si>
  <si>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</si>
  <si>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</si>
  <si>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</si>
  <si>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</si>
  <si>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</si>
  <si>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</si>
  <si>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</si>
  <si>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</si>
  <si>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</si>
  <si>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</si>
  <si>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</si>
  <si>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</si>
  <si>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</si>
  <si>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</si>
  <si>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</si>
  <si>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</si>
  <si>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</si>
  <si>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</si>
  <si>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</si>
  <si>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</si>
  <si>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</si>
  <si>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</si>
  <si>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</si>
  <si>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</si>
  <si>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</si>
  <si>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</si>
  <si>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</si>
  <si>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</si>
  <si>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</si>
  <si>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</si>
  <si>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</si>
  <si>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</si>
  <si>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</si>
  <si>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</si>
  <si>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</si>
  <si>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</si>
  <si>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</si>
  <si>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</si>
  <si>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</si>
  <si>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</si>
  <si>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</si>
  <si>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</si>
  <si>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</si>
  <si>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</si>
  <si>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</si>
  <si>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</si>
  <si>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</si>
  <si>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</si>
  <si>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</si>
  <si>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</si>
  <si>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</si>
  <si>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</si>
  <si>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</si>
  <si>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</si>
  <si>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</si>
  <si>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</si>
  <si>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</si>
  <si>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</si>
  <si>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</si>
  <si>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</si>
  <si>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</si>
  <si>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</si>
  <si>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</si>
  <si>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</si>
  <si>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</si>
  <si>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</si>
  <si>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</si>
  <si>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</si>
  <si>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</si>
  <si>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</si>
  <si>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</si>
  <si>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</si>
  <si>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</si>
  <si>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</si>
  <si>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</si>
  <si>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</si>
  <si>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</si>
  <si>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</si>
  <si>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</si>
  <si>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</si>
  <si>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</si>
  <si>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</si>
  <si>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</si>
  <si>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</si>
  <si>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</si>
  <si>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</si>
  <si>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</si>
  <si>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</si>
  <si>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</si>
  <si>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</si>
  <si>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</si>
  <si>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</si>
  <si>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</si>
  <si>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</si>
  <si>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</si>
  <si>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</si>
  <si>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</si>
  <si>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</si>
  <si>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</si>
  <si>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</si>
  <si>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</si>
  <si>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</si>
  <si>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</si>
  <si>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</si>
  <si>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</si>
  <si>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</si>
  <si>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</si>
  <si>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</si>
  <si>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</si>
  <si>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</si>
  <si>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</si>
  <si>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</si>
  <si>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</si>
  <si>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</si>
  <si>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</si>
  <si>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</si>
  <si>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</si>
  <si>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</si>
  <si>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</si>
  <si>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</si>
  <si>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</si>
  <si>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</si>
  <si>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</si>
  <si>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</si>
  <si>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</si>
  <si>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</si>
  <si>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</si>
  <si>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</si>
  <si>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</si>
  <si>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</si>
  <si>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</si>
  <si>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</si>
  <si>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</si>
  <si>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</si>
  <si>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</si>
  <si>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</si>
  <si>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</si>
  <si>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</si>
  <si>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</si>
  <si>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</si>
  <si>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</si>
  <si>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</si>
  <si>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</si>
  <si>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</si>
  <si>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</si>
  <si>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</si>
  <si>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</si>
  <si>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</si>
  <si>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</si>
  <si>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</si>
  <si>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</si>
  <si>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</si>
  <si>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</si>
  <si>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</si>
  <si>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</si>
  <si>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</si>
  <si>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</si>
  <si>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</si>
  <si>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</si>
  <si>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</si>
  <si>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</si>
  <si>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</si>
  <si>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</si>
  <si>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</si>
  <si>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</si>
  <si>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</si>
  <si>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</si>
  <si>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</si>
  <si>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</si>
  <si>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</si>
  <si>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</si>
  <si>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</si>
  <si>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</si>
  <si>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</si>
  <si>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</si>
  <si>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</si>
  <si>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</si>
  <si>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</si>
  <si>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</si>
  <si>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</si>
  <si>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</si>
  <si>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</si>
  <si>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</si>
  <si>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</si>
  <si>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</si>
  <si>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</si>
  <si>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</si>
  <si>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</si>
  <si>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</si>
  <si>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</si>
  <si>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</si>
  <si>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</si>
  <si>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</si>
  <si>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</si>
  <si>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</si>
  <si>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</si>
  <si>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</si>
  <si>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</si>
  <si>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</si>
  <si>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</si>
  <si>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</si>
  <si>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</si>
  <si>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</si>
  <si>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</si>
  <si>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</si>
  <si>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</si>
  <si>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</si>
  <si>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</si>
  <si>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</si>
  <si>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</si>
  <si>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</si>
  <si>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</si>
  <si>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</si>
  <si>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</si>
  <si>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</si>
  <si>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</si>
  <si>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</si>
  <si>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</si>
  <si>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</si>
  <si>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</si>
  <si>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</si>
  <si>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</si>
  <si>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</si>
  <si>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</si>
  <si>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</si>
  <si>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</si>
  <si>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</si>
  <si>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</si>
  <si>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</si>
  <si>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</si>
  <si>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</si>
  <si>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</si>
  <si>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</si>
  <si>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</si>
  <si>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</si>
  <si>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</si>
  <si>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</si>
  <si>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</si>
  <si>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</si>
  <si>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</si>
  <si>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</si>
  <si>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</si>
  <si>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</si>
  <si>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</si>
  <si>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</si>
  <si>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</si>
  <si>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</si>
  <si>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</si>
  <si>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</si>
  <si>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</si>
  <si>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</si>
  <si>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</si>
  <si>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</si>
  <si>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</si>
  <si>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</si>
  <si>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</si>
  <si>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</si>
  <si>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</si>
  <si>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</si>
  <si>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</si>
  <si>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</si>
  <si>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</si>
  <si>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</si>
  <si>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</si>
  <si>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</si>
  <si>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</si>
  <si>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</si>
  <si>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</si>
  <si>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</si>
  <si>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</si>
  <si>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</si>
  <si>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</si>
  <si>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</si>
  <si>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</si>
  <si>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</si>
  <si>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</si>
  <si>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</si>
  <si>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</si>
  <si>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</si>
  <si>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</si>
  <si>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</si>
  <si>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</si>
  <si>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</si>
  <si>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</si>
  <si>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</si>
  <si>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</si>
  <si>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</si>
  <si>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</si>
  <si>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</si>
  <si>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</si>
  <si>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</si>
  <si>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</si>
  <si>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</si>
  <si>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</si>
  <si>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</si>
  <si>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</si>
  <si>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</si>
  <si>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</si>
  <si>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</si>
  <si>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</si>
  <si>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</si>
  <si>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</si>
  <si>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</si>
  <si>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</si>
  <si>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</si>
  <si>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</si>
  <si>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</si>
  <si>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</si>
  <si>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</si>
  <si>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</si>
  <si>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</si>
  <si>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</si>
  <si>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</si>
  <si>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</si>
  <si>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</si>
  <si>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</si>
  <si>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</si>
  <si>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</si>
  <si>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</si>
  <si>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</si>
  <si>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</si>
  <si>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</si>
  <si>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</si>
  <si>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</si>
  <si>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</si>
  <si>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</si>
  <si>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</si>
  <si>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</si>
  <si>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</si>
  <si>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</si>
  <si>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</si>
  <si>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</si>
  <si>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</si>
  <si>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</si>
  <si>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</si>
  <si>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</si>
  <si>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</si>
  <si>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</si>
  <si>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</si>
  <si>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</si>
  <si>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</si>
  <si>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</si>
  <si>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</si>
  <si>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</si>
  <si>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</si>
  <si>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</si>
  <si>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</si>
  <si>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</si>
  <si>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</si>
  <si>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</si>
  <si>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</si>
  <si>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</si>
  <si>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</si>
  <si>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</si>
  <si>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</si>
  <si>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</si>
  <si>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</si>
  <si>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</si>
  <si>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</si>
  <si>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</si>
  <si>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</si>
  <si>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</si>
  <si>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</si>
  <si>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</si>
  <si>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</si>
  <si>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</si>
  <si>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</si>
  <si>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</si>
  <si>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</si>
  <si>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</si>
  <si>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</si>
  <si>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</si>
  <si>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</si>
  <si>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</si>
  <si>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</si>
  <si>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</si>
  <si>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</si>
  <si>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</si>
  <si>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</si>
  <si>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</si>
  <si>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</si>
  <si>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</si>
  <si>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</si>
  <si>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</si>
  <si>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</si>
  <si>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</si>
  <si>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</si>
  <si>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</si>
  <si>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</si>
  <si>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</si>
  <si>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</si>
  <si>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</si>
  <si>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</si>
  <si>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</si>
  <si>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</si>
  <si>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</si>
  <si>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</si>
  <si>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</si>
  <si>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</si>
  <si>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</si>
  <si>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</si>
  <si>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</si>
  <si>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</si>
  <si>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</si>
  <si>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</si>
  <si>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</si>
  <si>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</si>
  <si>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</si>
  <si>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</si>
  <si>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</si>
  <si>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</si>
  <si>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</si>
  <si>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</si>
  <si>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</si>
  <si>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</si>
  <si>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</si>
  <si>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</si>
  <si>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</si>
  <si>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</si>
  <si>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</si>
  <si>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</si>
  <si>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</si>
  <si>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</si>
  <si>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</si>
  <si>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</si>
  <si>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</si>
  <si>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</si>
  <si>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</si>
  <si>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</si>
  <si>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</si>
  <si>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</si>
  <si>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</si>
  <si>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</si>
  <si>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</si>
  <si>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</si>
  <si>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</si>
  <si>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</si>
  <si>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</si>
  <si>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</si>
  <si>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</si>
  <si>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</si>
  <si>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</si>
  <si>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</si>
  <si>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</si>
  <si>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</si>
  <si>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</si>
  <si>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</si>
  <si>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</si>
  <si>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</si>
  <si>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</si>
  <si>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</si>
  <si>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</si>
  <si>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</si>
  <si>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</si>
  <si>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</si>
  <si>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</si>
  <si>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</si>
  <si>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</si>
  <si>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</si>
  <si>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</si>
  <si>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</si>
  <si>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</si>
  <si>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</si>
  <si>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</si>
  <si>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</si>
  <si>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</si>
  <si>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</si>
  <si>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</si>
  <si>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</si>
  <si>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</si>
  <si>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</si>
  <si>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</si>
  <si>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</si>
  <si>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</si>
  <si>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</si>
  <si>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</si>
  <si>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</si>
  <si>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</si>
  <si>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</si>
  <si>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</si>
  <si>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</si>
  <si>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</si>
  <si>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</si>
  <si>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</si>
  <si>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</si>
  <si>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</si>
  <si>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</si>
  <si>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</si>
  <si>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</si>
  <si>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</si>
  <si>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</si>
  <si>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</si>
  <si>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</si>
  <si>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</si>
  <si>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</si>
  <si>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</si>
  <si>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</si>
  <si>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</si>
  <si>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</si>
  <si>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</si>
  <si>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</si>
  <si>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</si>
  <si>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</si>
  <si>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</si>
  <si>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</si>
  <si>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</si>
  <si>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</si>
  <si>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</si>
  <si>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</si>
  <si>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</si>
  <si>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</si>
  <si>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</si>
  <si>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</si>
  <si>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</si>
  <si>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</si>
  <si>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</si>
  <si>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</si>
  <si>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</si>
  <si>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</si>
  <si>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</si>
  <si>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</si>
  <si>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</si>
  <si>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</si>
  <si>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</si>
  <si>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</si>
  <si>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</si>
  <si>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</si>
  <si>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</si>
  <si>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</si>
  <si>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</si>
  <si>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</si>
  <si>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</si>
  <si>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</si>
  <si>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</si>
  <si>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</si>
  <si>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</si>
  <si>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</si>
  <si>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</si>
  <si>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</si>
  <si>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</si>
  <si>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</si>
  <si>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</si>
  <si>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</si>
  <si>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</si>
  <si>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</si>
  <si>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</si>
  <si>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</si>
  <si>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</si>
  <si>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</si>
  <si>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</si>
  <si>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</si>
  <si>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</si>
  <si>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</si>
  <si>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</si>
  <si>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</si>
  <si>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</si>
  <si>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</si>
  <si>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</si>
  <si>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</si>
  <si>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</si>
  <si>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</si>
  <si>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</si>
  <si>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</si>
  <si>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</si>
  <si>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</si>
  <si>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</si>
  <si>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</si>
  <si>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</si>
  <si>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</si>
  <si>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</si>
  <si>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</si>
  <si>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</si>
  <si>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</si>
  <si>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</si>
  <si>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</si>
  <si>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</si>
  <si>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</si>
  <si>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</si>
  <si>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</si>
  <si>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</si>
  <si>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</si>
  <si>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</si>
  <si>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</si>
  <si>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</si>
  <si>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</si>
  <si>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</si>
  <si>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</si>
  <si>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</si>
  <si>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</si>
  <si>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</si>
  <si>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</si>
  <si>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</si>
  <si>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</si>
  <si>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</si>
  <si>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</si>
  <si>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</si>
  <si>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</si>
  <si>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</si>
  <si>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</si>
  <si>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</si>
  <si>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</si>
  <si>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</si>
  <si>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</si>
  <si>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</si>
  <si>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</si>
  <si>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</si>
  <si>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</si>
  <si>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</si>
  <si>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</si>
  <si>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</si>
  <si>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</si>
  <si>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</si>
  <si>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</si>
  <si>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</si>
  <si>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</si>
  <si>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</si>
  <si>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</si>
  <si>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</si>
  <si>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</si>
  <si>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</si>
  <si>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</si>
  <si>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</si>
  <si>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</si>
  <si>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</si>
  <si>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</si>
  <si>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</si>
  <si>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</si>
  <si>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</si>
  <si>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</si>
  <si>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</si>
  <si>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</si>
  <si>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</si>
  <si>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</si>
  <si>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</si>
  <si>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</si>
  <si>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</si>
  <si>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</si>
  <si>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</si>
  <si>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</si>
  <si>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</si>
  <si>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</si>
  <si>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</si>
  <si>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</si>
  <si>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</si>
  <si>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</si>
  <si>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</si>
  <si>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</si>
  <si>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</si>
  <si>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</si>
  <si>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</si>
  <si>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</si>
  <si>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</si>
  <si>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</si>
  <si>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</si>
  <si>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</si>
  <si>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</si>
  <si>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</si>
  <si>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</si>
  <si>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</si>
  <si>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</si>
  <si>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</si>
  <si>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</si>
  <si>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</si>
  <si>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</si>
  <si>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</si>
  <si>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</si>
  <si>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</si>
  <si>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</si>
  <si>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</si>
  <si>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</si>
  <si>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</si>
  <si>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</si>
  <si>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</si>
  <si>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</si>
  <si>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</si>
  <si>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</si>
  <si>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</si>
  <si>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</si>
  <si>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</si>
  <si>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</si>
  <si>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</si>
  <si>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</si>
  <si>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</si>
  <si>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</si>
  <si>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</si>
  <si>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</si>
  <si>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</si>
  <si>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</si>
  <si>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</si>
  <si>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</si>
  <si>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</si>
  <si>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</si>
  <si>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</si>
  <si>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</si>
  <si>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</si>
  <si>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</si>
  <si>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</si>
  <si>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</si>
  <si>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</si>
  <si>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</si>
  <si>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</si>
  <si>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</si>
  <si>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</si>
  <si>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</si>
  <si>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</si>
  <si>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</si>
  <si>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</si>
  <si>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</si>
  <si>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</si>
  <si>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</si>
  <si>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</si>
  <si>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</si>
  <si>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</si>
  <si>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</si>
  <si>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</si>
  <si>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</si>
  <si>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</si>
  <si>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</si>
  <si>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</si>
  <si>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</si>
  <si>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</si>
  <si>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</si>
  <si>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</si>
  <si>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</si>
  <si>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</si>
  <si>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</si>
  <si>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</si>
  <si>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</si>
  <si>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</si>
  <si>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</si>
  <si>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</si>
  <si>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</si>
  <si>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</si>
  <si>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</si>
  <si>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</si>
  <si>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</si>
  <si>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</si>
  <si>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</si>
  <si>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</si>
  <si>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</si>
  <si>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</si>
  <si>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</si>
  <si>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</si>
  <si>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</si>
  <si>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</si>
  <si>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</si>
  <si>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</si>
  <si>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</si>
  <si>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</si>
  <si>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</si>
  <si>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</si>
  <si>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</si>
  <si>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</si>
  <si>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</si>
  <si>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</si>
  <si>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</si>
  <si>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</si>
  <si>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</si>
  <si>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</si>
  <si>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</si>
  <si>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</si>
  <si>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</si>
  <si>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</si>
  <si>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</si>
  <si>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</si>
  <si>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</si>
  <si>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</si>
  <si>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</si>
  <si>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</si>
  <si>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</si>
  <si>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</si>
  <si>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</si>
  <si>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</si>
  <si>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</si>
  <si>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</si>
  <si>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</si>
  <si>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</si>
  <si>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</si>
  <si>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</si>
  <si>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</si>
  <si>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</si>
  <si>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</si>
  <si>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</si>
  <si>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</si>
  <si>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</si>
  <si>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</si>
  <si>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</si>
  <si>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</si>
  <si>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</si>
  <si>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</si>
  <si>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</si>
  <si>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</si>
  <si>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</si>
  <si>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</si>
  <si>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</si>
  <si>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</si>
  <si>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</si>
  <si>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</si>
  <si>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</si>
  <si>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</si>
  <si>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</si>
  <si>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</si>
  <si>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</si>
  <si>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</si>
  <si>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</si>
  <si>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</si>
  <si>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</si>
  <si>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</si>
  <si>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</si>
  <si>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</si>
  <si>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</si>
  <si>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</si>
  <si>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</si>
  <si>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</si>
  <si>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</si>
  <si>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</si>
  <si>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</si>
  <si>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</si>
  <si>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</si>
  <si>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</si>
  <si>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</si>
  <si>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</si>
  <si>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</si>
  <si>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</si>
  <si>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</si>
  <si>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</si>
  <si>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</si>
  <si>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</si>
  <si>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</si>
  <si>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</si>
  <si>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</si>
  <si>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</si>
  <si>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</si>
  <si>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</si>
  <si>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</si>
  <si>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</si>
  <si>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</si>
  <si>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</si>
  <si>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</si>
  <si>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</si>
  <si>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</si>
  <si>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</si>
  <si>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</si>
  <si>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</si>
  <si>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</si>
  <si>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</si>
  <si>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</si>
  <si>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</si>
  <si>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</si>
  <si>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</si>
  <si>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</si>
  <si>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</si>
  <si>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</si>
  <si>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</si>
  <si>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</si>
  <si>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</si>
  <si>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</si>
  <si>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</si>
  <si>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</si>
  <si>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</si>
  <si>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</si>
  <si>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</si>
  <si>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</si>
  <si>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</si>
  <si>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</si>
  <si>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</si>
  <si>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</si>
  <si>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</si>
  <si>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</si>
  <si>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</si>
  <si>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</si>
  <si>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</si>
  <si>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</si>
  <si>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</si>
  <si>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</si>
  <si>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</si>
  <si>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</si>
  <si>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</si>
  <si>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</si>
  <si>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</si>
  <si>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</si>
  <si>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</si>
  <si>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</si>
  <si>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</si>
  <si>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</si>
  <si>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</si>
  <si>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</si>
  <si>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</si>
  <si>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</si>
  <si>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</si>
  <si>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</si>
  <si>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</si>
  <si>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</si>
  <si>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</si>
  <si>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</si>
  <si>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</si>
  <si>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</si>
  <si>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</si>
  <si>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</si>
  <si>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</si>
  <si>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</si>
  <si>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</si>
  <si>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</si>
  <si>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</si>
  <si>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</si>
  <si>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</si>
  <si>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</si>
  <si>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</si>
  <si>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</si>
  <si>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</si>
  <si>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</si>
  <si>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</si>
  <si>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</si>
  <si>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</si>
  <si>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</si>
  <si>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</si>
  <si>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</si>
  <si>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</si>
  <si>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</si>
  <si>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</si>
  <si>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</si>
  <si>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</si>
  <si>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</si>
  <si>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</si>
  <si>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</si>
  <si>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</si>
  <si>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</si>
  <si>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</si>
  <si>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</si>
  <si>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</si>
  <si>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</si>
  <si>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</si>
  <si>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</si>
  <si>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</si>
  <si>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</si>
  <si>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</si>
  <si>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</si>
  <si>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</si>
  <si>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</si>
  <si>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</si>
  <si>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</si>
  <si>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</si>
  <si>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</si>
  <si>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</si>
  <si>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</si>
  <si>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</si>
  <si>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</si>
  <si>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</si>
  <si>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</si>
  <si>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</si>
  <si>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</si>
  <si>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</si>
  <si>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</si>
  <si>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</si>
  <si>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</si>
  <si>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</si>
  <si>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</si>
  <si>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</si>
  <si>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</si>
  <si>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</si>
  <si>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</si>
  <si>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</si>
  <si>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</si>
  <si>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</si>
  <si>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</si>
  <si>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</si>
  <si>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</si>
  <si>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</si>
  <si>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</si>
  <si>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</si>
  <si>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</si>
  <si>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</si>
  <si>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</si>
  <si>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</si>
  <si>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</si>
  <si>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</si>
  <si>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</si>
  <si>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</si>
  <si>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</si>
  <si>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</si>
  <si>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</si>
  <si>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</si>
  <si>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</si>
  <si>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</si>
  <si>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</si>
  <si>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</si>
  <si>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</si>
  <si>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</si>
  <si>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</si>
  <si>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</si>
  <si>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</si>
  <si>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</si>
  <si>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</si>
  <si>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</si>
  <si>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</si>
  <si>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</si>
  <si>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</si>
  <si>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</si>
  <si>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</si>
  <si>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</si>
  <si>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</si>
  <si>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</si>
  <si>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</si>
  <si>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</si>
  <si>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</si>
  <si>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</si>
  <si>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</si>
  <si>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</si>
  <si>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</si>
  <si>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</si>
  <si>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</si>
  <si>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</si>
  <si>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</si>
  <si>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</si>
  <si>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</si>
  <si>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</si>
  <si>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</si>
  <si>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</si>
  <si>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</si>
  <si>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</si>
  <si>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</si>
  <si>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</si>
  <si>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</si>
  <si>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</si>
  <si>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</si>
  <si>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</si>
  <si>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</si>
  <si>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</si>
  <si>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</si>
  <si>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</si>
  <si>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</si>
  <si>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</si>
  <si>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</si>
  <si>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</si>
  <si>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</si>
  <si>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</si>
  <si>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</si>
  <si>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</si>
  <si>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</si>
  <si>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</si>
  <si>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</si>
  <si>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</si>
  <si>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</si>
  <si>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</si>
  <si>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</si>
  <si>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</si>
  <si>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</si>
  <si>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</si>
  <si>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</si>
  <si>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</si>
  <si>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</si>
  <si>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</si>
  <si>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</si>
  <si>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</si>
  <si>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</si>
  <si>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</si>
  <si>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</si>
  <si>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</si>
  <si>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</si>
  <si>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</si>
  <si>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</si>
  <si>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</si>
  <si>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</si>
  <si>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</si>
  <si>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</si>
  <si>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</si>
  <si>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</si>
  <si>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</si>
  <si>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</si>
  <si>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</si>
  <si>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</si>
  <si>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</si>
  <si>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</si>
  <si>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</si>
  <si>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</si>
  <si>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</si>
  <si>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</si>
  <si>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</si>
  <si>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</si>
  <si>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</si>
  <si>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</si>
  <si>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</si>
  <si>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</si>
  <si>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</si>
  <si>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</si>
  <si>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</si>
  <si>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</si>
  <si>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</si>
  <si>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</si>
  <si>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</si>
  <si>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</si>
  <si>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</si>
  <si>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</si>
  <si>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</si>
  <si>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VirtEngCmbMdl_trqEngTqOut_PHY</t>
  </si>
  <si>
    <t>VirtEngCmbMdl_ratNOx_PHY</t>
  </si>
  <si>
    <t>VirtEngCmbMdl_mflNOx_PHY</t>
  </si>
  <si>
    <t>VirtEngCmbMdl_mflFu_PHY</t>
  </si>
  <si>
    <t>VirtEngCmbMdl_tTrbDs_PHY</t>
  </si>
  <si>
    <t>VirtEngCmbMdl_tTrbUs_PHY</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</si>
  <si>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</si>
  <si>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</si>
  <si>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</si>
  <si>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</si>
  <si>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</si>
  <si>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</si>
  <si>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</si>
  <si>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</si>
  <si>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</si>
  <si>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</si>
  <si>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</si>
  <si>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</si>
  <si>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</si>
  <si>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</si>
  <si>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</si>
  <si>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</si>
  <si>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</si>
  <si>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</si>
  <si>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</si>
  <si>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</si>
  <si>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</si>
  <si>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</si>
  <si>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</si>
  <si>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</si>
  <si>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</si>
  <si>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</si>
  <si>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</si>
  <si>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</si>
  <si>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</si>
  <si>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</si>
  <si>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</si>
  <si>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</si>
  <si>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</si>
  <si>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</si>
  <si>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</si>
  <si>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</si>
  <si>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</si>
  <si>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</si>
  <si>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</si>
  <si>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</si>
  <si>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</si>
  <si>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</si>
  <si>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</si>
  <si>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</si>
  <si>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</si>
  <si>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</si>
  <si>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</si>
  <si>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</si>
  <si>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</si>
  <si>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</si>
  <si>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</si>
  <si>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</si>
  <si>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</si>
  <si>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</si>
  <si>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</si>
  <si>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</si>
  <si>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</si>
  <si>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</si>
  <si>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</si>
  <si>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</si>
  <si>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</si>
  <si>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</si>
  <si>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</si>
  <si>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</si>
  <si>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</si>
  <si>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</si>
  <si>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</si>
  <si>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</si>
  <si>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</si>
  <si>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</si>
  <si>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</si>
  <si>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</si>
  <si>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</si>
  <si>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</si>
  <si>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</si>
  <si>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</si>
  <si>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</si>
  <si>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</si>
  <si>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</si>
  <si>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</si>
  <si>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</si>
  <si>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</si>
  <si>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</si>
  <si>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</si>
  <si>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</si>
  <si>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</si>
  <si>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</si>
  <si>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</si>
  <si>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</si>
  <si>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</si>
  <si>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</si>
  <si>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</si>
  <si>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</si>
  <si>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</si>
  <si>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</si>
  <si>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</si>
  <si>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</si>
  <si>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</si>
  <si>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</si>
  <si>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</si>
  <si>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</si>
  <si>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</si>
  <si>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</si>
  <si>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</si>
  <si>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</si>
  <si>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</si>
  <si>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</si>
  <si>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</si>
  <si>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</si>
  <si>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</si>
  <si>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</si>
  <si>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</si>
  <si>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</si>
  <si>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</si>
  <si>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</si>
  <si>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</si>
  <si>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</si>
  <si>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</si>
  <si>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</si>
  <si>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</si>
  <si>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</si>
  <si>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</si>
  <si>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</si>
  <si>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</si>
  <si>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</si>
  <si>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</si>
  <si>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</si>
  <si>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</si>
  <si>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</si>
  <si>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</si>
  <si>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</si>
  <si>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</si>
  <si>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</si>
  <si>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</si>
  <si>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</si>
  <si>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</si>
  <si>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</si>
  <si>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</si>
  <si>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</si>
  <si>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</si>
  <si>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</si>
  <si>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</si>
  <si>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</si>
  <si>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</si>
  <si>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</si>
  <si>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</si>
  <si>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</si>
  <si>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</si>
  <si>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</si>
  <si>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</si>
  <si>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</si>
  <si>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</si>
  <si>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</si>
  <si>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</si>
  <si>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</si>
  <si>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</si>
  <si>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</si>
  <si>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</si>
  <si>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</si>
  <si>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</si>
  <si>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</si>
  <si>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</si>
  <si>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</si>
  <si>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</si>
  <si>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</si>
  <si>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</si>
  <si>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[300, 1]</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</si>
  <si>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</si>
  <si>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</si>
  <si>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</si>
  <si>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</si>
  <si>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</si>
  <si>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</si>
  <si>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</si>
  <si>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</si>
  <si>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</si>
  <si>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</si>
  <si>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</si>
  <si>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</si>
  <si>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</si>
  <si>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</si>
  <si>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</si>
  <si>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</si>
  <si>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</si>
  <si>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</si>
  <si>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</si>
  <si>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</si>
  <si>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</si>
  <si>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</si>
  <si>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</si>
  <si>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</si>
  <si>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</si>
  <si>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</si>
  <si>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</si>
  <si>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</si>
  <si>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</si>
  <si>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</si>
  <si>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</si>
  <si>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</si>
  <si>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</si>
  <si>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</si>
  <si>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</si>
  <si>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</si>
  <si>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</si>
  <si>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</si>
  <si>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</si>
  <si>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</si>
  <si>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</si>
  <si>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</si>
  <si>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</si>
  <si>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</si>
  <si>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</si>
  <si>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</si>
  <si>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</si>
  <si>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EngMdl_pBoost_PHY/Input From Truck</t>
  </si>
  <si>
    <t>ECUAuxSigCoorr_pAirTank_PHY/Input From Truck</t>
  </si>
  <si>
    <t>InpFromTruck_mflTestTest_PHY/Input From Truck</t>
  </si>
  <si>
    <t>InpFromTruck_mflTestTest_PHY/Emission Coordinator</t>
  </si>
  <si>
    <t>EngCtrl_numEngOpertgModOvrd_INT/Input From Truck</t>
  </si>
  <si>
    <t>ECUAuxSigCoorr_omegaWhlSpd_PHY/Input From Truck</t>
  </si>
  <si>
    <t>IO_System</t>
  </si>
  <si>
    <t>Input Output Model</t>
  </si>
  <si>
    <t>InpOutpMdl</t>
  </si>
  <si>
    <t>Input Output</t>
  </si>
  <si>
    <t>InpOutp</t>
  </si>
  <si>
    <t>InpOutp.tiSimnTiStep_C</t>
  </si>
  <si>
    <t>InpOutp_qInjTot_PHY</t>
  </si>
  <si>
    <t>Real ECU</t>
  </si>
  <si>
    <t>RealECU</t>
  </si>
  <si>
    <t>InpOutp_qInjTot_PHY/Real ECU</t>
  </si>
  <si>
    <t>RealECU.tiSimnTiStep_C</t>
  </si>
  <si>
    <t>Total injection quantity (captured via HIL system)</t>
  </si>
  <si>
    <t>RealECU_qInjTot_INT</t>
  </si>
  <si>
    <t>RealECU_qInjTot_PHY</t>
  </si>
  <si>
    <t>Route</t>
  </si>
  <si>
    <t>Route Generator</t>
  </si>
  <si>
    <t>RouteGenr</t>
  </si>
  <si>
    <t>optiTruck_CloudSystem</t>
  </si>
  <si>
    <t>RouteGenr.tiSimnTiStep_C</t>
  </si>
  <si>
    <t>Realistic distance data for the complete route</t>
  </si>
  <si>
    <t>[1 1069]</t>
  </si>
  <si>
    <t>Realistic vehicle speed data for the complete route</t>
  </si>
  <si>
    <t>RouteGenr_vVehSpd_CLD</t>
  </si>
  <si>
    <t>RouteGenr_lDst_CLD</t>
  </si>
  <si>
    <t>Realistic power data for the complete route</t>
  </si>
  <si>
    <t>RouteGenr_pwrPwr_CLD</t>
  </si>
  <si>
    <t>PCCM</t>
  </si>
  <si>
    <t>RPU</t>
  </si>
  <si>
    <t>PCCM RPU Interface</t>
  </si>
  <si>
    <t>PCCMRPUIf</t>
  </si>
  <si>
    <t>PCCMRPUIf.tiSimnTiStep_C</t>
  </si>
  <si>
    <t>Distance Horizon Array</t>
  </si>
  <si>
    <t>Vehicle Speed Horizon Array</t>
  </si>
  <si>
    <t>Vehicle Speed Horizon</t>
  </si>
  <si>
    <t>VehSpdHrzn</t>
  </si>
  <si>
    <t>PCCMRPUIf_vVehSpdHrzn_CAN</t>
  </si>
  <si>
    <t>Distance Horizon</t>
  </si>
  <si>
    <t>DstHrzn</t>
  </si>
  <si>
    <t>PCCMRPUIf_lDstHrzn_CAN</t>
  </si>
  <si>
    <t>Power Horizon Array</t>
  </si>
  <si>
    <t>Power Horizon</t>
  </si>
  <si>
    <t>PwrHrzn</t>
  </si>
  <si>
    <t>PCCMRPUIf_pwrPwrHrzn_CAN</t>
  </si>
  <si>
    <t>Total number of valid elements in each horizon array</t>
  </si>
  <si>
    <t>Number Horizon Valid Element</t>
  </si>
  <si>
    <t>NrHrznVldElm</t>
  </si>
  <si>
    <t>PCCMRPUIf_numNrHrznVldElm_CAN</t>
  </si>
  <si>
    <t>Reset signal to identify new complete route obtained by cloud</t>
  </si>
  <si>
    <t>PCCMRPUIf_stRst_CAN</t>
  </si>
  <si>
    <t>Status for the vehicle position validity</t>
  </si>
  <si>
    <t>Horizon Valid</t>
  </si>
  <si>
    <t>HrznVld</t>
  </si>
  <si>
    <t>PCCMRPUIf_stHrznVld_CAN</t>
  </si>
  <si>
    <t>Current Vehicle Position</t>
  </si>
  <si>
    <t>Vehicle Position</t>
  </si>
  <si>
    <t>VehPosn</t>
  </si>
  <si>
    <t>PCCMRPUIf_lVehPosn_CAN</t>
  </si>
  <si>
    <t>RouteGenr_vVehSpd_CLD/PCCM RPU Interface</t>
  </si>
  <si>
    <t>RouteGenr_lDst_CLD/PCCM RPU Interface</t>
  </si>
  <si>
    <t>RouteGenr_pwrPwr_CLD/PCCM RPU Interface</t>
  </si>
  <si>
    <t>LgtVehMdl_lDstTrvld_PHY/PCCM RPU Interface</t>
  </si>
  <si>
    <t>Trace</t>
  </si>
  <si>
    <t>Trc</t>
  </si>
  <si>
    <t>Speed Torque Trace Generator</t>
  </si>
  <si>
    <t>SpdTqTrcGenr</t>
  </si>
  <si>
    <t>Gear Horizon Array</t>
  </si>
  <si>
    <t>Gear Horizon</t>
  </si>
  <si>
    <t>GearHrzn</t>
  </si>
  <si>
    <t>SpdTqTrcGenr_numGearHrzn_PHY</t>
  </si>
  <si>
    <t>Engine Speed Horizon Array</t>
  </si>
  <si>
    <t>Engine Speed Horizon</t>
  </si>
  <si>
    <t>EngSpdHrzn</t>
  </si>
  <si>
    <t>SpdTqTrcGenr_nEngSpdHrzn_PHY</t>
  </si>
  <si>
    <t>Engine Torque Horizon Array</t>
  </si>
  <si>
    <t>Engine Torque Horizon</t>
  </si>
  <si>
    <t>EngTqHrzn</t>
  </si>
  <si>
    <t>SpdTqTrcGenr_trqEngTqHrzn_PHY</t>
  </si>
  <si>
    <t>[1 400]</t>
  </si>
  <si>
    <t>PCCMRPUIf_vVehSpdHrzn_CAN/Speed Torque Trace Generator</t>
  </si>
  <si>
    <t>PCCMRPUIf_lDstHrzn_CAN/Speed Torque Trace Generator</t>
  </si>
  <si>
    <t>PCCMRPUIf_pwrPwrHrzn_CAN/Speed Torque Trace Generator</t>
  </si>
  <si>
    <t>PCCMRPUIf_numNrHrznVldElm_CAN/Speed Torque Trace Generator</t>
  </si>
  <si>
    <t>PCCMRPUIf_stRst_CAN/Speed Torque Trace Generator</t>
  </si>
  <si>
    <t>SpdTqTrcGenr.tiSimnTiStep_C</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</si>
</sst>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0</xdr:col>
          <xdr:colOff>714375</xdr:colOff>
          <xdr:row>1</xdr:row>
          <xdr:rowOff>0</xdr:rowOff>
        </xdr:to>
        <xdr:sp macro="" textlink="">
          <xdr:nvSpPr>
            <xdr:cNvPr id="21" name="Button 2" descr="Add Signal" hidden="1">
              <a:extLst>
                <a:ext uri="{63B3BB69-23CF-44E3-9099-C40C66FF867C}">
                  <a14:compatExt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0</xdr:col>
          <xdr:colOff>704850</xdr:colOff>
          <xdr:row>1</xdr:row>
          <xdr:rowOff>209550</xdr:rowOff>
        </xdr:to>
        <xdr:sp macro="" textlink="">
          <xdr:nvSpPr>
            <xdr:cNvPr id="21" name="Button 1" descr="Add Signal" hidden="1">
              <a:extLst>
                <a:ext uri="{63B3BB69-23CF-44E3-9099-C40C66FF867C}">
                  <a14:compatExt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0</xdr:col>
          <xdr:colOff>533400</xdr:colOff>
          <xdr:row>0</xdr:row>
          <xdr:rowOff>247650</xdr:rowOff>
        </xdr:to>
        <xdr:sp macro="" textlink="">
          <xdr:nvSpPr>
            <xdr:cNvPr id="18" name="Button 3" descr="Add Signal" hidden="1">
              <a:extLst>
                <a:ext uri="{63B3BB69-23CF-44E3-9099-C40C66FF867C}">
                  <a14:compatExt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3"/>
  <sheetViews>
    <sheetView zoomScale="98" zoomScaleNormal="98" zoomScalePageLayoutView="80" workbookViewId="0">
      <pane ySplit="2" topLeftCell="A279" activePane="bottomLeft" state="frozen"/>
      <selection pane="bottomLeft" activeCell="L297" sqref="L297"/>
    </sheetView>
  </sheetViews>
  <sheetFormatPr defaultColWidth="11.42578125" defaultRowHeight="15" x14ac:dyDescent="0.25"/>
  <cols>
    <col min="1" max="1" width="83.855468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5">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5">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5">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5">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5">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5">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5">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5">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5">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5">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5">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5">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5">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5">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5">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5">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5">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5">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5">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25">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5">
      <c r="A237" t="s">
        <v>3845</v>
      </c>
      <c r="B237" t="s">
        <v>3293</v>
      </c>
      <c r="C237" t="s">
        <v>3294</v>
      </c>
      <c r="D237" t="s">
        <v>2787</v>
      </c>
      <c r="E237" t="s">
        <v>3636</v>
      </c>
      <c r="F237" t="s">
        <v>34</v>
      </c>
      <c r="G237" t="s">
        <v>2761</v>
      </c>
      <c r="H237" s="8" t="s">
        <v>1679</v>
      </c>
      <c r="J237" s="16" t="s">
        <v>3846</v>
      </c>
      <c r="K237" t="s">
        <v>14</v>
      </c>
      <c r="L237" t="s">
        <v>3716</v>
      </c>
      <c r="M237" s="17">
        <v>0</v>
      </c>
      <c r="N237" s="17">
        <v>500000</v>
      </c>
      <c r="O237" s="17">
        <v>1.164153E-4</v>
      </c>
      <c r="P237" s="76">
        <v>4294967296</v>
      </c>
      <c r="Q237" t="s">
        <v>3848</v>
      </c>
      <c r="R237" t="s">
        <v>3849</v>
      </c>
    </row>
    <row r="238" spans="1:18" x14ac:dyDescent="0.25">
      <c r="A238" t="s">
        <v>3844</v>
      </c>
      <c r="B238" t="s">
        <v>2821</v>
      </c>
      <c r="C238" t="s">
        <v>2822</v>
      </c>
      <c r="D238" t="s">
        <v>2787</v>
      </c>
      <c r="E238" t="s">
        <v>3636</v>
      </c>
      <c r="F238" t="s">
        <v>34</v>
      </c>
      <c r="G238" t="s">
        <v>2790</v>
      </c>
      <c r="H238" s="8" t="s">
        <v>2599</v>
      </c>
      <c r="J238" s="16" t="s">
        <v>3847</v>
      </c>
      <c r="K238" t="s">
        <v>14</v>
      </c>
      <c r="L238" t="s">
        <v>3716</v>
      </c>
      <c r="M238" s="17">
        <v>0</v>
      </c>
      <c r="N238" s="17">
        <v>5</v>
      </c>
      <c r="O238" s="17">
        <v>1.2E-9</v>
      </c>
      <c r="P238" s="76">
        <v>4294967296</v>
      </c>
      <c r="Q238" t="s">
        <v>3848</v>
      </c>
      <c r="R238" t="s">
        <v>3848</v>
      </c>
    </row>
    <row r="239" spans="1:18" x14ac:dyDescent="0.25">
      <c r="A239" t="s">
        <v>3643</v>
      </c>
      <c r="B239" t="s">
        <v>3284</v>
      </c>
      <c r="C239" t="s">
        <v>3285</v>
      </c>
      <c r="D239" t="s">
        <v>2794</v>
      </c>
      <c r="E239" t="s">
        <v>2794</v>
      </c>
      <c r="F239" t="s">
        <v>35</v>
      </c>
      <c r="G239" t="s">
        <v>2791</v>
      </c>
      <c r="H239" s="8" t="s">
        <v>96</v>
      </c>
      <c r="J239" s="16" t="s">
        <v>3644</v>
      </c>
      <c r="K239" t="s">
        <v>14</v>
      </c>
      <c r="L239" t="s">
        <v>2659</v>
      </c>
      <c r="M239" s="17">
        <v>-40</v>
      </c>
      <c r="N239" s="17">
        <v>100</v>
      </c>
      <c r="O239" s="17">
        <v>3.2600000000000001E-8</v>
      </c>
      <c r="P239" s="76">
        <v>4294967296</v>
      </c>
      <c r="Q239" t="s">
        <v>2660</v>
      </c>
      <c r="R239" t="s">
        <v>2660</v>
      </c>
    </row>
    <row r="240" spans="1:18" x14ac:dyDescent="0.25">
      <c r="A240" t="s">
        <v>3645</v>
      </c>
      <c r="B240" t="s">
        <v>3287</v>
      </c>
      <c r="C240" t="s">
        <v>3288</v>
      </c>
      <c r="D240" t="s">
        <v>2794</v>
      </c>
      <c r="E240" t="s">
        <v>2794</v>
      </c>
      <c r="F240" t="s">
        <v>35</v>
      </c>
      <c r="G240" t="s">
        <v>2791</v>
      </c>
      <c r="H240" s="8" t="s">
        <v>96</v>
      </c>
      <c r="J240" s="16" t="s">
        <v>3646</v>
      </c>
      <c r="K240" t="s">
        <v>14</v>
      </c>
      <c r="L240" t="s">
        <v>2659</v>
      </c>
      <c r="M240" s="17">
        <v>-40</v>
      </c>
      <c r="N240" s="17">
        <v>100</v>
      </c>
      <c r="O240" s="17">
        <v>3.2600000000000001E-8</v>
      </c>
      <c r="P240" s="76">
        <v>4294967296</v>
      </c>
      <c r="Q240" t="s">
        <v>2660</v>
      </c>
      <c r="R240" t="s">
        <v>2660</v>
      </c>
    </row>
    <row r="241" spans="1:18" x14ac:dyDescent="0.25">
      <c r="A241" t="s">
        <v>3647</v>
      </c>
      <c r="B241" t="s">
        <v>3648</v>
      </c>
      <c r="C241" t="s">
        <v>3649</v>
      </c>
      <c r="D241" t="s">
        <v>2787</v>
      </c>
      <c r="E241" t="s">
        <v>3540</v>
      </c>
      <c r="F241" t="s">
        <v>34</v>
      </c>
      <c r="G241" t="s">
        <v>2706</v>
      </c>
      <c r="H241" s="8" t="s">
        <v>113</v>
      </c>
      <c r="J241" s="16" t="s">
        <v>3650</v>
      </c>
      <c r="K241" t="s">
        <v>14</v>
      </c>
      <c r="L241" t="s">
        <v>2659</v>
      </c>
      <c r="M241" s="17">
        <v>0</v>
      </c>
      <c r="N241" s="17">
        <v>1</v>
      </c>
      <c r="O241" s="17">
        <v>2.0000000000000001E-10</v>
      </c>
      <c r="P241" s="76">
        <v>4294967296</v>
      </c>
      <c r="Q241" t="s">
        <v>2660</v>
      </c>
      <c r="R241" t="s">
        <v>2660</v>
      </c>
    </row>
    <row r="242" spans="1:18" x14ac:dyDescent="0.25">
      <c r="A242" t="s">
        <v>3651</v>
      </c>
      <c r="B242" t="s">
        <v>3652</v>
      </c>
      <c r="C242" t="s">
        <v>3653</v>
      </c>
      <c r="D242" t="s">
        <v>2787</v>
      </c>
      <c r="E242" t="s">
        <v>3540</v>
      </c>
      <c r="F242" t="s">
        <v>34</v>
      </c>
      <c r="G242" t="s">
        <v>2706</v>
      </c>
      <c r="H242" s="8" t="s">
        <v>113</v>
      </c>
      <c r="J242" s="16" t="s">
        <v>3654</v>
      </c>
      <c r="K242" t="s">
        <v>14</v>
      </c>
      <c r="L242" t="s">
        <v>2659</v>
      </c>
      <c r="M242" s="17">
        <v>0</v>
      </c>
      <c r="N242" s="17">
        <v>1</v>
      </c>
      <c r="O242" s="17">
        <v>2.0000000000000001E-10</v>
      </c>
      <c r="P242" s="76">
        <v>4294967296</v>
      </c>
      <c r="Q242" t="s">
        <v>2660</v>
      </c>
      <c r="R242" t="s">
        <v>2660</v>
      </c>
    </row>
    <row r="243" spans="1:18" x14ac:dyDescent="0.25">
      <c r="A243" t="s">
        <v>3655</v>
      </c>
      <c r="B243" t="s">
        <v>3656</v>
      </c>
      <c r="C243" t="s">
        <v>3657</v>
      </c>
      <c r="D243" t="s">
        <v>2787</v>
      </c>
      <c r="E243" t="s">
        <v>3540</v>
      </c>
      <c r="F243" t="s">
        <v>34</v>
      </c>
      <c r="G243" t="s">
        <v>2706</v>
      </c>
      <c r="H243" s="8" t="s">
        <v>113</v>
      </c>
      <c r="J243" s="16" t="s">
        <v>3658</v>
      </c>
      <c r="K243" t="s">
        <v>14</v>
      </c>
      <c r="L243" t="s">
        <v>2659</v>
      </c>
      <c r="M243" s="17">
        <v>0</v>
      </c>
      <c r="N243" s="17">
        <v>1</v>
      </c>
      <c r="O243" s="17">
        <v>2.0000000000000001E-10</v>
      </c>
      <c r="P243" s="76">
        <v>4294967296</v>
      </c>
      <c r="Q243" t="s">
        <v>2660</v>
      </c>
      <c r="R243" t="s">
        <v>2660</v>
      </c>
    </row>
    <row r="244" spans="1:18" x14ac:dyDescent="0.25">
      <c r="A244" t="s">
        <v>3659</v>
      </c>
      <c r="B244" t="s">
        <v>3660</v>
      </c>
      <c r="C244" t="s">
        <v>3661</v>
      </c>
      <c r="D244" t="s">
        <v>2787</v>
      </c>
      <c r="E244" t="s">
        <v>3540</v>
      </c>
      <c r="F244" t="s">
        <v>34</v>
      </c>
      <c r="G244" t="s">
        <v>2706</v>
      </c>
      <c r="H244" s="8" t="s">
        <v>113</v>
      </c>
      <c r="J244" s="16" t="s">
        <v>3662</v>
      </c>
      <c r="K244" t="s">
        <v>14</v>
      </c>
      <c r="L244" t="s">
        <v>2659</v>
      </c>
      <c r="M244" s="17">
        <v>0</v>
      </c>
      <c r="N244" s="17">
        <v>1</v>
      </c>
      <c r="O244" s="17">
        <v>2.0000000000000001E-10</v>
      </c>
      <c r="P244" s="76">
        <v>4294967296</v>
      </c>
      <c r="Q244" t="s">
        <v>2660</v>
      </c>
      <c r="R244" t="s">
        <v>2660</v>
      </c>
    </row>
    <row r="245" spans="1:18" x14ac:dyDescent="0.25">
      <c r="A245" t="s">
        <v>3663</v>
      </c>
      <c r="B245" t="s">
        <v>3664</v>
      </c>
      <c r="C245" t="s">
        <v>3665</v>
      </c>
      <c r="D245" t="s">
        <v>2787</v>
      </c>
      <c r="E245" t="s">
        <v>3540</v>
      </c>
      <c r="F245" t="s">
        <v>34</v>
      </c>
      <c r="G245" t="s">
        <v>2706</v>
      </c>
      <c r="H245" s="8" t="s">
        <v>113</v>
      </c>
      <c r="J245" s="16" t="s">
        <v>3666</v>
      </c>
      <c r="K245" t="s">
        <v>14</v>
      </c>
      <c r="L245" t="s">
        <v>2659</v>
      </c>
      <c r="M245" s="17">
        <v>0</v>
      </c>
      <c r="N245" s="17">
        <v>1</v>
      </c>
      <c r="O245" s="17">
        <v>2.0000000000000001E-10</v>
      </c>
      <c r="P245" s="76">
        <v>4294967296</v>
      </c>
      <c r="Q245" t="s">
        <v>2660</v>
      </c>
      <c r="R245" t="s">
        <v>2660</v>
      </c>
    </row>
    <row r="246" spans="1:18" x14ac:dyDescent="0.25">
      <c r="A246" t="s">
        <v>3667</v>
      </c>
      <c r="B246" t="s">
        <v>3668</v>
      </c>
      <c r="C246" t="s">
        <v>3669</v>
      </c>
      <c r="D246" t="s">
        <v>2787</v>
      </c>
      <c r="E246" t="s">
        <v>3540</v>
      </c>
      <c r="F246" t="s">
        <v>34</v>
      </c>
      <c r="G246" t="s">
        <v>2922</v>
      </c>
      <c r="H246" s="8" t="s">
        <v>2601</v>
      </c>
      <c r="J246" s="16" t="s">
        <v>3670</v>
      </c>
      <c r="K246" t="s">
        <v>14</v>
      </c>
      <c r="L246" t="s">
        <v>2659</v>
      </c>
      <c r="M246" s="17">
        <v>0</v>
      </c>
      <c r="N246" s="17">
        <v>1000</v>
      </c>
      <c r="O246" s="17">
        <v>2.3279999999999999E-7</v>
      </c>
      <c r="P246" s="76">
        <v>4294967296</v>
      </c>
      <c r="Q246" t="s">
        <v>2660</v>
      </c>
      <c r="R246" t="s">
        <v>2660</v>
      </c>
    </row>
    <row r="247" spans="1:18" x14ac:dyDescent="0.25">
      <c r="A247" t="s">
        <v>3671</v>
      </c>
      <c r="B247" t="s">
        <v>3672</v>
      </c>
      <c r="C247" t="s">
        <v>3673</v>
      </c>
      <c r="D247" t="s">
        <v>2787</v>
      </c>
      <c r="E247" t="s">
        <v>3540</v>
      </c>
      <c r="F247" t="s">
        <v>34</v>
      </c>
      <c r="G247" t="s">
        <v>2705</v>
      </c>
      <c r="H247" s="8" t="s">
        <v>79</v>
      </c>
      <c r="J247" s="16" t="s">
        <v>3674</v>
      </c>
      <c r="K247" t="s">
        <v>14</v>
      </c>
      <c r="L247" t="s">
        <v>2659</v>
      </c>
      <c r="M247" s="17">
        <v>0</v>
      </c>
      <c r="N247" s="17">
        <v>100</v>
      </c>
      <c r="O247" s="17">
        <v>2.33E-8</v>
      </c>
      <c r="P247" s="76">
        <v>4294967296</v>
      </c>
      <c r="Q247" t="s">
        <v>2660</v>
      </c>
      <c r="R247" t="s">
        <v>2660</v>
      </c>
    </row>
    <row r="248" spans="1:18" x14ac:dyDescent="0.25">
      <c r="A248" t="s">
        <v>3675</v>
      </c>
      <c r="B248" t="s">
        <v>3676</v>
      </c>
      <c r="C248" t="s">
        <v>3677</v>
      </c>
      <c r="D248" t="s">
        <v>2787</v>
      </c>
      <c r="E248" t="s">
        <v>3540</v>
      </c>
      <c r="F248" t="s">
        <v>34</v>
      </c>
      <c r="G248" t="s">
        <v>2705</v>
      </c>
      <c r="H248" s="8" t="s">
        <v>79</v>
      </c>
      <c r="J248" s="16" t="s">
        <v>3678</v>
      </c>
      <c r="K248" t="s">
        <v>14</v>
      </c>
      <c r="L248" t="s">
        <v>2659</v>
      </c>
      <c r="M248" s="17">
        <v>0</v>
      </c>
      <c r="N248" s="17">
        <v>100</v>
      </c>
      <c r="O248" s="17">
        <v>2.33E-8</v>
      </c>
      <c r="P248" s="76">
        <v>4294967296</v>
      </c>
      <c r="Q248" t="s">
        <v>2660</v>
      </c>
      <c r="R248" t="s">
        <v>2660</v>
      </c>
    </row>
    <row r="249" spans="1:18" x14ac:dyDescent="0.25">
      <c r="A249" t="s">
        <v>3679</v>
      </c>
      <c r="B249" t="s">
        <v>3679</v>
      </c>
      <c r="C249" t="s">
        <v>3680</v>
      </c>
      <c r="D249" t="s">
        <v>2787</v>
      </c>
      <c r="E249" t="s">
        <v>3540</v>
      </c>
      <c r="F249" t="s">
        <v>34</v>
      </c>
      <c r="G249" t="s">
        <v>2705</v>
      </c>
      <c r="H249" s="8" t="s">
        <v>79</v>
      </c>
      <c r="J249" s="16" t="s">
        <v>3681</v>
      </c>
      <c r="K249" t="s">
        <v>14</v>
      </c>
      <c r="L249" t="s">
        <v>2659</v>
      </c>
      <c r="M249" s="17">
        <v>-100</v>
      </c>
      <c r="N249" s="17">
        <v>0</v>
      </c>
      <c r="O249" s="17">
        <v>2.33E-8</v>
      </c>
      <c r="P249" s="76">
        <v>4294967296</v>
      </c>
      <c r="Q249" t="s">
        <v>2660</v>
      </c>
      <c r="R249" t="s">
        <v>2660</v>
      </c>
    </row>
    <row r="250" spans="1:18" x14ac:dyDescent="0.25">
      <c r="A250" t="s">
        <v>3682</v>
      </c>
      <c r="B250" t="s">
        <v>3682</v>
      </c>
      <c r="C250" t="s">
        <v>3683</v>
      </c>
      <c r="D250" t="s">
        <v>2787</v>
      </c>
      <c r="E250" t="s">
        <v>3540</v>
      </c>
      <c r="F250" t="s">
        <v>34</v>
      </c>
      <c r="G250" t="s">
        <v>2705</v>
      </c>
      <c r="H250" s="8" t="s">
        <v>79</v>
      </c>
      <c r="J250" s="16" t="s">
        <v>3684</v>
      </c>
      <c r="K250" t="s">
        <v>14</v>
      </c>
      <c r="L250" t="s">
        <v>2659</v>
      </c>
      <c r="M250" s="17">
        <v>-100</v>
      </c>
      <c r="N250" s="17">
        <v>0</v>
      </c>
      <c r="O250" s="17">
        <v>2.33E-8</v>
      </c>
      <c r="P250" s="76">
        <v>4294967296</v>
      </c>
      <c r="Q250" t="s">
        <v>2660</v>
      </c>
      <c r="R250" t="s">
        <v>2660</v>
      </c>
    </row>
    <row r="251" spans="1:18" x14ac:dyDescent="0.25">
      <c r="A251" t="s">
        <v>3685</v>
      </c>
      <c r="B251" t="s">
        <v>3686</v>
      </c>
      <c r="C251" t="s">
        <v>3687</v>
      </c>
      <c r="D251" t="s">
        <v>2787</v>
      </c>
      <c r="E251" t="s">
        <v>3540</v>
      </c>
      <c r="F251" t="s">
        <v>34</v>
      </c>
      <c r="G251" t="s">
        <v>2706</v>
      </c>
      <c r="H251" s="8" t="s">
        <v>113</v>
      </c>
      <c r="J251" s="16" t="s">
        <v>3688</v>
      </c>
      <c r="K251" t="s">
        <v>14</v>
      </c>
      <c r="L251" t="s">
        <v>2659</v>
      </c>
      <c r="M251" s="17">
        <v>0</v>
      </c>
      <c r="N251" s="17">
        <v>1</v>
      </c>
      <c r="O251" s="17">
        <v>2.0000000000000001E-10</v>
      </c>
      <c r="P251" s="76">
        <v>4294967296</v>
      </c>
      <c r="Q251" t="s">
        <v>2660</v>
      </c>
      <c r="R251" t="s">
        <v>2660</v>
      </c>
    </row>
    <row r="252" spans="1:18" x14ac:dyDescent="0.25">
      <c r="A252" t="s">
        <v>3689</v>
      </c>
      <c r="B252" t="s">
        <v>3690</v>
      </c>
      <c r="C252" t="s">
        <v>3691</v>
      </c>
      <c r="D252" t="s">
        <v>2787</v>
      </c>
      <c r="E252" t="s">
        <v>3540</v>
      </c>
      <c r="F252" t="s">
        <v>34</v>
      </c>
      <c r="G252" t="s">
        <v>2669</v>
      </c>
      <c r="H252" s="8" t="s">
        <v>113</v>
      </c>
      <c r="J252" s="16" t="s">
        <v>3692</v>
      </c>
      <c r="K252" t="s">
        <v>14</v>
      </c>
      <c r="L252" t="s">
        <v>2659</v>
      </c>
      <c r="M252" s="17">
        <v>0</v>
      </c>
      <c r="N252" s="17">
        <v>1</v>
      </c>
      <c r="O252" s="17">
        <v>2.0000000000000001E-10</v>
      </c>
      <c r="P252" s="76">
        <v>4294967296</v>
      </c>
      <c r="Q252" t="s">
        <v>2660</v>
      </c>
      <c r="R252" t="s">
        <v>2660</v>
      </c>
    </row>
    <row r="253" spans="1:18" x14ac:dyDescent="0.25">
      <c r="A253" t="s">
        <v>3693</v>
      </c>
      <c r="B253" t="s">
        <v>3694</v>
      </c>
      <c r="C253" t="s">
        <v>3695</v>
      </c>
      <c r="D253" t="s">
        <v>2787</v>
      </c>
      <c r="E253" t="s">
        <v>3540</v>
      </c>
      <c r="F253" t="s">
        <v>34</v>
      </c>
      <c r="G253" t="s">
        <v>2669</v>
      </c>
      <c r="H253" s="8" t="s">
        <v>113</v>
      </c>
      <c r="J253" s="16" t="s">
        <v>3696</v>
      </c>
      <c r="K253" t="s">
        <v>14</v>
      </c>
      <c r="L253" t="s">
        <v>2659</v>
      </c>
      <c r="M253" s="17">
        <v>0</v>
      </c>
      <c r="N253" s="17">
        <v>1</v>
      </c>
      <c r="O253" s="17">
        <v>2.0000000000000001E-10</v>
      </c>
      <c r="P253" s="76">
        <v>4294967296</v>
      </c>
      <c r="Q253" t="s">
        <v>2660</v>
      </c>
      <c r="R253" t="s">
        <v>2660</v>
      </c>
    </row>
    <row r="254" spans="1:18" x14ac:dyDescent="0.25">
      <c r="A254" t="s">
        <v>3697</v>
      </c>
      <c r="B254" t="s">
        <v>3698</v>
      </c>
      <c r="C254" t="s">
        <v>3699</v>
      </c>
      <c r="D254" t="s">
        <v>2787</v>
      </c>
      <c r="E254" t="s">
        <v>3540</v>
      </c>
      <c r="F254" t="s">
        <v>34</v>
      </c>
      <c r="G254" t="s">
        <v>2669</v>
      </c>
      <c r="H254" s="8" t="s">
        <v>113</v>
      </c>
      <c r="J254" s="16" t="s">
        <v>3700</v>
      </c>
      <c r="K254" t="s">
        <v>14</v>
      </c>
      <c r="L254" t="s">
        <v>2659</v>
      </c>
      <c r="M254" s="17">
        <v>0</v>
      </c>
      <c r="N254" s="17">
        <v>1</v>
      </c>
      <c r="O254" s="17">
        <v>2.0000000000000001E-10</v>
      </c>
      <c r="P254" s="76">
        <v>4294967296</v>
      </c>
      <c r="Q254" t="s">
        <v>2660</v>
      </c>
      <c r="R254" t="s">
        <v>2660</v>
      </c>
    </row>
    <row r="255" spans="1:18" x14ac:dyDescent="0.25">
      <c r="A255" t="s">
        <v>3701</v>
      </c>
      <c r="B255" t="s">
        <v>3702</v>
      </c>
      <c r="C255" t="s">
        <v>3703</v>
      </c>
      <c r="D255" t="s">
        <v>2787</v>
      </c>
      <c r="E255" t="s">
        <v>3540</v>
      </c>
      <c r="F255" t="s">
        <v>34</v>
      </c>
      <c r="G255" t="s">
        <v>2669</v>
      </c>
      <c r="H255" s="8" t="s">
        <v>113</v>
      </c>
      <c r="J255" s="16" t="s">
        <v>3704</v>
      </c>
      <c r="K255" t="s">
        <v>14</v>
      </c>
      <c r="L255" t="s">
        <v>2659</v>
      </c>
      <c r="M255" s="17">
        <v>0</v>
      </c>
      <c r="N255" s="17">
        <v>1</v>
      </c>
      <c r="O255" s="17">
        <v>2.0000000000000001E-10</v>
      </c>
      <c r="P255" s="76">
        <v>4294967296</v>
      </c>
      <c r="Q255" t="s">
        <v>2660</v>
      </c>
      <c r="R255" t="s">
        <v>2660</v>
      </c>
    </row>
    <row r="256" spans="1:18" x14ac:dyDescent="0.25">
      <c r="A256" t="s">
        <v>3705</v>
      </c>
      <c r="B256" t="s">
        <v>3706</v>
      </c>
      <c r="C256" t="s">
        <v>3707</v>
      </c>
      <c r="D256" t="s">
        <v>3708</v>
      </c>
      <c r="E256" t="s">
        <v>3709</v>
      </c>
      <c r="F256" t="s">
        <v>35</v>
      </c>
      <c r="G256" t="s">
        <v>2922</v>
      </c>
      <c r="H256" s="8" t="s">
        <v>2601</v>
      </c>
      <c r="J256" s="16" t="s">
        <v>3710</v>
      </c>
      <c r="K256" t="s">
        <v>14</v>
      </c>
      <c r="L256" t="s">
        <v>3711</v>
      </c>
      <c r="M256" s="17">
        <v>0</v>
      </c>
      <c r="N256" s="17">
        <v>100000</v>
      </c>
      <c r="O256" s="17">
        <v>2.3283100000000001E-5</v>
      </c>
      <c r="P256" s="76">
        <v>4294967296</v>
      </c>
      <c r="Q256" t="s">
        <v>3848</v>
      </c>
      <c r="R256" t="s">
        <v>3848</v>
      </c>
    </row>
    <row r="257" spans="1:18" x14ac:dyDescent="0.25">
      <c r="A257" t="s">
        <v>3712</v>
      </c>
      <c r="B257" t="s">
        <v>3713</v>
      </c>
      <c r="C257" t="s">
        <v>3714</v>
      </c>
      <c r="D257" t="s">
        <v>3708</v>
      </c>
      <c r="E257" t="s">
        <v>3709</v>
      </c>
      <c r="F257" t="s">
        <v>35</v>
      </c>
      <c r="G257" t="s">
        <v>2922</v>
      </c>
      <c r="H257" s="8" t="s">
        <v>2601</v>
      </c>
      <c r="J257" s="16" t="s">
        <v>3715</v>
      </c>
      <c r="K257" t="s">
        <v>14</v>
      </c>
      <c r="L257" t="s">
        <v>3716</v>
      </c>
      <c r="M257" s="17">
        <v>0</v>
      </c>
      <c r="N257" s="17">
        <v>100000</v>
      </c>
      <c r="O257" s="17">
        <v>2.3283100000000001E-5</v>
      </c>
      <c r="P257" s="76">
        <v>4294967296</v>
      </c>
      <c r="Q257" t="s">
        <v>3848</v>
      </c>
      <c r="R257" t="s">
        <v>3848</v>
      </c>
    </row>
    <row r="258" spans="1:18" x14ac:dyDescent="0.25">
      <c r="A258" t="s">
        <v>3717</v>
      </c>
      <c r="B258" t="s">
        <v>3713</v>
      </c>
      <c r="C258" t="s">
        <v>3714</v>
      </c>
      <c r="D258" t="s">
        <v>3708</v>
      </c>
      <c r="E258" t="s">
        <v>3709</v>
      </c>
      <c r="F258" t="s">
        <v>35</v>
      </c>
      <c r="G258" t="s">
        <v>2690</v>
      </c>
      <c r="H258" s="8" t="s">
        <v>100</v>
      </c>
      <c r="J258" s="16" t="s">
        <v>3718</v>
      </c>
      <c r="K258" t="s">
        <v>14</v>
      </c>
      <c r="L258" t="s">
        <v>3716</v>
      </c>
      <c r="M258" s="17">
        <v>0</v>
      </c>
      <c r="N258" s="17">
        <v>5000</v>
      </c>
      <c r="O258" s="17">
        <v>1.1642E-6</v>
      </c>
      <c r="P258" s="76">
        <v>4294967296</v>
      </c>
      <c r="Q258" t="s">
        <v>3848</v>
      </c>
      <c r="R258" t="s">
        <v>3848</v>
      </c>
    </row>
    <row r="259" spans="1:18" x14ac:dyDescent="0.25">
      <c r="A259" t="s">
        <v>3719</v>
      </c>
      <c r="B259" t="s">
        <v>3706</v>
      </c>
      <c r="C259" t="s">
        <v>3707</v>
      </c>
      <c r="D259" t="s">
        <v>3708</v>
      </c>
      <c r="E259" t="s">
        <v>3709</v>
      </c>
      <c r="F259" t="s">
        <v>35</v>
      </c>
      <c r="G259" t="s">
        <v>2690</v>
      </c>
      <c r="H259" s="8" t="s">
        <v>100</v>
      </c>
      <c r="J259" s="16" t="s">
        <v>3720</v>
      </c>
      <c r="K259" t="s">
        <v>14</v>
      </c>
      <c r="L259" t="s">
        <v>3711</v>
      </c>
      <c r="M259" s="17">
        <v>0</v>
      </c>
      <c r="N259" s="17">
        <v>5000</v>
      </c>
      <c r="O259" s="17">
        <v>1.1642E-6</v>
      </c>
      <c r="P259" s="76">
        <v>4294967296</v>
      </c>
      <c r="Q259" t="s">
        <v>3848</v>
      </c>
      <c r="R259" t="s">
        <v>3848</v>
      </c>
    </row>
    <row r="260" spans="1:18" x14ac:dyDescent="0.25">
      <c r="A260" t="s">
        <v>3721</v>
      </c>
      <c r="B260" t="s">
        <v>3706</v>
      </c>
      <c r="C260" t="s">
        <v>3707</v>
      </c>
      <c r="D260" t="s">
        <v>3708</v>
      </c>
      <c r="E260" t="s">
        <v>3709</v>
      </c>
      <c r="F260" t="s">
        <v>35</v>
      </c>
      <c r="G260" t="s">
        <v>2707</v>
      </c>
      <c r="H260" s="8" t="s">
        <v>71</v>
      </c>
      <c r="J260" s="16" t="s">
        <v>3722</v>
      </c>
      <c r="K260" t="s">
        <v>14</v>
      </c>
      <c r="L260" t="s">
        <v>3711</v>
      </c>
      <c r="M260" s="17">
        <v>0</v>
      </c>
      <c r="N260" s="17">
        <v>5000</v>
      </c>
      <c r="O260" s="17">
        <v>1.1642E-6</v>
      </c>
      <c r="P260" s="76">
        <v>4294967296</v>
      </c>
      <c r="Q260" t="s">
        <v>3848</v>
      </c>
      <c r="R260" t="s">
        <v>3848</v>
      </c>
    </row>
    <row r="261" spans="1:18" x14ac:dyDescent="0.25">
      <c r="A261" t="s">
        <v>3723</v>
      </c>
      <c r="B261" t="s">
        <v>3713</v>
      </c>
      <c r="C261" t="s">
        <v>3714</v>
      </c>
      <c r="D261" t="s">
        <v>3708</v>
      </c>
      <c r="E261" t="s">
        <v>3709</v>
      </c>
      <c r="F261" t="s">
        <v>35</v>
      </c>
      <c r="G261" t="s">
        <v>2707</v>
      </c>
      <c r="H261" s="8" t="s">
        <v>71</v>
      </c>
      <c r="J261" s="16" t="s">
        <v>3724</v>
      </c>
      <c r="K261" t="s">
        <v>14</v>
      </c>
      <c r="L261" t="s">
        <v>3716</v>
      </c>
      <c r="M261" s="17">
        <v>0</v>
      </c>
      <c r="N261" s="17">
        <v>5000</v>
      </c>
      <c r="O261" s="17">
        <v>1.1642E-6</v>
      </c>
      <c r="P261" s="76">
        <v>4294967296</v>
      </c>
      <c r="Q261" t="s">
        <v>3848</v>
      </c>
      <c r="R261" t="s">
        <v>3848</v>
      </c>
    </row>
    <row r="262" spans="1:18" x14ac:dyDescent="0.25">
      <c r="A262" t="s">
        <v>3725</v>
      </c>
      <c r="B262" t="s">
        <v>3726</v>
      </c>
      <c r="C262" t="s">
        <v>3727</v>
      </c>
      <c r="D262" t="s">
        <v>3708</v>
      </c>
      <c r="E262" t="s">
        <v>3709</v>
      </c>
      <c r="F262" t="s">
        <v>35</v>
      </c>
      <c r="G262" t="s">
        <v>3728</v>
      </c>
      <c r="H262" s="8" t="s">
        <v>113</v>
      </c>
      <c r="J262" s="16" t="s">
        <v>3729</v>
      </c>
      <c r="K262" t="s">
        <v>14</v>
      </c>
      <c r="L262" t="s">
        <v>2659</v>
      </c>
      <c r="M262" s="17">
        <v>0</v>
      </c>
      <c r="N262" s="17">
        <v>100000</v>
      </c>
      <c r="O262" s="17">
        <v>2.3283100000000001E-5</v>
      </c>
      <c r="P262" s="76">
        <v>4294967296</v>
      </c>
      <c r="Q262" t="s">
        <v>2660</v>
      </c>
      <c r="R262" t="s">
        <v>2660</v>
      </c>
    </row>
    <row r="263" spans="1:18" x14ac:dyDescent="0.25">
      <c r="A263" t="s">
        <v>3730</v>
      </c>
      <c r="B263" t="s">
        <v>3731</v>
      </c>
      <c r="C263" t="s">
        <v>3732</v>
      </c>
      <c r="D263" t="s">
        <v>3708</v>
      </c>
      <c r="E263" t="s">
        <v>3709</v>
      </c>
      <c r="F263" t="s">
        <v>35</v>
      </c>
      <c r="G263" t="s">
        <v>3728</v>
      </c>
      <c r="H263" s="8" t="s">
        <v>113</v>
      </c>
      <c r="J263" s="16" t="s">
        <v>3733</v>
      </c>
      <c r="K263" t="s">
        <v>14</v>
      </c>
      <c r="L263" t="s">
        <v>2659</v>
      </c>
      <c r="M263" s="17">
        <v>0</v>
      </c>
      <c r="N263" s="17">
        <v>100000</v>
      </c>
      <c r="O263" s="17">
        <v>2.3283100000000001E-5</v>
      </c>
      <c r="P263" s="76">
        <v>4294967296</v>
      </c>
      <c r="Q263" t="s">
        <v>2660</v>
      </c>
      <c r="R263" t="s">
        <v>2660</v>
      </c>
    </row>
    <row r="264" spans="1:18" x14ac:dyDescent="0.25">
      <c r="A264" t="s">
        <v>3734</v>
      </c>
      <c r="B264" t="s">
        <v>3735</v>
      </c>
      <c r="C264" t="s">
        <v>3736</v>
      </c>
      <c r="D264" t="s">
        <v>3708</v>
      </c>
      <c r="E264" t="s">
        <v>3709</v>
      </c>
      <c r="F264" t="s">
        <v>35</v>
      </c>
      <c r="G264" t="s">
        <v>2922</v>
      </c>
      <c r="H264" s="8" t="s">
        <v>2601</v>
      </c>
      <c r="J264" s="16" t="s">
        <v>3737</v>
      </c>
      <c r="K264" t="s">
        <v>14</v>
      </c>
      <c r="L264" t="s">
        <v>2659</v>
      </c>
      <c r="M264" s="17">
        <v>0</v>
      </c>
      <c r="N264" s="17">
        <v>100000</v>
      </c>
      <c r="O264" s="17">
        <v>2.3283100000000001E-5</v>
      </c>
      <c r="P264" s="76">
        <v>4294967296</v>
      </c>
      <c r="Q264" t="s">
        <v>2660</v>
      </c>
      <c r="R264" t="s">
        <v>2660</v>
      </c>
    </row>
    <row r="265" spans="1:18" x14ac:dyDescent="0.25">
      <c r="A265" t="s">
        <v>3738</v>
      </c>
      <c r="B265" t="s">
        <v>3739</v>
      </c>
      <c r="C265" t="s">
        <v>3740</v>
      </c>
      <c r="D265" t="s">
        <v>3708</v>
      </c>
      <c r="E265" t="s">
        <v>3709</v>
      </c>
      <c r="F265" t="s">
        <v>35</v>
      </c>
      <c r="G265" t="s">
        <v>2922</v>
      </c>
      <c r="H265" s="8" t="s">
        <v>2601</v>
      </c>
      <c r="J265" s="16" t="s">
        <v>3741</v>
      </c>
      <c r="K265" t="s">
        <v>14</v>
      </c>
      <c r="L265" t="s">
        <v>2659</v>
      </c>
      <c r="M265" s="17">
        <v>0</v>
      </c>
      <c r="N265" s="17">
        <v>100000</v>
      </c>
      <c r="O265" s="17">
        <v>2.3283100000000001E-5</v>
      </c>
      <c r="P265" s="76">
        <v>4294967296</v>
      </c>
      <c r="Q265" t="s">
        <v>2660</v>
      </c>
      <c r="R265" t="s">
        <v>2660</v>
      </c>
    </row>
    <row r="266" spans="1:18" x14ac:dyDescent="0.25">
      <c r="A266" t="s">
        <v>3742</v>
      </c>
      <c r="B266" t="s">
        <v>3743</v>
      </c>
      <c r="C266" t="s">
        <v>3744</v>
      </c>
      <c r="D266" t="s">
        <v>3708</v>
      </c>
      <c r="E266" t="s">
        <v>3709</v>
      </c>
      <c r="F266" t="s">
        <v>35</v>
      </c>
      <c r="G266" t="s">
        <v>2706</v>
      </c>
      <c r="H266" s="8" t="s">
        <v>113</v>
      </c>
      <c r="J266" s="16" t="s">
        <v>3745</v>
      </c>
      <c r="K266" t="s">
        <v>14</v>
      </c>
      <c r="L266" t="s">
        <v>2659</v>
      </c>
      <c r="M266" s="17">
        <v>0</v>
      </c>
      <c r="N266" s="17">
        <v>1</v>
      </c>
      <c r="O266" s="17">
        <v>2.0000000000000001E-10</v>
      </c>
      <c r="P266" s="76">
        <v>4294967296</v>
      </c>
      <c r="Q266" t="s">
        <v>2660</v>
      </c>
      <c r="R266" t="s">
        <v>2660</v>
      </c>
    </row>
    <row r="267" spans="1:18" x14ac:dyDescent="0.25">
      <c r="A267" t="s">
        <v>3746</v>
      </c>
      <c r="B267" t="s">
        <v>3747</v>
      </c>
      <c r="C267" t="s">
        <v>3748</v>
      </c>
      <c r="D267" t="s">
        <v>3708</v>
      </c>
      <c r="E267" t="s">
        <v>3709</v>
      </c>
      <c r="F267" t="s">
        <v>35</v>
      </c>
      <c r="G267" t="s">
        <v>2669</v>
      </c>
      <c r="H267" s="8" t="s">
        <v>113</v>
      </c>
      <c r="J267" s="16" t="s">
        <v>3749</v>
      </c>
      <c r="K267" t="s">
        <v>14</v>
      </c>
      <c r="L267" t="s">
        <v>2659</v>
      </c>
      <c r="M267" s="17">
        <v>0</v>
      </c>
      <c r="N267" s="17">
        <v>1</v>
      </c>
      <c r="O267" s="17">
        <v>2.0000000000000001E-10</v>
      </c>
      <c r="P267" s="76">
        <v>4294967296</v>
      </c>
      <c r="Q267" t="s">
        <v>2660</v>
      </c>
      <c r="R267" t="s">
        <v>2660</v>
      </c>
    </row>
    <row r="268" spans="1:18" x14ac:dyDescent="0.25">
      <c r="A268" t="s">
        <v>2693</v>
      </c>
      <c r="B268" t="s">
        <v>2693</v>
      </c>
      <c r="C268" t="s">
        <v>2694</v>
      </c>
      <c r="D268" t="s">
        <v>2721</v>
      </c>
      <c r="E268" t="s">
        <v>3356</v>
      </c>
      <c r="F268" t="s">
        <v>35</v>
      </c>
      <c r="G268" t="s">
        <v>2657</v>
      </c>
      <c r="H268" s="8" t="s">
        <v>3058</v>
      </c>
      <c r="J268" s="16" t="s">
        <v>3750</v>
      </c>
      <c r="K268" t="s">
        <v>14</v>
      </c>
      <c r="L268" t="s">
        <v>2659</v>
      </c>
      <c r="M268" s="17">
        <v>-1000</v>
      </c>
      <c r="N268" s="17">
        <v>1000</v>
      </c>
      <c r="O268" s="17">
        <v>4.6569999999999999E-7</v>
      </c>
      <c r="P268" s="76">
        <v>4294967296</v>
      </c>
      <c r="Q268" t="s">
        <v>2660</v>
      </c>
      <c r="R268" t="s">
        <v>2660</v>
      </c>
    </row>
    <row r="269" spans="1:18" x14ac:dyDescent="0.25">
      <c r="A269" t="s">
        <v>2697</v>
      </c>
      <c r="B269" t="s">
        <v>2697</v>
      </c>
      <c r="C269" t="s">
        <v>2698</v>
      </c>
      <c r="D269" t="s">
        <v>2721</v>
      </c>
      <c r="E269" t="s">
        <v>3356</v>
      </c>
      <c r="F269" t="s">
        <v>35</v>
      </c>
      <c r="G269" t="s">
        <v>2699</v>
      </c>
      <c r="H269" s="8" t="s">
        <v>64</v>
      </c>
      <c r="J269" s="16" t="s">
        <v>3751</v>
      </c>
      <c r="K269" t="s">
        <v>14</v>
      </c>
      <c r="L269" t="s">
        <v>2659</v>
      </c>
      <c r="M269" s="17">
        <v>0</v>
      </c>
      <c r="N269" s="17">
        <v>10000000</v>
      </c>
      <c r="O269" s="17">
        <v>2.3283064000000002E-3</v>
      </c>
      <c r="P269" s="76">
        <v>4294967296</v>
      </c>
      <c r="Q269" t="s">
        <v>2660</v>
      </c>
      <c r="R269" t="s">
        <v>2660</v>
      </c>
    </row>
    <row r="270" spans="1:18" x14ac:dyDescent="0.25">
      <c r="A270" t="s">
        <v>3752</v>
      </c>
      <c r="B270" t="s">
        <v>2475</v>
      </c>
      <c r="C270" t="s">
        <v>2476</v>
      </c>
      <c r="D270" t="s">
        <v>2721</v>
      </c>
      <c r="E270" t="s">
        <v>3356</v>
      </c>
      <c r="F270" t="s">
        <v>35</v>
      </c>
      <c r="G270" t="s">
        <v>3308</v>
      </c>
      <c r="H270" s="8" t="s">
        <v>2602</v>
      </c>
      <c r="J270" s="16" t="s">
        <v>3753</v>
      </c>
      <c r="K270" t="s">
        <v>14</v>
      </c>
      <c r="L270" t="s">
        <v>2659</v>
      </c>
      <c r="M270" s="17">
        <v>-2000</v>
      </c>
      <c r="N270" s="17">
        <v>2000</v>
      </c>
      <c r="O270" s="17">
        <v>9.3129999999999998E-7</v>
      </c>
      <c r="P270" s="76">
        <v>4294967296</v>
      </c>
      <c r="Q270" t="s">
        <v>2660</v>
      </c>
      <c r="R270" t="s">
        <v>2660</v>
      </c>
    </row>
    <row r="271" spans="1:18" x14ac:dyDescent="0.25">
      <c r="A271" t="s">
        <v>3754</v>
      </c>
      <c r="B271" t="s">
        <v>2681</v>
      </c>
      <c r="C271" t="s">
        <v>2682</v>
      </c>
      <c r="D271" t="s">
        <v>2721</v>
      </c>
      <c r="E271" t="s">
        <v>3356</v>
      </c>
      <c r="F271" t="s">
        <v>35</v>
      </c>
      <c r="G271" t="s">
        <v>2685</v>
      </c>
      <c r="H271" s="8" t="s">
        <v>2600</v>
      </c>
      <c r="J271" s="16" t="s">
        <v>3755</v>
      </c>
      <c r="K271" t="s">
        <v>14</v>
      </c>
      <c r="L271" t="s">
        <v>2659</v>
      </c>
      <c r="M271" s="17">
        <v>-100</v>
      </c>
      <c r="N271" s="17">
        <v>100</v>
      </c>
      <c r="O271" s="17">
        <v>4.66E-8</v>
      </c>
      <c r="P271" s="76">
        <v>4294967296</v>
      </c>
      <c r="Q271" t="s">
        <v>2660</v>
      </c>
      <c r="R271" t="s">
        <v>2660</v>
      </c>
    </row>
    <row r="272" spans="1:18" x14ac:dyDescent="0.25">
      <c r="A272" t="s">
        <v>3766</v>
      </c>
      <c r="B272" t="s">
        <v>3785</v>
      </c>
      <c r="C272" t="s">
        <v>3767</v>
      </c>
      <c r="D272" t="s">
        <v>2787</v>
      </c>
      <c r="E272" t="s">
        <v>3764</v>
      </c>
      <c r="F272" t="s">
        <v>34</v>
      </c>
      <c r="G272" t="s">
        <v>2729</v>
      </c>
      <c r="H272" s="8" t="s">
        <v>85</v>
      </c>
      <c r="J272" s="16" t="s">
        <v>3825</v>
      </c>
      <c r="K272" t="s">
        <v>14</v>
      </c>
      <c r="L272" t="s">
        <v>3716</v>
      </c>
      <c r="M272" s="17">
        <v>0</v>
      </c>
      <c r="N272" s="17">
        <v>1000</v>
      </c>
      <c r="O272" s="17">
        <v>2.3279999999999999E-7</v>
      </c>
      <c r="P272" s="76">
        <v>4294967296</v>
      </c>
      <c r="Q272" t="s">
        <v>3848</v>
      </c>
      <c r="R272" t="s">
        <v>3848</v>
      </c>
    </row>
    <row r="273" spans="1:18" x14ac:dyDescent="0.25">
      <c r="A273" t="s">
        <v>3774</v>
      </c>
      <c r="B273" t="s">
        <v>3786</v>
      </c>
      <c r="C273" t="s">
        <v>3768</v>
      </c>
      <c r="D273" t="s">
        <v>2787</v>
      </c>
      <c r="E273" t="s">
        <v>3764</v>
      </c>
      <c r="F273" t="s">
        <v>34</v>
      </c>
      <c r="G273" t="s">
        <v>2729</v>
      </c>
      <c r="H273" s="8" t="s">
        <v>85</v>
      </c>
      <c r="J273" s="16" t="s">
        <v>3826</v>
      </c>
      <c r="K273" t="s">
        <v>14</v>
      </c>
      <c r="L273" t="s">
        <v>3716</v>
      </c>
      <c r="M273" s="17">
        <v>0</v>
      </c>
      <c r="N273" s="17">
        <v>1000</v>
      </c>
      <c r="O273" s="17">
        <v>2.3279999999999999E-7</v>
      </c>
      <c r="P273" s="76">
        <v>4294967296</v>
      </c>
      <c r="Q273" t="s">
        <v>3848</v>
      </c>
      <c r="R273" t="s">
        <v>3848</v>
      </c>
    </row>
    <row r="274" spans="1:18" x14ac:dyDescent="0.25">
      <c r="A274" t="s">
        <v>3775</v>
      </c>
      <c r="B274" t="s">
        <v>3787</v>
      </c>
      <c r="C274" t="s">
        <v>3769</v>
      </c>
      <c r="D274" t="s">
        <v>2787</v>
      </c>
      <c r="E274" t="s">
        <v>3764</v>
      </c>
      <c r="F274" t="s">
        <v>34</v>
      </c>
      <c r="G274" t="s">
        <v>2729</v>
      </c>
      <c r="H274" s="8" t="s">
        <v>85</v>
      </c>
      <c r="J274" s="16" t="s">
        <v>3827</v>
      </c>
      <c r="K274" t="s">
        <v>14</v>
      </c>
      <c r="L274" t="s">
        <v>3716</v>
      </c>
      <c r="M274" s="17">
        <v>0</v>
      </c>
      <c r="N274" s="17">
        <v>1000</v>
      </c>
      <c r="O274" s="17">
        <v>2.3279999999999999E-7</v>
      </c>
      <c r="P274" s="76">
        <v>4294967296</v>
      </c>
      <c r="Q274" t="s">
        <v>3848</v>
      </c>
      <c r="R274" t="s">
        <v>3848</v>
      </c>
    </row>
    <row r="275" spans="1:18" x14ac:dyDescent="0.25">
      <c r="A275" t="s">
        <v>3776</v>
      </c>
      <c r="B275" t="s">
        <v>3788</v>
      </c>
      <c r="C275" t="s">
        <v>3770</v>
      </c>
      <c r="D275" t="s">
        <v>2787</v>
      </c>
      <c r="E275" t="s">
        <v>3764</v>
      </c>
      <c r="F275" t="s">
        <v>34</v>
      </c>
      <c r="G275" t="s">
        <v>2729</v>
      </c>
      <c r="H275" s="8" t="s">
        <v>85</v>
      </c>
      <c r="J275" s="16" t="s">
        <v>3828</v>
      </c>
      <c r="K275" t="s">
        <v>14</v>
      </c>
      <c r="L275" t="s">
        <v>3716</v>
      </c>
      <c r="M275" s="17">
        <v>0</v>
      </c>
      <c r="N275" s="17">
        <v>1000</v>
      </c>
      <c r="O275" s="17">
        <v>2.3279999999999999E-7</v>
      </c>
      <c r="P275" s="76">
        <v>4294967296</v>
      </c>
      <c r="Q275" t="s">
        <v>3848</v>
      </c>
      <c r="R275" t="s">
        <v>3848</v>
      </c>
    </row>
    <row r="276" spans="1:18" x14ac:dyDescent="0.25">
      <c r="A276" t="s">
        <v>3777</v>
      </c>
      <c r="B276" t="s">
        <v>3789</v>
      </c>
      <c r="C276" t="s">
        <v>3771</v>
      </c>
      <c r="D276" t="s">
        <v>2787</v>
      </c>
      <c r="E276" t="s">
        <v>3764</v>
      </c>
      <c r="F276" t="s">
        <v>34</v>
      </c>
      <c r="G276" t="s">
        <v>2729</v>
      </c>
      <c r="H276" s="8" t="s">
        <v>85</v>
      </c>
      <c r="J276" s="16" t="s">
        <v>3829</v>
      </c>
      <c r="K276" t="s">
        <v>14</v>
      </c>
      <c r="L276" t="s">
        <v>3716</v>
      </c>
      <c r="M276" s="17">
        <v>0</v>
      </c>
      <c r="N276" s="17">
        <v>1000</v>
      </c>
      <c r="O276" s="17">
        <v>2.3279999999999999E-7</v>
      </c>
      <c r="P276" s="76">
        <v>4294967296</v>
      </c>
      <c r="Q276" t="s">
        <v>3848</v>
      </c>
      <c r="R276" t="s">
        <v>3848</v>
      </c>
    </row>
    <row r="277" spans="1:18" x14ac:dyDescent="0.25">
      <c r="A277" t="s">
        <v>3778</v>
      </c>
      <c r="B277" t="s">
        <v>3790</v>
      </c>
      <c r="C277" t="s">
        <v>3772</v>
      </c>
      <c r="D277" t="s">
        <v>2787</v>
      </c>
      <c r="E277" t="s">
        <v>3764</v>
      </c>
      <c r="F277" t="s">
        <v>34</v>
      </c>
      <c r="G277" t="s">
        <v>2729</v>
      </c>
      <c r="H277" s="8" t="s">
        <v>85</v>
      </c>
      <c r="J277" s="16" t="s">
        <v>3830</v>
      </c>
      <c r="K277" t="s">
        <v>14</v>
      </c>
      <c r="L277" t="s">
        <v>3716</v>
      </c>
      <c r="M277" s="17">
        <v>0</v>
      </c>
      <c r="N277" s="17">
        <v>1000</v>
      </c>
      <c r="O277" s="17">
        <v>2.3279999999999999E-7</v>
      </c>
      <c r="P277" s="76">
        <v>4294967296</v>
      </c>
      <c r="Q277" t="s">
        <v>3848</v>
      </c>
      <c r="R277" t="s">
        <v>3848</v>
      </c>
    </row>
    <row r="278" spans="1:18" x14ac:dyDescent="0.25">
      <c r="A278" t="s">
        <v>3779</v>
      </c>
      <c r="B278" t="s">
        <v>3786</v>
      </c>
      <c r="C278" t="s">
        <v>3768</v>
      </c>
      <c r="D278" t="s">
        <v>2787</v>
      </c>
      <c r="E278" t="s">
        <v>3764</v>
      </c>
      <c r="F278" t="s">
        <v>34</v>
      </c>
      <c r="G278" t="s">
        <v>2678</v>
      </c>
      <c r="H278" s="8" t="s">
        <v>76</v>
      </c>
      <c r="J278" s="16" t="s">
        <v>3831</v>
      </c>
      <c r="K278" t="s">
        <v>14</v>
      </c>
      <c r="L278" t="s">
        <v>3716</v>
      </c>
      <c r="M278" s="17">
        <v>-720</v>
      </c>
      <c r="N278" s="17">
        <v>720</v>
      </c>
      <c r="O278" s="17">
        <v>3.3529999999999999E-7</v>
      </c>
      <c r="P278" s="76">
        <v>4294967296</v>
      </c>
      <c r="Q278" t="s">
        <v>3848</v>
      </c>
      <c r="R278" t="s">
        <v>3848</v>
      </c>
    </row>
    <row r="279" spans="1:18" x14ac:dyDescent="0.25">
      <c r="A279" t="s">
        <v>3780</v>
      </c>
      <c r="B279" t="s">
        <v>3787</v>
      </c>
      <c r="C279" t="s">
        <v>3769</v>
      </c>
      <c r="D279" t="s">
        <v>2787</v>
      </c>
      <c r="E279" t="s">
        <v>3764</v>
      </c>
      <c r="F279" t="s">
        <v>34</v>
      </c>
      <c r="G279" t="s">
        <v>2678</v>
      </c>
      <c r="H279" s="8" t="s">
        <v>76</v>
      </c>
      <c r="J279" s="16" t="s">
        <v>3832</v>
      </c>
      <c r="K279" t="s">
        <v>14</v>
      </c>
      <c r="L279" t="s">
        <v>3716</v>
      </c>
      <c r="M279" s="17">
        <v>-720</v>
      </c>
      <c r="N279" s="17">
        <v>720</v>
      </c>
      <c r="O279" s="17">
        <v>3.3529999999999999E-7</v>
      </c>
      <c r="P279" s="76">
        <v>4294967296</v>
      </c>
      <c r="Q279" t="s">
        <v>3848</v>
      </c>
      <c r="R279" t="s">
        <v>3848</v>
      </c>
    </row>
    <row r="280" spans="1:18" x14ac:dyDescent="0.25">
      <c r="A280" t="s">
        <v>3781</v>
      </c>
      <c r="B280" t="s">
        <v>3788</v>
      </c>
      <c r="C280" t="s">
        <v>3770</v>
      </c>
      <c r="D280" t="s">
        <v>2787</v>
      </c>
      <c r="E280" t="s">
        <v>3764</v>
      </c>
      <c r="F280" t="s">
        <v>34</v>
      </c>
      <c r="G280" t="s">
        <v>2678</v>
      </c>
      <c r="H280" s="8" t="s">
        <v>76</v>
      </c>
      <c r="J280" s="16" t="s">
        <v>3833</v>
      </c>
      <c r="K280" t="s">
        <v>14</v>
      </c>
      <c r="L280" t="s">
        <v>3716</v>
      </c>
      <c r="M280" s="17">
        <v>-720</v>
      </c>
      <c r="N280" s="17">
        <v>720</v>
      </c>
      <c r="O280" s="17">
        <v>3.3529999999999999E-7</v>
      </c>
      <c r="P280" s="76">
        <v>4294967296</v>
      </c>
      <c r="Q280" t="s">
        <v>3848</v>
      </c>
      <c r="R280" t="s">
        <v>3848</v>
      </c>
    </row>
    <row r="281" spans="1:18" x14ac:dyDescent="0.25">
      <c r="A281" t="s">
        <v>3782</v>
      </c>
      <c r="B281" t="s">
        <v>3789</v>
      </c>
      <c r="C281" t="s">
        <v>3771</v>
      </c>
      <c r="D281" t="s">
        <v>2787</v>
      </c>
      <c r="E281" t="s">
        <v>3764</v>
      </c>
      <c r="F281" t="s">
        <v>34</v>
      </c>
      <c r="G281" t="s">
        <v>2678</v>
      </c>
      <c r="H281" s="8" t="s">
        <v>76</v>
      </c>
      <c r="J281" s="16" t="s">
        <v>3834</v>
      </c>
      <c r="K281" t="s">
        <v>14</v>
      </c>
      <c r="L281" t="s">
        <v>3716</v>
      </c>
      <c r="M281" s="17">
        <v>-720</v>
      </c>
      <c r="N281" s="17">
        <v>720</v>
      </c>
      <c r="O281" s="17">
        <v>3.3529999999999999E-7</v>
      </c>
      <c r="P281" s="76">
        <v>4294967296</v>
      </c>
      <c r="Q281" t="s">
        <v>3848</v>
      </c>
      <c r="R281" t="s">
        <v>3848</v>
      </c>
    </row>
    <row r="282" spans="1:18" x14ac:dyDescent="0.25">
      <c r="A282" t="s">
        <v>3783</v>
      </c>
      <c r="B282" t="s">
        <v>3790</v>
      </c>
      <c r="C282" t="s">
        <v>3772</v>
      </c>
      <c r="D282" t="s">
        <v>2787</v>
      </c>
      <c r="E282" t="s">
        <v>3764</v>
      </c>
      <c r="F282" t="s">
        <v>34</v>
      </c>
      <c r="G282" t="s">
        <v>2678</v>
      </c>
      <c r="H282" s="8" t="s">
        <v>76</v>
      </c>
      <c r="J282" s="16" t="s">
        <v>3835</v>
      </c>
      <c r="K282" t="s">
        <v>14</v>
      </c>
      <c r="L282" t="s">
        <v>3716</v>
      </c>
      <c r="M282" s="17">
        <v>-720</v>
      </c>
      <c r="N282" s="17">
        <v>720</v>
      </c>
      <c r="O282" s="17">
        <v>3.3529999999999999E-7</v>
      </c>
      <c r="P282" s="76">
        <v>4294967296</v>
      </c>
      <c r="Q282" t="s">
        <v>3848</v>
      </c>
      <c r="R282" t="s">
        <v>3848</v>
      </c>
    </row>
    <row r="283" spans="1:18" x14ac:dyDescent="0.25">
      <c r="A283" t="s">
        <v>3784</v>
      </c>
      <c r="B283" t="s">
        <v>3791</v>
      </c>
      <c r="C283" t="s">
        <v>3773</v>
      </c>
      <c r="D283" t="s">
        <v>2787</v>
      </c>
      <c r="E283" t="s">
        <v>3764</v>
      </c>
      <c r="F283" t="s">
        <v>34</v>
      </c>
      <c r="G283" t="s">
        <v>2761</v>
      </c>
      <c r="H283" s="8" t="s">
        <v>1679</v>
      </c>
      <c r="J283" s="16" t="s">
        <v>3836</v>
      </c>
      <c r="K283" t="s">
        <v>14</v>
      </c>
      <c r="L283" t="s">
        <v>3716</v>
      </c>
      <c r="M283" s="17">
        <v>0</v>
      </c>
      <c r="N283" s="17">
        <v>400000000</v>
      </c>
      <c r="O283" s="17">
        <v>9.3132257499999996E-2</v>
      </c>
      <c r="P283" s="76">
        <v>4294967296</v>
      </c>
      <c r="Q283" t="s">
        <v>3848</v>
      </c>
      <c r="R283" t="s">
        <v>3848</v>
      </c>
    </row>
    <row r="284" spans="1:18" x14ac:dyDescent="0.25">
      <c r="A284" t="s">
        <v>3796</v>
      </c>
      <c r="B284" t="s">
        <v>3794</v>
      </c>
      <c r="C284" t="s">
        <v>3792</v>
      </c>
      <c r="D284" t="s">
        <v>2787</v>
      </c>
      <c r="E284" t="s">
        <v>3764</v>
      </c>
      <c r="F284" t="s">
        <v>34</v>
      </c>
      <c r="G284" t="s">
        <v>2761</v>
      </c>
      <c r="H284" s="8" t="s">
        <v>1679</v>
      </c>
      <c r="J284" s="16" t="s">
        <v>3837</v>
      </c>
      <c r="K284" t="s">
        <v>14</v>
      </c>
      <c r="L284" t="s">
        <v>3716</v>
      </c>
      <c r="M284" s="17">
        <v>0</v>
      </c>
      <c r="N284" s="17">
        <v>500000</v>
      </c>
      <c r="O284" s="17">
        <v>1.164153E-4</v>
      </c>
      <c r="P284" s="76">
        <v>4294967296</v>
      </c>
      <c r="Q284" t="s">
        <v>3848</v>
      </c>
      <c r="R284" t="s">
        <v>3848</v>
      </c>
    </row>
    <row r="285" spans="1:18" x14ac:dyDescent="0.25">
      <c r="A285" t="s">
        <v>3797</v>
      </c>
      <c r="B285" t="s">
        <v>3795</v>
      </c>
      <c r="C285" t="s">
        <v>3793</v>
      </c>
      <c r="D285" t="s">
        <v>2787</v>
      </c>
      <c r="E285" t="s">
        <v>3764</v>
      </c>
      <c r="F285" t="s">
        <v>34</v>
      </c>
      <c r="G285" t="s">
        <v>2790</v>
      </c>
      <c r="H285" s="8" t="s">
        <v>2599</v>
      </c>
      <c r="J285" s="16" t="s">
        <v>3838</v>
      </c>
      <c r="K285" t="s">
        <v>14</v>
      </c>
      <c r="L285" t="s">
        <v>3716</v>
      </c>
      <c r="M285" s="17">
        <v>0</v>
      </c>
      <c r="N285" s="17">
        <v>5</v>
      </c>
      <c r="O285" s="17">
        <v>1.2E-9</v>
      </c>
      <c r="P285" s="76">
        <v>4294967296</v>
      </c>
      <c r="Q285" t="s">
        <v>3848</v>
      </c>
      <c r="R285" t="s">
        <v>3848</v>
      </c>
    </row>
    <row r="286" spans="1:18" x14ac:dyDescent="0.25">
      <c r="A286" t="s">
        <v>3808</v>
      </c>
      <c r="B286" t="s">
        <v>3809</v>
      </c>
      <c r="C286" t="s">
        <v>3810</v>
      </c>
      <c r="D286" t="s">
        <v>2787</v>
      </c>
      <c r="E286" t="s">
        <v>3629</v>
      </c>
      <c r="F286" t="s">
        <v>34</v>
      </c>
      <c r="G286" t="s">
        <v>2690</v>
      </c>
      <c r="H286" s="8" t="s">
        <v>100</v>
      </c>
      <c r="J286" s="16" t="s">
        <v>3839</v>
      </c>
      <c r="K286" t="s">
        <v>14</v>
      </c>
      <c r="L286" t="s">
        <v>3716</v>
      </c>
      <c r="M286">
        <v>-21470</v>
      </c>
      <c r="N286">
        <v>214748</v>
      </c>
      <c r="O286">
        <v>5.4998799999999999E-5</v>
      </c>
      <c r="P286" s="76">
        <v>4294967296</v>
      </c>
      <c r="Q286" t="s">
        <v>3848</v>
      </c>
      <c r="R286" t="s">
        <v>3848</v>
      </c>
    </row>
    <row r="287" spans="1:18" x14ac:dyDescent="0.25">
      <c r="A287" t="s">
        <v>3811</v>
      </c>
      <c r="B287" t="s">
        <v>3812</v>
      </c>
      <c r="C287" t="s">
        <v>3813</v>
      </c>
      <c r="D287" t="s">
        <v>2787</v>
      </c>
      <c r="E287" t="s">
        <v>3629</v>
      </c>
      <c r="F287" t="s">
        <v>34</v>
      </c>
      <c r="G287" t="s">
        <v>2897</v>
      </c>
      <c r="H287" s="8" t="s">
        <v>2898</v>
      </c>
      <c r="J287" s="16" t="s">
        <v>3840</v>
      </c>
      <c r="K287" t="s">
        <v>14</v>
      </c>
      <c r="L287" t="s">
        <v>3716</v>
      </c>
      <c r="M287">
        <v>0</v>
      </c>
      <c r="N287">
        <v>214700</v>
      </c>
      <c r="O287">
        <v>4.9988699999999998E-5</v>
      </c>
      <c r="P287" s="76">
        <v>4294967296</v>
      </c>
      <c r="Q287" t="s">
        <v>3848</v>
      </c>
      <c r="R287" t="s">
        <v>3848</v>
      </c>
    </row>
    <row r="288" spans="1:18" x14ac:dyDescent="0.25">
      <c r="A288" t="s">
        <v>3814</v>
      </c>
      <c r="B288" t="s">
        <v>3815</v>
      </c>
      <c r="C288" t="s">
        <v>3816</v>
      </c>
      <c r="D288" t="s">
        <v>2787</v>
      </c>
      <c r="E288" t="s">
        <v>3629</v>
      </c>
      <c r="F288" t="s">
        <v>34</v>
      </c>
      <c r="G288" t="s">
        <v>2791</v>
      </c>
      <c r="H288" s="8" t="s">
        <v>96</v>
      </c>
      <c r="J288" s="16" t="s">
        <v>3841</v>
      </c>
      <c r="K288" t="s">
        <v>14</v>
      </c>
      <c r="L288" t="s">
        <v>3716</v>
      </c>
      <c r="M288">
        <v>-100</v>
      </c>
      <c r="N288">
        <v>2000</v>
      </c>
      <c r="O288">
        <v>4.8889999999999999E-7</v>
      </c>
      <c r="P288" s="76">
        <v>4294967296</v>
      </c>
      <c r="Q288" t="s">
        <v>3848</v>
      </c>
      <c r="R288" t="s">
        <v>3848</v>
      </c>
    </row>
    <row r="289" spans="1:18" x14ac:dyDescent="0.25">
      <c r="A289" t="s">
        <v>3843</v>
      </c>
      <c r="B289" t="s">
        <v>3517</v>
      </c>
      <c r="C289" t="s">
        <v>3518</v>
      </c>
      <c r="D289" t="s">
        <v>2787</v>
      </c>
      <c r="E289" t="s">
        <v>3519</v>
      </c>
      <c r="F289" t="s">
        <v>34</v>
      </c>
      <c r="G289" t="s">
        <v>2703</v>
      </c>
      <c r="H289" s="8" t="s">
        <v>113</v>
      </c>
      <c r="J289" s="16" t="s">
        <v>3842</v>
      </c>
      <c r="K289" t="s">
        <v>14</v>
      </c>
      <c r="L289" t="s">
        <v>2659</v>
      </c>
      <c r="M289" s="17">
        <v>0</v>
      </c>
      <c r="N289" s="17">
        <v>20</v>
      </c>
      <c r="O289" s="17">
        <v>4.6999999999999999E-9</v>
      </c>
      <c r="P289" s="76">
        <v>4294967296</v>
      </c>
      <c r="Q289" t="s">
        <v>2660</v>
      </c>
      <c r="R289" t="s">
        <v>2660</v>
      </c>
    </row>
    <row r="290" spans="1:18" x14ac:dyDescent="0.25">
      <c r="A290" t="s">
        <v>2726</v>
      </c>
      <c r="B290" t="s">
        <v>2727</v>
      </c>
      <c r="C290" t="s">
        <v>2728</v>
      </c>
      <c r="D290" t="s">
        <v>3857</v>
      </c>
      <c r="E290" t="s">
        <v>3859</v>
      </c>
      <c r="F290" t="s">
        <v>35</v>
      </c>
      <c r="G290" t="s">
        <v>2729</v>
      </c>
      <c r="H290" s="8" t="s">
        <v>85</v>
      </c>
      <c r="J290" s="16" t="s">
        <v>3862</v>
      </c>
      <c r="K290" t="s">
        <v>14</v>
      </c>
      <c r="L290" t="s">
        <v>2659</v>
      </c>
      <c r="M290" s="17">
        <v>0</v>
      </c>
      <c r="N290" s="17">
        <v>1000</v>
      </c>
      <c r="O290" s="17">
        <v>2.3279999999999999E-7</v>
      </c>
      <c r="P290" s="76">
        <v>4294967296</v>
      </c>
      <c r="Q290" t="s">
        <v>3848</v>
      </c>
      <c r="R290" t="s">
        <v>3848</v>
      </c>
    </row>
    <row r="291" spans="1:18" x14ac:dyDescent="0.25">
      <c r="A291" t="s">
        <v>3867</v>
      </c>
      <c r="B291" t="s">
        <v>2727</v>
      </c>
      <c r="C291" t="s">
        <v>2728</v>
      </c>
      <c r="D291" t="s">
        <v>2721</v>
      </c>
      <c r="E291" t="s">
        <v>3863</v>
      </c>
      <c r="F291" t="s">
        <v>35</v>
      </c>
      <c r="G291" t="s">
        <v>2729</v>
      </c>
      <c r="H291" s="8" t="s">
        <v>85</v>
      </c>
      <c r="J291" s="16" t="s">
        <v>3869</v>
      </c>
      <c r="K291" t="s">
        <v>14</v>
      </c>
      <c r="L291" t="s">
        <v>2659</v>
      </c>
      <c r="M291" s="17">
        <v>0</v>
      </c>
      <c r="N291" s="17">
        <v>1000</v>
      </c>
      <c r="O291" s="17">
        <v>2.3279999999999999E-7</v>
      </c>
      <c r="P291" s="76">
        <v>4294967296</v>
      </c>
      <c r="Q291" t="s">
        <v>3848</v>
      </c>
      <c r="R291" t="s">
        <v>3848</v>
      </c>
    </row>
    <row r="292" spans="1:18" x14ac:dyDescent="0.25">
      <c r="A292" t="s">
        <v>3877</v>
      </c>
      <c r="B292" t="s">
        <v>2693</v>
      </c>
      <c r="C292" t="s">
        <v>2694</v>
      </c>
      <c r="D292" t="s">
        <v>37</v>
      </c>
      <c r="E292" t="s">
        <v>3871</v>
      </c>
      <c r="F292" t="s">
        <v>37</v>
      </c>
      <c r="G292" t="s">
        <v>2657</v>
      </c>
      <c r="H292" s="8" t="s">
        <v>3058</v>
      </c>
      <c r="J292" s="16" t="s">
        <v>3878</v>
      </c>
      <c r="K292" t="s">
        <v>14</v>
      </c>
      <c r="L292" t="s">
        <v>3876</v>
      </c>
      <c r="M292" s="17">
        <v>0</v>
      </c>
      <c r="N292" s="17">
        <v>150</v>
      </c>
      <c r="O292" s="17">
        <v>3.4900000000000001E-8</v>
      </c>
      <c r="P292" s="76">
        <v>4294967296</v>
      </c>
      <c r="R292" t="s">
        <v>3848</v>
      </c>
    </row>
    <row r="293" spans="1:18" x14ac:dyDescent="0.25">
      <c r="A293" t="s">
        <v>3875</v>
      </c>
      <c r="B293" t="s">
        <v>797</v>
      </c>
      <c r="C293" t="s">
        <v>798</v>
      </c>
      <c r="D293" t="s">
        <v>37</v>
      </c>
      <c r="E293" t="s">
        <v>3871</v>
      </c>
      <c r="F293" t="s">
        <v>37</v>
      </c>
      <c r="G293" t="s">
        <v>2699</v>
      </c>
      <c r="H293" s="8" t="s">
        <v>64</v>
      </c>
      <c r="J293" s="16" t="s">
        <v>3879</v>
      </c>
      <c r="K293" t="s">
        <v>14</v>
      </c>
      <c r="L293" t="s">
        <v>3876</v>
      </c>
      <c r="M293" s="17">
        <v>0</v>
      </c>
      <c r="N293" s="17">
        <v>140000</v>
      </c>
      <c r="O293" s="17">
        <v>3.2596299999999998E-5</v>
      </c>
      <c r="P293" s="76">
        <v>4294967296</v>
      </c>
      <c r="R293" t="s">
        <v>3848</v>
      </c>
    </row>
    <row r="294" spans="1:18" x14ac:dyDescent="0.25">
      <c r="A294" t="s">
        <v>3880</v>
      </c>
      <c r="B294" t="s">
        <v>81</v>
      </c>
      <c r="C294" t="s">
        <v>1755</v>
      </c>
      <c r="D294" t="s">
        <v>37</v>
      </c>
      <c r="E294" t="s">
        <v>3871</v>
      </c>
      <c r="F294" t="s">
        <v>37</v>
      </c>
      <c r="G294" t="s">
        <v>3077</v>
      </c>
      <c r="H294" s="8" t="s">
        <v>82</v>
      </c>
      <c r="J294" s="16" t="s">
        <v>3881</v>
      </c>
      <c r="K294" t="s">
        <v>14</v>
      </c>
      <c r="L294" t="s">
        <v>3876</v>
      </c>
      <c r="M294" s="17">
        <v>0</v>
      </c>
      <c r="N294" s="17">
        <v>400000</v>
      </c>
      <c r="O294" s="17">
        <v>9.3132299999999996E-5</v>
      </c>
      <c r="P294" s="76">
        <v>4294967296</v>
      </c>
      <c r="R294" t="s">
        <v>3848</v>
      </c>
    </row>
    <row r="295" spans="1:18" x14ac:dyDescent="0.25">
      <c r="A295" t="s">
        <v>3888</v>
      </c>
      <c r="B295" t="s">
        <v>3889</v>
      </c>
      <c r="C295" t="s">
        <v>3890</v>
      </c>
      <c r="D295" t="s">
        <v>3708</v>
      </c>
      <c r="E295" t="s">
        <v>3884</v>
      </c>
      <c r="F295" t="s">
        <v>36</v>
      </c>
      <c r="G295" t="s">
        <v>2657</v>
      </c>
      <c r="H295" s="8" t="s">
        <v>3058</v>
      </c>
      <c r="J295" s="16" t="s">
        <v>3891</v>
      </c>
      <c r="K295" t="s">
        <v>14</v>
      </c>
      <c r="L295" t="s">
        <v>3933</v>
      </c>
      <c r="M295" s="17">
        <v>0</v>
      </c>
      <c r="N295" s="17">
        <v>150</v>
      </c>
      <c r="O295" s="17">
        <v>3.4900000000000001E-8</v>
      </c>
      <c r="P295" s="76">
        <v>4294967296</v>
      </c>
      <c r="R295" t="s">
        <v>3848</v>
      </c>
    </row>
    <row r="296" spans="1:18" x14ac:dyDescent="0.25">
      <c r="A296" t="s">
        <v>3887</v>
      </c>
      <c r="B296" t="s">
        <v>3892</v>
      </c>
      <c r="C296" t="s">
        <v>3893</v>
      </c>
      <c r="D296" t="s">
        <v>3708</v>
      </c>
      <c r="E296" t="s">
        <v>3884</v>
      </c>
      <c r="F296" t="s">
        <v>36</v>
      </c>
      <c r="G296" t="s">
        <v>2699</v>
      </c>
      <c r="H296" s="8" t="s">
        <v>64</v>
      </c>
      <c r="J296" s="16" t="s">
        <v>3894</v>
      </c>
      <c r="K296" t="s">
        <v>14</v>
      </c>
      <c r="L296" t="s">
        <v>3933</v>
      </c>
      <c r="M296" s="17">
        <v>0</v>
      </c>
      <c r="N296" s="17">
        <v>140000</v>
      </c>
      <c r="O296" s="17">
        <v>3.2596299999999998E-5</v>
      </c>
      <c r="P296" s="76">
        <v>4294967296</v>
      </c>
      <c r="R296" t="s">
        <v>3848</v>
      </c>
    </row>
    <row r="297" spans="1:18" x14ac:dyDescent="0.25">
      <c r="A297" t="s">
        <v>3895</v>
      </c>
      <c r="B297" t="s">
        <v>3896</v>
      </c>
      <c r="C297" t="s">
        <v>3897</v>
      </c>
      <c r="D297" t="s">
        <v>3708</v>
      </c>
      <c r="E297" t="s">
        <v>3884</v>
      </c>
      <c r="F297" t="s">
        <v>36</v>
      </c>
      <c r="G297" t="s">
        <v>3077</v>
      </c>
      <c r="H297" s="8" t="s">
        <v>82</v>
      </c>
      <c r="J297" s="16" t="s">
        <v>3898</v>
      </c>
      <c r="K297" t="s">
        <v>14</v>
      </c>
      <c r="L297" t="s">
        <v>3933</v>
      </c>
      <c r="M297" s="17">
        <v>0</v>
      </c>
      <c r="N297" s="17">
        <v>400000</v>
      </c>
      <c r="O297" s="17">
        <v>9.3132299999999996E-5</v>
      </c>
      <c r="P297" s="76">
        <v>4294967296</v>
      </c>
      <c r="R297" t="s">
        <v>3848</v>
      </c>
    </row>
    <row r="298" spans="1:18" x14ac:dyDescent="0.25">
      <c r="A298" t="s">
        <v>3899</v>
      </c>
      <c r="B298" t="s">
        <v>3900</v>
      </c>
      <c r="C298" t="s">
        <v>3901</v>
      </c>
      <c r="D298" t="s">
        <v>3708</v>
      </c>
      <c r="E298" t="s">
        <v>3884</v>
      </c>
      <c r="F298" t="s">
        <v>36</v>
      </c>
      <c r="G298" t="s">
        <v>2703</v>
      </c>
      <c r="H298" s="8" t="s">
        <v>113</v>
      </c>
      <c r="J298" s="16" t="s">
        <v>3902</v>
      </c>
      <c r="K298" t="s">
        <v>14</v>
      </c>
      <c r="L298" t="s">
        <v>2659</v>
      </c>
      <c r="M298" s="17">
        <v>0</v>
      </c>
      <c r="N298" s="17">
        <v>400</v>
      </c>
      <c r="O298" s="17">
        <v>9.3100000000000006E-8</v>
      </c>
      <c r="P298" s="76">
        <v>4294967296</v>
      </c>
      <c r="R298" t="s">
        <v>3848</v>
      </c>
    </row>
    <row r="299" spans="1:18" x14ac:dyDescent="0.25">
      <c r="A299" t="s">
        <v>3903</v>
      </c>
      <c r="B299" t="s">
        <v>1946</v>
      </c>
      <c r="C299" t="s">
        <v>1947</v>
      </c>
      <c r="D299" t="s">
        <v>3708</v>
      </c>
      <c r="E299" t="s">
        <v>3884</v>
      </c>
      <c r="F299" t="s">
        <v>36</v>
      </c>
      <c r="G299" t="s">
        <v>2706</v>
      </c>
      <c r="H299" s="8" t="s">
        <v>113</v>
      </c>
      <c r="J299" s="16" t="s">
        <v>3904</v>
      </c>
      <c r="K299" t="s">
        <v>14</v>
      </c>
      <c r="L299" t="s">
        <v>2659</v>
      </c>
      <c r="M299" s="17">
        <v>0</v>
      </c>
      <c r="N299" s="17">
        <v>1</v>
      </c>
      <c r="O299" s="17">
        <v>2.0000000000000001E-10</v>
      </c>
      <c r="P299" s="76">
        <v>4294967296</v>
      </c>
      <c r="R299" t="s">
        <v>3848</v>
      </c>
    </row>
    <row r="300" spans="1:18" x14ac:dyDescent="0.25">
      <c r="A300" t="s">
        <v>3905</v>
      </c>
      <c r="B300" t="s">
        <v>3906</v>
      </c>
      <c r="C300" t="s">
        <v>3907</v>
      </c>
      <c r="D300" t="s">
        <v>3708</v>
      </c>
      <c r="E300" t="s">
        <v>3884</v>
      </c>
      <c r="F300" t="s">
        <v>36</v>
      </c>
      <c r="G300" t="s">
        <v>2706</v>
      </c>
      <c r="H300" s="8" t="s">
        <v>113</v>
      </c>
      <c r="J300" s="16" t="s">
        <v>3908</v>
      </c>
      <c r="K300" t="s">
        <v>14</v>
      </c>
      <c r="L300" t="s">
        <v>2659</v>
      </c>
      <c r="M300" s="17">
        <v>0</v>
      </c>
      <c r="N300" s="17">
        <v>1</v>
      </c>
      <c r="O300" s="17">
        <v>2.0000000000000001E-10</v>
      </c>
      <c r="P300" s="76">
        <v>4294967296</v>
      </c>
      <c r="R300" t="s">
        <v>3848</v>
      </c>
    </row>
    <row r="301" spans="1:18" x14ac:dyDescent="0.25">
      <c r="A301" t="s">
        <v>3909</v>
      </c>
      <c r="B301" t="s">
        <v>3910</v>
      </c>
      <c r="C301" t="s">
        <v>3911</v>
      </c>
      <c r="D301" t="s">
        <v>3708</v>
      </c>
      <c r="E301" t="s">
        <v>3884</v>
      </c>
      <c r="F301" t="s">
        <v>36</v>
      </c>
      <c r="G301" t="s">
        <v>2699</v>
      </c>
      <c r="H301" s="8" t="s">
        <v>64</v>
      </c>
      <c r="J301" s="16" t="s">
        <v>3912</v>
      </c>
      <c r="K301" t="s">
        <v>14</v>
      </c>
      <c r="L301" t="s">
        <v>2659</v>
      </c>
      <c r="M301" s="17">
        <v>0</v>
      </c>
      <c r="N301" s="17">
        <v>140000</v>
      </c>
      <c r="O301" s="17">
        <v>3.2596299999999998E-5</v>
      </c>
      <c r="P301" s="76">
        <v>4294967296</v>
      </c>
      <c r="R301" t="s">
        <v>3848</v>
      </c>
    </row>
    <row r="302" spans="1:18" x14ac:dyDescent="0.25">
      <c r="A302" t="s">
        <v>3921</v>
      </c>
      <c r="B302" t="s">
        <v>3922</v>
      </c>
      <c r="C302" t="s">
        <v>3923</v>
      </c>
      <c r="D302" t="s">
        <v>2787</v>
      </c>
      <c r="E302" t="s">
        <v>3919</v>
      </c>
      <c r="F302" t="s">
        <v>35</v>
      </c>
      <c r="G302" t="s">
        <v>2703</v>
      </c>
      <c r="H302" s="8" t="s">
        <v>113</v>
      </c>
      <c r="J302" s="16" t="s">
        <v>3924</v>
      </c>
      <c r="K302" t="s">
        <v>14</v>
      </c>
      <c r="L302" t="s">
        <v>3933</v>
      </c>
      <c r="M302" s="17">
        <v>0</v>
      </c>
      <c r="N302" s="17">
        <v>12</v>
      </c>
      <c r="O302" s="17">
        <v>2.7999999999999998E-9</v>
      </c>
      <c r="P302" s="76">
        <v>4294967296</v>
      </c>
      <c r="R302" t="s">
        <v>3848</v>
      </c>
    </row>
    <row r="303" spans="1:18" x14ac:dyDescent="0.25">
      <c r="A303" t="s">
        <v>3925</v>
      </c>
      <c r="B303" t="s">
        <v>3926</v>
      </c>
      <c r="C303" t="s">
        <v>3927</v>
      </c>
      <c r="D303" t="s">
        <v>2787</v>
      </c>
      <c r="E303" t="s">
        <v>3919</v>
      </c>
      <c r="F303" t="s">
        <v>35</v>
      </c>
      <c r="G303" t="s">
        <v>2707</v>
      </c>
      <c r="H303" s="8" t="s">
        <v>71</v>
      </c>
      <c r="J303" s="16" t="s">
        <v>3928</v>
      </c>
      <c r="K303" t="s">
        <v>14</v>
      </c>
      <c r="L303" t="s">
        <v>3933</v>
      </c>
      <c r="M303" s="17">
        <v>550</v>
      </c>
      <c r="N303" s="17">
        <v>2100</v>
      </c>
      <c r="O303" s="17">
        <v>3.6090000000000001E-7</v>
      </c>
      <c r="P303" s="76">
        <v>4294967296</v>
      </c>
      <c r="R303" t="s">
        <v>3848</v>
      </c>
    </row>
    <row r="304" spans="1:18" x14ac:dyDescent="0.25">
      <c r="A304" t="s">
        <v>3929</v>
      </c>
      <c r="B304" t="s">
        <v>3930</v>
      </c>
      <c r="C304" t="s">
        <v>3931</v>
      </c>
      <c r="D304" t="s">
        <v>2787</v>
      </c>
      <c r="E304" t="s">
        <v>3919</v>
      </c>
      <c r="F304" t="s">
        <v>35</v>
      </c>
      <c r="G304" t="s">
        <v>2690</v>
      </c>
      <c r="H304" s="8" t="s">
        <v>100</v>
      </c>
      <c r="J304" s="16" t="s">
        <v>3932</v>
      </c>
      <c r="K304" t="s">
        <v>14</v>
      </c>
      <c r="L304" t="s">
        <v>3933</v>
      </c>
      <c r="M304" s="17">
        <v>-500</v>
      </c>
      <c r="N304" s="17">
        <v>2750</v>
      </c>
      <c r="O304" s="17">
        <v>7.5669999999999999E-7</v>
      </c>
      <c r="P304" s="76">
        <v>4294967296</v>
      </c>
      <c r="R304" t="s">
        <v>3848</v>
      </c>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row>
    <row r="363" spans="13:16" x14ac:dyDescent="0.25">
      <c r="M363" s="17"/>
      <c r="N363" s="17"/>
      <c r="O363" s="17"/>
    </row>
    <row r="364" spans="13:16" x14ac:dyDescent="0.25">
      <c r="M364" s="17"/>
      <c r="N364" s="17"/>
      <c r="O364" s="17"/>
    </row>
    <row r="365" spans="13:16" x14ac:dyDescent="0.25">
      <c r="M365" s="17"/>
      <c r="N365" s="17"/>
      <c r="O365" s="17"/>
    </row>
    <row r="366" spans="13:16" x14ac:dyDescent="0.25">
      <c r="M366" s="17"/>
      <c r="N366" s="17"/>
      <c r="O366" s="17"/>
    </row>
    <row r="367" spans="13:16" x14ac:dyDescent="0.25">
      <c r="M367" s="17"/>
      <c r="N367" s="17"/>
      <c r="O367" s="17"/>
    </row>
    <row r="368" spans="13:16" x14ac:dyDescent="0.25">
      <c r="M368" s="17"/>
      <c r="N368" s="17"/>
      <c r="O368" s="17"/>
    </row>
    <row r="369" spans="13:15" x14ac:dyDescent="0.25">
      <c r="M369" s="17"/>
      <c r="N369" s="17"/>
      <c r="O369" s="17"/>
    </row>
    <row r="370" spans="13:15" x14ac:dyDescent="0.25">
      <c r="M370" s="17"/>
      <c r="N370" s="17"/>
      <c r="O370" s="17"/>
    </row>
    <row r="371" spans="13:15" x14ac:dyDescent="0.25">
      <c r="M371" s="17"/>
      <c r="N371" s="17"/>
      <c r="O371" s="17"/>
    </row>
    <row r="372" spans="13:15" x14ac:dyDescent="0.25">
      <c r="M372" s="17"/>
      <c r="N372" s="17"/>
      <c r="O372" s="17"/>
    </row>
    <row r="373" spans="13:15" x14ac:dyDescent="0.25">
      <c r="M373" s="17"/>
      <c r="N373" s="17"/>
      <c r="O373" s="17"/>
    </row>
    <row r="374" spans="13:15" x14ac:dyDescent="0.25">
      <c r="M374" s="17"/>
      <c r="N374" s="17"/>
      <c r="O374" s="17"/>
    </row>
    <row r="375" spans="13:15" x14ac:dyDescent="0.25">
      <c r="M375" s="17"/>
      <c r="N375" s="17"/>
      <c r="O375" s="17"/>
    </row>
    <row r="376" spans="13:15" x14ac:dyDescent="0.25">
      <c r="M376" s="17"/>
      <c r="N376" s="17"/>
      <c r="O376" s="17"/>
    </row>
    <row r="377" spans="13:15" x14ac:dyDescent="0.25">
      <c r="M377" s="17"/>
      <c r="N377" s="17"/>
      <c r="O377" s="17"/>
    </row>
    <row r="378" spans="13:15" x14ac:dyDescent="0.25">
      <c r="M378" s="17"/>
      <c r="N378" s="17"/>
      <c r="O378" s="17"/>
    </row>
    <row r="379" spans="13:15" x14ac:dyDescent="0.25">
      <c r="M379" s="17"/>
      <c r="N379" s="17"/>
      <c r="O379" s="17"/>
    </row>
    <row r="380" spans="13:15" x14ac:dyDescent="0.25">
      <c r="M380" s="17"/>
      <c r="N380" s="17"/>
      <c r="O380" s="17"/>
    </row>
    <row r="381" spans="13:15" x14ac:dyDescent="0.25">
      <c r="M381" s="17"/>
      <c r="N381" s="17"/>
      <c r="O381" s="17"/>
    </row>
    <row r="382" spans="13:15" x14ac:dyDescent="0.25">
      <c r="M382" s="17"/>
      <c r="N382" s="17"/>
      <c r="O382" s="17"/>
    </row>
    <row r="383" spans="13:15" x14ac:dyDescent="0.25">
      <c r="M383" s="17"/>
      <c r="N383" s="17"/>
      <c r="O383" s="17"/>
    </row>
    <row r="384" spans="13:15"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sheetData>
  <sheetProtection password="D3ED" sheet="1" objects="1" scenarios="1" autoFilter="0"/>
  <autoFilter ref="A2:Q289"/>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 r:id="rId4" name="Button 2">
              <controlPr defaultSize="0" print="0" autoFill="0" autoPict="0" macro="[0]!Call_Signal_Form" altText="Add Signal">
                <anchor moveWithCells="1">
                  <from>
                    <xdr:col>0</xdr:col>
                    <xdr:colOff>57150</xdr:colOff>
                    <xdr:row>0</xdr:row>
                    <xdr:rowOff>57150</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8"/>
  <sheetViews>
    <sheetView zoomScaleNormal="100" zoomScalePageLayoutView="70" workbookViewId="0">
      <pane xSplit="1" ySplit="2" topLeftCell="X273" activePane="bottomRight" state="frozen"/>
      <selection pane="topRight" activeCell="B1" sqref="B1"/>
      <selection pane="bottomLeft" activeCell="A3" sqref="A3"/>
      <selection pane="bottomRight" activeCell="AG297" sqref="AG297"/>
    </sheetView>
  </sheetViews>
  <sheetFormatPr defaultColWidth="11.42578125" defaultRowHeight="15" x14ac:dyDescent="0.25"/>
  <cols>
    <col min="1" max="1" width="53.42578125" customWidth="1"/>
    <col min="2" max="2" width="4.42578125" customWidth="1"/>
    <col min="3" max="3" width="5.42578125" customWidth="1"/>
    <col min="4" max="32" width="11.7109375" customWidth="1"/>
  </cols>
  <sheetData>
    <row r="1" spans="1:65" ht="18.75" x14ac:dyDescent="0.25">
      <c r="A1" s="83" t="s">
        <v>5</v>
      </c>
      <c r="B1" s="85" t="s">
        <v>1264</v>
      </c>
      <c r="C1" s="85" t="s">
        <v>1644</v>
      </c>
      <c r="D1" s="48"/>
      <c r="E1" s="48"/>
      <c r="F1" s="48"/>
      <c r="G1" s="48"/>
      <c r="H1" s="48"/>
      <c r="I1" s="48"/>
      <c r="J1" s="48"/>
      <c r="K1" s="48"/>
      <c r="L1" s="48"/>
      <c r="M1" s="48"/>
    </row>
    <row r="2" spans="1:65" s="50" customFormat="1" ht="46.9"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Emission Coordinator</v>
      </c>
      <c r="AC2" s="67" t="str">
        <f t="shared" ca="1" si="0"/>
        <v>Virtual Engine Combustion Model</v>
      </c>
      <c r="AD2" s="67" t="str">
        <f t="shared" ca="1" si="0"/>
        <v>Virtual Engine Airpath Model</v>
      </c>
      <c r="AE2" s="67" t="str">
        <f t="shared" ca="1" si="0"/>
        <v>Prediction Horizon Generator</v>
      </c>
      <c r="AF2" s="67" t="str">
        <f t="shared" ca="1" si="0"/>
        <v>Virtual Fuel Air Setpoint Generator</v>
      </c>
      <c r="AG2" s="67" t="str">
        <f t="shared" ca="1" si="0"/>
        <v>Input Output</v>
      </c>
      <c r="AH2" s="67" t="str">
        <f t="shared" ca="1" si="0"/>
        <v>Real ECU</v>
      </c>
      <c r="AI2" s="67" t="str">
        <f t="shared" ca="1" si="0"/>
        <v>Route Generator</v>
      </c>
      <c r="AJ2" s="67" t="str">
        <f t="shared" ca="1" si="0"/>
        <v>PCCM RPU Interface</v>
      </c>
      <c r="AK2" s="67" t="str">
        <f t="shared" ca="1" si="0"/>
        <v>Speed Torque Trace Generator</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9</v>
      </c>
      <c r="C7" s="9">
        <f t="array" ref="C7">COUNT(FIND("output",$D7:$BY7))</f>
        <v>1</v>
      </c>
      <c r="E7" t="s">
        <v>2670</v>
      </c>
      <c r="G7" t="s">
        <v>2661</v>
      </c>
      <c r="H7" t="s">
        <v>2670</v>
      </c>
      <c r="I7" t="s">
        <v>2670</v>
      </c>
      <c r="J7" t="s">
        <v>2670</v>
      </c>
      <c r="M7" t="s">
        <v>2670</v>
      </c>
      <c r="P7" t="s">
        <v>2670</v>
      </c>
      <c r="R7" t="s">
        <v>2670</v>
      </c>
      <c r="V7" t="s">
        <v>2670</v>
      </c>
      <c r="W7" s="9"/>
      <c r="X7" s="9"/>
      <c r="Y7" s="9"/>
      <c r="Z7" s="9"/>
      <c r="AA7" s="9"/>
      <c r="AB7" s="9"/>
      <c r="AC7" s="9"/>
      <c r="AD7" s="9"/>
      <c r="AE7" s="9"/>
      <c r="AF7" s="9" t="s">
        <v>2670</v>
      </c>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4</v>
      </c>
      <c r="C8" s="9">
        <f t="array" ref="C8">COUNT(FIND("output",$D8:$BY8))</f>
        <v>1</v>
      </c>
      <c r="D8" t="s">
        <v>2670</v>
      </c>
      <c r="F8" t="s">
        <v>2670</v>
      </c>
      <c r="G8" t="s">
        <v>2661</v>
      </c>
      <c r="V8" t="s">
        <v>2670</v>
      </c>
      <c r="AJ8" t="s">
        <v>2670</v>
      </c>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10</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4</v>
      </c>
      <c r="C133" s="9">
        <f t="array" ref="C133">COUNT(FIND("output",$D133:$BY133))</f>
        <v>1</v>
      </c>
      <c r="F133" t="s">
        <v>2661</v>
      </c>
      <c r="J133" t="s">
        <v>2670</v>
      </c>
      <c r="L133" t="s">
        <v>2670</v>
      </c>
      <c r="U133" s="9"/>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8</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t="s">
        <v>2670</v>
      </c>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3</v>
      </c>
      <c r="C137" s="9">
        <f t="array" ref="C137">COUNT(FIND("output",$D137:$BY137))</f>
        <v>1</v>
      </c>
      <c r="J137" t="s">
        <v>2670</v>
      </c>
      <c r="K137" t="s">
        <v>2661</v>
      </c>
      <c r="U137" s="9"/>
      <c r="V137" s="9"/>
      <c r="W137" s="9"/>
      <c r="X137" s="9"/>
      <c r="Y137" s="9"/>
      <c r="Z137" s="9"/>
      <c r="AA137" s="9"/>
      <c r="AB137" s="9"/>
      <c r="AC137" s="9" t="s">
        <v>2670</v>
      </c>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2</v>
      </c>
      <c r="C138" s="9">
        <f t="array" ref="C138">COUNT(FIND("output",$D138:$BY138))</f>
        <v>1</v>
      </c>
      <c r="J138" t="s">
        <v>2670</v>
      </c>
      <c r="K138" t="s">
        <v>2661</v>
      </c>
      <c r="U138" s="9"/>
      <c r="V138" s="9"/>
      <c r="W138" s="9"/>
      <c r="X138" s="9"/>
      <c r="Y138" s="9"/>
      <c r="Z138" s="9"/>
      <c r="AA138" s="9"/>
      <c r="AB138" s="9"/>
      <c r="AC138" s="9"/>
      <c r="AD138" s="9"/>
      <c r="AE138" s="9"/>
      <c r="AF138" s="9" t="s">
        <v>2670</v>
      </c>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2</v>
      </c>
      <c r="C139" s="9">
        <f t="array" ref="C139">COUNT(FIND("output",$D139:$BY139))</f>
        <v>1</v>
      </c>
      <c r="J139" t="s">
        <v>2670</v>
      </c>
      <c r="K139" t="s">
        <v>2661</v>
      </c>
      <c r="U139" s="9"/>
      <c r="V139" s="9"/>
      <c r="W139" s="9"/>
      <c r="X139" s="9"/>
      <c r="Y139" s="9"/>
      <c r="Z139" s="9"/>
      <c r="AA139" s="9"/>
      <c r="AB139" s="9"/>
      <c r="AC139" s="9"/>
      <c r="AD139" s="9"/>
      <c r="AE139" s="9"/>
      <c r="AF139" s="9" t="s">
        <v>2670</v>
      </c>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t="s">
        <v>2670</v>
      </c>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3</v>
      </c>
      <c r="C142" s="9">
        <f t="array" ref="C142">COUNT(FIND("output",$D142:$BY142))</f>
        <v>1</v>
      </c>
      <c r="G142" t="s">
        <v>2661</v>
      </c>
      <c r="H142" t="s">
        <v>2670</v>
      </c>
      <c r="I142" t="s">
        <v>2670</v>
      </c>
      <c r="U142" s="9"/>
      <c r="V142" s="9" t="s">
        <v>2670</v>
      </c>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6"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6"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6" x14ac:dyDescent="0.25">
      <c r="A163" s="9" t="str">
        <f>IF(ISBLANK('Signal Definition'!J163),"",'Signal Definition'!J163)</f>
        <v>ECUAuxSigCoorr_stBattStOfChrg_PHY</v>
      </c>
      <c r="B163" s="9">
        <f t="array" ref="B163">COUNT(FIND("input",$D163:$BY163))</f>
        <v>2</v>
      </c>
      <c r="C163" s="9">
        <f t="array" ref="C163">COUNT(FIND("output",$D163:$BY163))</f>
        <v>1</v>
      </c>
      <c r="N163" t="s">
        <v>2670</v>
      </c>
      <c r="V163" t="s">
        <v>2661</v>
      </c>
      <c r="Z163" t="s">
        <v>2670</v>
      </c>
    </row>
    <row r="164" spans="1:26"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6"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6" x14ac:dyDescent="0.25">
      <c r="A166" s="9" t="str">
        <f>IF(ISBLANK('Signal Definition'!J166),"",'Signal Definition'!J166)</f>
        <v>ECUAuxSigCoorr_nGenr_PHY</v>
      </c>
      <c r="B166" s="9">
        <f t="array" ref="B166">COUNT(FIND("input",$D166:$BY166))</f>
        <v>2</v>
      </c>
      <c r="C166" s="9">
        <f t="array" ref="C166">COUNT(FIND("output",$D166:$BY166))</f>
        <v>1</v>
      </c>
      <c r="N166" t="s">
        <v>2670</v>
      </c>
      <c r="V166" t="s">
        <v>2661</v>
      </c>
      <c r="Z166" t="s">
        <v>2670</v>
      </c>
    </row>
    <row r="167" spans="1:26" x14ac:dyDescent="0.25">
      <c r="A167" s="9" t="str">
        <f>IF(ISBLANK('Signal Definition'!J167),"",'Signal Definition'!J167)</f>
        <v>AirCdn_pwrRqrdMecl_PHY</v>
      </c>
      <c r="B167" s="9">
        <f t="array" ref="B167">COUNT(FIND("input",$D167:$BY167))</f>
        <v>0</v>
      </c>
      <c r="C167" s="9">
        <f t="array" ref="C167">COUNT(FIND("output",$D167:$BY167))</f>
        <v>1</v>
      </c>
      <c r="Q167" t="s">
        <v>2661</v>
      </c>
    </row>
    <row r="168" spans="1:26"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6" x14ac:dyDescent="0.25">
      <c r="A169" s="9" t="str">
        <f>IF(ISBLANK('Signal Definition'!J169),"",'Signal Definition'!J169)</f>
        <v>AuxTqSum_jAuxJSum_PHY</v>
      </c>
      <c r="B169" s="9">
        <f t="array" ref="B169">COUNT(FIND("input",$D169:$BY169))</f>
        <v>0</v>
      </c>
      <c r="C169" s="9">
        <f t="array" ref="C169">COUNT(FIND("output",$D169:$BY169))</f>
        <v>1</v>
      </c>
      <c r="W169" t="s">
        <v>2661</v>
      </c>
    </row>
    <row r="170" spans="1:26"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6"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6"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6"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6"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6"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6"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1</v>
      </c>
      <c r="C192" s="9">
        <f t="array" ref="C192">COUNT(FIND("output",$D192:$BY192))</f>
        <v>1</v>
      </c>
      <c r="J192" t="s">
        <v>2661</v>
      </c>
      <c r="K192" t="s">
        <v>2670</v>
      </c>
    </row>
    <row r="193" spans="1:26" x14ac:dyDescent="0.25">
      <c r="A193" s="9" t="str">
        <f>IF(ISBLANK('Signal Definition'!J193),"",'Signal Definition'!J193)</f>
        <v>ECU_mflChrgdAirDes_PHY</v>
      </c>
      <c r="B193" s="9">
        <f t="array" ref="B193">COUNT(FIND("input",$D193:$BY193))</f>
        <v>1</v>
      </c>
      <c r="C193" s="9">
        <f t="array" ref="C193">COUNT(FIND("output",$D193:$BY193))</f>
        <v>1</v>
      </c>
      <c r="J193" t="s">
        <v>2661</v>
      </c>
      <c r="K193" t="s">
        <v>2670</v>
      </c>
    </row>
    <row r="194" spans="1:26"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6"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6"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6"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6"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6"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6"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6"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6" x14ac:dyDescent="0.25">
      <c r="A202" s="9" t="str">
        <f>IF(ISBLANK('Signal Definition'!J202),"",'Signal Definition'!J202)</f>
        <v>ECU_trqEstimdTotAux_PHY</v>
      </c>
      <c r="B202" s="9">
        <f t="array" ref="B202">COUNT(FIND("input",$D202:$BY202))</f>
        <v>0</v>
      </c>
      <c r="C202" s="9">
        <f t="array" ref="C202">COUNT(FIND("output",$D202:$BY202))</f>
        <v>1</v>
      </c>
      <c r="J202" t="s">
        <v>2661</v>
      </c>
    </row>
    <row r="203" spans="1:26"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6"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6"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6"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6" x14ac:dyDescent="0.25">
      <c r="A207" s="9" t="str">
        <f>IF(ISBLANK('Signal Definition'!J207),"",'Signal Definition'!J207)</f>
        <v>ECUAuxSigCoorr_nCrksft_PHY</v>
      </c>
      <c r="B207" s="9">
        <f t="array" ref="B207">COUNT(FIND("input",$D207:$BY207))</f>
        <v>2</v>
      </c>
      <c r="C207" s="9">
        <f t="array" ref="C207">COUNT(FIND("output",$D207:$BY207))</f>
        <v>1</v>
      </c>
      <c r="N207" t="s">
        <v>2670</v>
      </c>
      <c r="V207" t="s">
        <v>2661</v>
      </c>
      <c r="Z207" t="s">
        <v>2670</v>
      </c>
    </row>
    <row r="208" spans="1:26" x14ac:dyDescent="0.25">
      <c r="A208" s="9" t="str">
        <f>IF(ISBLANK('Signal Definition'!J208),"",'Signal Definition'!J208)</f>
        <v>ECUAuxSigCoorr_trqEngTqOut_PHY</v>
      </c>
      <c r="B208" s="9">
        <f t="array" ref="B208">COUNT(FIND("input",$D208:$BY208))</f>
        <v>2</v>
      </c>
      <c r="C208" s="9">
        <f t="array" ref="C208">COUNT(FIND("output",$D208:$BY208))</f>
        <v>1</v>
      </c>
      <c r="N208" t="s">
        <v>2670</v>
      </c>
      <c r="V208" t="s">
        <v>2661</v>
      </c>
      <c r="Z208" t="s">
        <v>2670</v>
      </c>
    </row>
    <row r="209" spans="1:30"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25">
      <c r="A210" s="9" t="str">
        <f>IF(ISBLANK('Signal Definition'!J210),"",'Signal Definition'!J210)</f>
        <v>ECUAuxSigCoorr_pwrRqrdElecPwrConsumer_PHY</v>
      </c>
      <c r="B210" s="9">
        <f t="array" ref="B210">COUNT(FIND("input",$D210:$BY210))</f>
        <v>2</v>
      </c>
      <c r="C210" s="9">
        <f t="array" ref="C210">COUNT(FIND("output",$D210:$BY210))</f>
        <v>1</v>
      </c>
      <c r="N210" t="s">
        <v>2670</v>
      </c>
      <c r="V210" t="s">
        <v>2661</v>
      </c>
      <c r="Z210" t="s">
        <v>2670</v>
      </c>
    </row>
    <row r="211" spans="1:30"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25">
      <c r="A216" s="9" t="str">
        <f>IF(ISBLANK('Signal Definition'!J216),"",'Signal Definition'!J216)</f>
        <v>ECUAuxSigCoorr_pwrBattPwrMinAvl_PHY</v>
      </c>
      <c r="B216" s="9">
        <f t="array" ref="B216">COUNT(FIND("input",$D216:$BY216))</f>
        <v>2</v>
      </c>
      <c r="C216" s="9">
        <f t="array" ref="C216">COUNT(FIND("output",$D216:$BY216))</f>
        <v>1</v>
      </c>
      <c r="N216" t="s">
        <v>2670</v>
      </c>
      <c r="V216" t="s">
        <v>2661</v>
      </c>
      <c r="Z216" t="s">
        <v>2670</v>
      </c>
    </row>
    <row r="217" spans="1:30"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25">
      <c r="A218" s="9" t="str">
        <f>IF(ISBLANK('Signal Definition'!J218),"",'Signal Definition'!J218)</f>
        <v>EngMdl_pExhMnfld_PHY</v>
      </c>
      <c r="B218" s="9">
        <f t="array" ref="B218">COUNT(FIND("input",$D218:$BY218))</f>
        <v>0</v>
      </c>
      <c r="C218" s="9">
        <f t="array" ref="C218">COUNT(FIND("output",$D218:$BY218))</f>
        <v>1</v>
      </c>
      <c r="K218" t="s">
        <v>2661</v>
      </c>
    </row>
    <row r="219" spans="1:30" x14ac:dyDescent="0.25">
      <c r="A219" s="9" t="str">
        <f>IF(ISBLANK('Signal Definition'!J219),"",'Signal Definition'!J219)</f>
        <v>EngMdl_pAftTrb_PHY</v>
      </c>
      <c r="B219" s="9">
        <f t="array" ref="B219">COUNT(FIND("input",$D219:$BY219))</f>
        <v>0</v>
      </c>
      <c r="C219" s="9">
        <f t="array" ref="C219">COUNT(FIND("output",$D219:$BY219))</f>
        <v>1</v>
      </c>
      <c r="K219" t="s">
        <v>2661</v>
      </c>
    </row>
    <row r="220" spans="1:30" x14ac:dyDescent="0.25">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30"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30" x14ac:dyDescent="0.25">
      <c r="A226" s="9" t="str">
        <f>IF(ISBLANK('Signal Definition'!J226),"",'Signal Definition'!J226)</f>
        <v>AirCdn_tAirCdnIntrAirT_PHY</v>
      </c>
      <c r="B226" s="9">
        <f t="array" ref="B226">COUNT(FIND("input",$D226:$BY226))</f>
        <v>0</v>
      </c>
      <c r="C226" s="9">
        <f t="array" ref="C226">COUNT(FIND("output",$D226:$BY226))</f>
        <v>1</v>
      </c>
      <c r="Q226" t="s">
        <v>2661</v>
      </c>
    </row>
    <row r="227" spans="1:30"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30"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30"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30" x14ac:dyDescent="0.25">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30"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30" x14ac:dyDescent="0.25">
      <c r="A232" s="9" t="str">
        <f>IF(ISBLANK('Signal Definition'!J232),"",'Signal Definition'!J232)</f>
        <v>EngMdl_trqIndcdTqOut_PHY</v>
      </c>
      <c r="B232" s="9">
        <f t="array" ref="B232">COUNT(FIND("input",$D232:$BY232))</f>
        <v>0</v>
      </c>
      <c r="C232" s="9">
        <f t="array" ref="C232">COUNT(FIND("output",$D232:$BY232))</f>
        <v>1</v>
      </c>
      <c r="K232" t="s">
        <v>2661</v>
      </c>
    </row>
    <row r="233" spans="1:30" x14ac:dyDescent="0.25">
      <c r="A233" s="9" t="str">
        <f>IF(ISBLANK('Signal Definition'!J233),"",'Signal Definition'!J233)</f>
        <v>ExhATSysMdl_ratNh3SnsrDs_PHY</v>
      </c>
      <c r="B233" s="9">
        <f t="array" ref="B233">COUNT(FIND("input",$D233:$BY233))</f>
        <v>0</v>
      </c>
      <c r="C233" s="9">
        <f t="array" ref="C233">COUNT(FIND("output",$D233:$BY233))</f>
        <v>1</v>
      </c>
      <c r="L233" t="s">
        <v>2661</v>
      </c>
    </row>
    <row r="234" spans="1:30" x14ac:dyDescent="0.25">
      <c r="A234" s="9" t="str">
        <f>IF(ISBLANK('Signal Definition'!J234),"",'Signal Definition'!J234)</f>
        <v>ExhATSysMdl_mNh3SCR_PHY</v>
      </c>
      <c r="B234" s="9">
        <f t="array" ref="B234">COUNT(FIND("input",$D234:$BY234))</f>
        <v>0</v>
      </c>
      <c r="C234" s="9">
        <f t="array" ref="C234">COUNT(FIND("output",$D234:$BY234))</f>
        <v>1</v>
      </c>
      <c r="L234" t="s">
        <v>2661</v>
      </c>
    </row>
    <row r="235" spans="1:30" x14ac:dyDescent="0.25">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30" x14ac:dyDescent="0.25">
      <c r="A236" s="9" t="str">
        <f>IF(ISBLANK('Signal Definition'!J236),"",'Signal Definition'!J236)</f>
        <v>EngMdl_pwrCrksftPwr_PHY</v>
      </c>
      <c r="B236" s="9">
        <f t="array" ref="B236">COUNT(FIND("input",$D236:$BY236))</f>
        <v>1</v>
      </c>
      <c r="C236" s="9">
        <f t="array" ref="C236">COUNT(FIND("output",$D236:$BY236))</f>
        <v>1</v>
      </c>
      <c r="K236" t="s">
        <v>2661</v>
      </c>
      <c r="AB236" t="s">
        <v>2670</v>
      </c>
    </row>
    <row r="237" spans="1:30" x14ac:dyDescent="0.25">
      <c r="A237" s="9" t="str">
        <f>IF(ISBLANK('Signal Definition'!J237),"",'Signal Definition'!J237)</f>
        <v>VirtEngAirPathMdl_pIntkMnfldVectHrzn_INT</v>
      </c>
      <c r="B237" s="9">
        <f t="array" ref="B237">COUNT(FIND("input",$D237:$BY237))</f>
        <v>1</v>
      </c>
      <c r="C237" s="9">
        <f t="array" ref="C237">COUNT(FIND("output",$D237:$BY237))</f>
        <v>1</v>
      </c>
      <c r="AC237" t="s">
        <v>2670</v>
      </c>
      <c r="AD237" t="s">
        <v>2661</v>
      </c>
    </row>
    <row r="238" spans="1:30" x14ac:dyDescent="0.25">
      <c r="A238" s="9" t="str">
        <f>IF(ISBLANK('Signal Definition'!J238),"",'Signal Definition'!J238)</f>
        <v>VirtEngAirPathMdl_mflChrgdAirVectHrzn_INT</v>
      </c>
      <c r="B238" s="9">
        <f t="array" ref="B238">COUNT(FIND("input",$D238:$BY238))</f>
        <v>1</v>
      </c>
      <c r="C238" s="9">
        <f t="array" ref="C238">COUNT(FIND("output",$D238:$BY238))</f>
        <v>1</v>
      </c>
      <c r="AC238" t="s">
        <v>2670</v>
      </c>
      <c r="AD238" t="s">
        <v>2661</v>
      </c>
    </row>
    <row r="239" spans="1:30" x14ac:dyDescent="0.25">
      <c r="A239" s="9" t="str">
        <f>IF(ISBLANK('Signal Definition'!J239),"",'Signal Definition'!J239)</f>
        <v>EngMdl_tAirFilDs_PHY</v>
      </c>
      <c r="B239" s="9">
        <f t="array" ref="B239">COUNT(FIND("input",$D239:$BY239))</f>
        <v>1</v>
      </c>
      <c r="C239" s="9">
        <f t="array" ref="C239">COUNT(FIND("output",$D239:$BY239))</f>
        <v>1</v>
      </c>
      <c r="K239" t="s">
        <v>2661</v>
      </c>
      <c r="AD239" t="s">
        <v>2670</v>
      </c>
    </row>
    <row r="240" spans="1:30" x14ac:dyDescent="0.25">
      <c r="A240" s="9" t="str">
        <f>IF(ISBLANK('Signal Definition'!J240),"",'Signal Definition'!J240)</f>
        <v>EngMdl_tAirClrDs_PHY</v>
      </c>
      <c r="B240" s="9">
        <f t="array" ref="B240">COUNT(FIND("input",$D240:$BY240))</f>
        <v>1</v>
      </c>
      <c r="C240" s="9">
        <f t="array" ref="C240">COUNT(FIND("output",$D240:$BY240))</f>
        <v>1</v>
      </c>
      <c r="K240" t="s">
        <v>2661</v>
      </c>
      <c r="AD240" t="s">
        <v>2670</v>
      </c>
    </row>
    <row r="241" spans="1:31" x14ac:dyDescent="0.25">
      <c r="A241" s="9" t="str">
        <f>IF(ISBLANK('Signal Definition'!J241),"",'Signal Definition'!J241)</f>
        <v>EgyFlowCoorr_stEcoCoolgActv_INT</v>
      </c>
      <c r="B241" s="9">
        <f t="array" ref="B241">COUNT(FIND("input",$D241:$BY241))</f>
        <v>0</v>
      </c>
      <c r="C241" s="9">
        <f t="array" ref="C241">COUNT(FIND("output",$D241:$BY241))</f>
        <v>1</v>
      </c>
      <c r="Z241" t="s">
        <v>2661</v>
      </c>
    </row>
    <row r="242" spans="1:31" x14ac:dyDescent="0.25">
      <c r="A242" s="9" t="str">
        <f>IF(ISBLANK('Signal Definition'!J242),"",'Signal Definition'!J242)</f>
        <v>EgyFlowCoorr_stPreCoolgHiLoad_INT</v>
      </c>
      <c r="B242" s="9">
        <f t="array" ref="B242">COUNT(FIND("input",$D242:$BY242))</f>
        <v>0</v>
      </c>
      <c r="C242" s="9">
        <f t="array" ref="C242">COUNT(FIND("output",$D242:$BY242))</f>
        <v>1</v>
      </c>
      <c r="Z242" t="s">
        <v>2661</v>
      </c>
    </row>
    <row r="243" spans="1:31" x14ac:dyDescent="0.25">
      <c r="A243" s="9" t="str">
        <f>IF(ISBLANK('Signal Definition'!J243),"",'Signal Definition'!J243)</f>
        <v>EgyFlowCoorr_stPreCoolgActv_INT</v>
      </c>
      <c r="B243" s="9">
        <f t="array" ref="B243">COUNT(FIND("input",$D243:$BY243))</f>
        <v>0</v>
      </c>
      <c r="C243" s="9">
        <f t="array" ref="C243">COUNT(FIND("output",$D243:$BY243))</f>
        <v>1</v>
      </c>
      <c r="Z243" t="s">
        <v>2661</v>
      </c>
    </row>
    <row r="244" spans="1:31" x14ac:dyDescent="0.25">
      <c r="A244" s="9" t="str">
        <f>IF(ISBLANK('Signal Definition'!J244),"",'Signal Definition'!J244)</f>
        <v>EgyFlowCoorr_stPreCoolgDi_INT</v>
      </c>
      <c r="B244" s="9">
        <f t="array" ref="B244">COUNT(FIND("input",$D244:$BY244))</f>
        <v>0</v>
      </c>
      <c r="C244" s="9">
        <f t="array" ref="C244">COUNT(FIND("output",$D244:$BY244))</f>
        <v>1</v>
      </c>
      <c r="Z244" t="s">
        <v>2661</v>
      </c>
    </row>
    <row r="245" spans="1:31" x14ac:dyDescent="0.25">
      <c r="A245" s="9" t="str">
        <f>IF(ISBLANK('Signal Definition'!J245),"",'Signal Definition'!J245)</f>
        <v>EgyFlowCoorr_stTIncActv_INT</v>
      </c>
      <c r="B245" s="9">
        <f t="array" ref="B245">COUNT(FIND("input",$D245:$BY245))</f>
        <v>0</v>
      </c>
      <c r="C245" s="9">
        <f t="array" ref="C245">COUNT(FIND("output",$D245:$BY245))</f>
        <v>1</v>
      </c>
      <c r="Z245" t="s">
        <v>2661</v>
      </c>
    </row>
    <row r="246" spans="1:31" x14ac:dyDescent="0.25">
      <c r="A246" s="9" t="str">
        <f>IF(ISBLANK('Signal Definition'!J246),"",'Signal Definition'!J246)</f>
        <v>EgyFlowCoorr_tiPreCoolgHiLoadDurn_INT</v>
      </c>
      <c r="B246" s="9">
        <f t="array" ref="B246">COUNT(FIND("input",$D246:$BY246))</f>
        <v>0</v>
      </c>
      <c r="C246" s="9">
        <f t="array" ref="C246">COUNT(FIND("output",$D246:$BY246))</f>
        <v>1</v>
      </c>
      <c r="Z246" t="s">
        <v>2661</v>
      </c>
    </row>
    <row r="247" spans="1:31" x14ac:dyDescent="0.25">
      <c r="A247" s="9" t="str">
        <f>IF(ISBLANK('Signal Definition'!J247),"",'Signal Definition'!J247)</f>
        <v>EgyFlowCoorr_prcEngLoadFlMeanPred_INT</v>
      </c>
      <c r="B247" s="9">
        <f t="array" ref="B247">COUNT(FIND("input",$D247:$BY247))</f>
        <v>0</v>
      </c>
      <c r="C247" s="9">
        <f t="array" ref="C247">COUNT(FIND("output",$D247:$BY247))</f>
        <v>1</v>
      </c>
      <c r="Z247" t="s">
        <v>2661</v>
      </c>
    </row>
    <row r="248" spans="1:31" x14ac:dyDescent="0.25">
      <c r="A248" s="9" t="str">
        <f>IF(ISBLANK('Signal Definition'!J248),"",'Signal Definition'!J248)</f>
        <v>EgyFlowCoorr_prcEngLoadPred_INT</v>
      </c>
      <c r="B248" s="9">
        <f t="array" ref="B248">COUNT(FIND("input",$D248:$BY248))</f>
        <v>0</v>
      </c>
      <c r="C248" s="9">
        <f t="array" ref="C248">COUNT(FIND("output",$D248:$BY248))</f>
        <v>1</v>
      </c>
      <c r="Z248" t="s">
        <v>2661</v>
      </c>
    </row>
    <row r="249" spans="1:31" x14ac:dyDescent="0.25">
      <c r="A249" s="9" t="str">
        <f>IF(ISBLANK('Signal Definition'!J249),"",'Signal Definition'!J249)</f>
        <v>EgyFlowCoorr_prcEngDrgLoadPred_INT</v>
      </c>
      <c r="B249" s="9">
        <f t="array" ref="B249">COUNT(FIND("input",$D249:$BY249))</f>
        <v>0</v>
      </c>
      <c r="C249" s="9">
        <f t="array" ref="C249">COUNT(FIND("output",$D249:$BY249))</f>
        <v>1</v>
      </c>
      <c r="Z249" t="s">
        <v>2661</v>
      </c>
    </row>
    <row r="250" spans="1:31" x14ac:dyDescent="0.25">
      <c r="A250" s="9" t="str">
        <f>IF(ISBLANK('Signal Definition'!J250),"",'Signal Definition'!J250)</f>
        <v>EgyFlowCoorr_prcEngDrgLoadFlMeanPred_INT</v>
      </c>
      <c r="B250" s="9">
        <f t="array" ref="B250">COUNT(FIND("input",$D250:$BY250))</f>
        <v>0</v>
      </c>
      <c r="C250" s="9">
        <f t="array" ref="C250">COUNT(FIND("output",$D250:$BY250))</f>
        <v>1</v>
      </c>
      <c r="Z250" t="s">
        <v>2661</v>
      </c>
    </row>
    <row r="251" spans="1:31" x14ac:dyDescent="0.25">
      <c r="A251" s="9" t="str">
        <f>IF(ISBLANK('Signal Definition'!J251),"",'Signal Definition'!J251)</f>
        <v>EgyFlowCoorr_stTDecDi_INT</v>
      </c>
      <c r="B251" s="9">
        <f t="array" ref="B251">COUNT(FIND("input",$D251:$BY251))</f>
        <v>0</v>
      </c>
      <c r="C251" s="9">
        <f t="array" ref="C251">COUNT(FIND("output",$D251:$BY251))</f>
        <v>1</v>
      </c>
      <c r="Z251" t="s">
        <v>2661</v>
      </c>
    </row>
    <row r="252" spans="1:31" x14ac:dyDescent="0.25">
      <c r="A252" s="9" t="str">
        <f>IF(ISBLANK('Signal Definition'!J252),"",'Signal Definition'!J252)</f>
        <v>EgyFlowCoorr_swtCoolgSysOptmr_INT</v>
      </c>
      <c r="B252" s="9">
        <f t="array" ref="B252">COUNT(FIND("input",$D252:$BY252))</f>
        <v>1</v>
      </c>
      <c r="C252" s="9">
        <f t="array" ref="C252">COUNT(FIND("output",$D252:$BY252))</f>
        <v>1</v>
      </c>
      <c r="N252" t="s">
        <v>2670</v>
      </c>
      <c r="Z252" t="s">
        <v>2661</v>
      </c>
    </row>
    <row r="253" spans="1:31" x14ac:dyDescent="0.25">
      <c r="A253" s="9" t="str">
        <f>IF(ISBLANK('Signal Definition'!J253),"",'Signal Definition'!J253)</f>
        <v>EgyFlowCoorr_swtPnmSysOptmr_INT</v>
      </c>
      <c r="B253" s="9">
        <f t="array" ref="B253">COUNT(FIND("input",$D253:$BY253))</f>
        <v>1</v>
      </c>
      <c r="C253" s="9">
        <f t="array" ref="C253">COUNT(FIND("output",$D253:$BY253))</f>
        <v>1</v>
      </c>
      <c r="N253" t="s">
        <v>2670</v>
      </c>
      <c r="Z253" t="s">
        <v>2661</v>
      </c>
    </row>
    <row r="254" spans="1:31" x14ac:dyDescent="0.25">
      <c r="A254" s="9" t="str">
        <f>IF(ISBLANK('Signal Definition'!J254),"",'Signal Definition'!J254)</f>
        <v>EgyFlowCoorr_swtElecSysOptmr_INT</v>
      </c>
      <c r="B254" s="9">
        <f t="array" ref="B254">COUNT(FIND("input",$D254:$BY254))</f>
        <v>1</v>
      </c>
      <c r="C254" s="9">
        <f t="array" ref="C254">COUNT(FIND("output",$D254:$BY254))</f>
        <v>1</v>
      </c>
      <c r="N254" t="s">
        <v>2670</v>
      </c>
      <c r="Z254" t="s">
        <v>2661</v>
      </c>
    </row>
    <row r="255" spans="1:31" x14ac:dyDescent="0.25">
      <c r="A255" s="9" t="str">
        <f>IF(ISBLANK('Signal Definition'!J255),"",'Signal Definition'!J255)</f>
        <v>EgyFlowCoorr_swtAirCdnOptmr_INT</v>
      </c>
      <c r="B255" s="9">
        <f t="array" ref="B255">COUNT(FIND("input",$D255:$BY255))</f>
        <v>1</v>
      </c>
      <c r="C255" s="9">
        <f t="array" ref="C255">COUNT(FIND("output",$D255:$BY255))</f>
        <v>1</v>
      </c>
      <c r="N255" t="s">
        <v>2670</v>
      </c>
      <c r="Z255" t="s">
        <v>2661</v>
      </c>
    </row>
    <row r="256" spans="1:31" x14ac:dyDescent="0.25">
      <c r="A256" s="9" t="str">
        <f>IF(ISBLANK('Signal Definition'!J256),"",'Signal Definition'!J256)</f>
        <v>PredtnHrznGenr_tiVectHrznSho_PHY</v>
      </c>
      <c r="B256" s="9">
        <f t="array" ref="B256">COUNT(FIND("input",$D256:$BY256))</f>
        <v>1</v>
      </c>
      <c r="C256" s="9">
        <f t="array" ref="C256">COUNT(FIND("output",$D256:$BY256))</f>
        <v>1</v>
      </c>
      <c r="Z256" t="s">
        <v>2670</v>
      </c>
      <c r="AE256" t="s">
        <v>2661</v>
      </c>
    </row>
    <row r="257" spans="1:32" x14ac:dyDescent="0.25">
      <c r="A257" s="9" t="str">
        <f>IF(ISBLANK('Signal Definition'!J257),"",'Signal Definition'!J257)</f>
        <v>PredtnHrznGenr_tiVectHrznLong_PHY</v>
      </c>
      <c r="B257" s="9">
        <f t="array" ref="B257">COUNT(FIND("input",$D257:$BY257))</f>
        <v>1</v>
      </c>
      <c r="C257" s="9">
        <f t="array" ref="C257">COUNT(FIND("output",$D257:$BY257))</f>
        <v>1</v>
      </c>
      <c r="Z257" t="s">
        <v>2670</v>
      </c>
      <c r="AE257" t="s">
        <v>2661</v>
      </c>
    </row>
    <row r="258" spans="1:32" x14ac:dyDescent="0.25">
      <c r="A258" s="9" t="str">
        <f>IF(ISBLANK('Signal Definition'!J258),"",'Signal Definition'!J258)</f>
        <v>PredtnHrznGenr_trqVectHrznLong_PHY</v>
      </c>
      <c r="B258" s="9">
        <f t="array" ref="B258">COUNT(FIND("input",$D258:$BY258))</f>
        <v>3</v>
      </c>
      <c r="C258" s="9">
        <f t="array" ref="C258">COUNT(FIND("output",$D258:$BY258))</f>
        <v>1</v>
      </c>
      <c r="Z258" t="s">
        <v>2670</v>
      </c>
      <c r="AB258" t="s">
        <v>2670</v>
      </c>
      <c r="AE258" t="s">
        <v>2661</v>
      </c>
      <c r="AF258" t="s">
        <v>2670</v>
      </c>
    </row>
    <row r="259" spans="1:32" x14ac:dyDescent="0.25">
      <c r="A259" s="9" t="str">
        <f>IF(ISBLANK('Signal Definition'!J259),"",'Signal Definition'!J259)</f>
        <v>PredtnHrznGenr_trqVectHrznSho_PHY</v>
      </c>
      <c r="B259" s="9">
        <f t="array" ref="B259">COUNT(FIND("input",$D259:$BY259))</f>
        <v>1</v>
      </c>
      <c r="C259" s="9">
        <f t="array" ref="C259">COUNT(FIND("output",$D259:$BY259))</f>
        <v>1</v>
      </c>
      <c r="Z259" t="s">
        <v>2670</v>
      </c>
      <c r="AE259" t="s">
        <v>2661</v>
      </c>
    </row>
    <row r="260" spans="1:32" x14ac:dyDescent="0.25">
      <c r="A260" s="9" t="str">
        <f>IF(ISBLANK('Signal Definition'!J260),"",'Signal Definition'!J260)</f>
        <v>PredtnHrznGenr_nVectHrznSho_PHY</v>
      </c>
      <c r="B260" s="9">
        <f t="array" ref="B260">COUNT(FIND("input",$D260:$BY260))</f>
        <v>1</v>
      </c>
      <c r="C260" s="9">
        <f t="array" ref="C260">COUNT(FIND("output",$D260:$BY260))</f>
        <v>1</v>
      </c>
      <c r="Z260" t="s">
        <v>2670</v>
      </c>
      <c r="AE260" t="s">
        <v>2661</v>
      </c>
    </row>
    <row r="261" spans="1:32" x14ac:dyDescent="0.25">
      <c r="A261" s="9" t="str">
        <f>IF(ISBLANK('Signal Definition'!J261),"",'Signal Definition'!J261)</f>
        <v>PredtnHrznGenr_nVectHrznLong_PHY</v>
      </c>
      <c r="B261" s="9">
        <f t="array" ref="B261">COUNT(FIND("input",$D261:$BY261))</f>
        <v>5</v>
      </c>
      <c r="C261" s="9">
        <f t="array" ref="C261">COUNT(FIND("output",$D261:$BY261))</f>
        <v>1</v>
      </c>
      <c r="Z261" t="s">
        <v>2670</v>
      </c>
      <c r="AB261" t="s">
        <v>2670</v>
      </c>
      <c r="AC261" t="s">
        <v>2670</v>
      </c>
      <c r="AD261" t="s">
        <v>2670</v>
      </c>
      <c r="AE261" t="s">
        <v>2661</v>
      </c>
      <c r="AF261" t="s">
        <v>2670</v>
      </c>
    </row>
    <row r="262" spans="1:32" x14ac:dyDescent="0.25">
      <c r="A262" s="9" t="str">
        <f>IF(ISBLANK('Signal Definition'!J262),"",'Signal Definition'!J262)</f>
        <v>PredtnHrznGenr_idxVectHrznLenLong_PHY</v>
      </c>
      <c r="B262" s="9">
        <f t="array" ref="B262">COUNT(FIND("input",$D262:$BY262))</f>
        <v>1</v>
      </c>
      <c r="C262" s="9">
        <f t="array" ref="C262">COUNT(FIND("output",$D262:$BY262))</f>
        <v>1</v>
      </c>
      <c r="Z262" t="s">
        <v>2670</v>
      </c>
      <c r="AE262" t="s">
        <v>2661</v>
      </c>
    </row>
    <row r="263" spans="1:32" x14ac:dyDescent="0.25">
      <c r="A263" s="9" t="str">
        <f>IF(ISBLANK('Signal Definition'!J263),"",'Signal Definition'!J263)</f>
        <v>PredtnHrznGenr_idxVectHrznLenSho_PHY</v>
      </c>
      <c r="B263" s="9">
        <f t="array" ref="B263">COUNT(FIND("input",$D263:$BY263))</f>
        <v>1</v>
      </c>
      <c r="C263" s="9">
        <f t="array" ref="C263">COUNT(FIND("output",$D263:$BY263))</f>
        <v>1</v>
      </c>
      <c r="Z263" t="s">
        <v>2670</v>
      </c>
      <c r="AE263" t="s">
        <v>2661</v>
      </c>
    </row>
    <row r="264" spans="1:32" x14ac:dyDescent="0.25">
      <c r="A264" s="9" t="str">
        <f>IF(ISBLANK('Signal Definition'!J264),"",'Signal Definition'!J264)</f>
        <v>PredtnHrznGenr_tiHrznLenSho_PHY</v>
      </c>
      <c r="B264" s="9">
        <f t="array" ref="B264">COUNT(FIND("input",$D264:$BY264))</f>
        <v>1</v>
      </c>
      <c r="C264" s="9">
        <f t="array" ref="C264">COUNT(FIND("output",$D264:$BY264))</f>
        <v>1</v>
      </c>
      <c r="Z264" t="s">
        <v>2670</v>
      </c>
      <c r="AE264" t="s">
        <v>2661</v>
      </c>
    </row>
    <row r="265" spans="1:32" x14ac:dyDescent="0.25">
      <c r="A265" s="9" t="str">
        <f>IF(ISBLANK('Signal Definition'!J265),"",'Signal Definition'!J265)</f>
        <v>PredtnHrznGenr_tiHrznLenLong_PHY</v>
      </c>
      <c r="B265" s="9">
        <f t="array" ref="B265">COUNT(FIND("input",$D265:$BY265))</f>
        <v>1</v>
      </c>
      <c r="C265" s="9">
        <f t="array" ref="C265">COUNT(FIND("output",$D265:$BY265))</f>
        <v>1</v>
      </c>
      <c r="Z265" t="s">
        <v>2670</v>
      </c>
      <c r="AE265" t="s">
        <v>2661</v>
      </c>
    </row>
    <row r="266" spans="1:32" x14ac:dyDescent="0.25">
      <c r="A266" s="9" t="str">
        <f>IF(ISBLANK('Signal Definition'!J266),"",'Signal Definition'!J266)</f>
        <v>PredtnHrznGenr_stTrigOptmr_PHY</v>
      </c>
      <c r="B266" s="9">
        <f t="array" ref="B266">COUNT(FIND("input",$D266:$BY266))</f>
        <v>1</v>
      </c>
      <c r="C266" s="9">
        <f t="array" ref="C266">COUNT(FIND("output",$D266:$BY266))</f>
        <v>1</v>
      </c>
      <c r="Z266" t="s">
        <v>2670</v>
      </c>
      <c r="AE266" t="s">
        <v>2661</v>
      </c>
    </row>
    <row r="267" spans="1:32" x14ac:dyDescent="0.25">
      <c r="A267" s="9" t="str">
        <f>IF(ISBLANK('Signal Definition'!J267),"",'Signal Definition'!J267)</f>
        <v>PredtnHrznGenr_swtExtSrcPredtnData_PHY</v>
      </c>
      <c r="B267" s="9">
        <f t="array" ref="B267">COUNT(FIND("input",$D267:$BY267))</f>
        <v>1</v>
      </c>
      <c r="C267" s="9">
        <f t="array" ref="C267">COUNT(FIND("output",$D267:$BY267))</f>
        <v>1</v>
      </c>
      <c r="Z267" t="s">
        <v>2670</v>
      </c>
      <c r="AE267" t="s">
        <v>2661</v>
      </c>
    </row>
    <row r="268" spans="1:32" x14ac:dyDescent="0.25">
      <c r="A268" s="9" t="str">
        <f>IF(ISBLANK('Signal Definition'!J268),"",'Signal Definition'!J268)</f>
        <v>ECUAuxSigCoorr_vVehSpd_PHY</v>
      </c>
      <c r="B268" s="9">
        <f t="array" ref="B268">COUNT(FIND("input",$D268:$BY268))</f>
        <v>2</v>
      </c>
      <c r="C268" s="9">
        <f t="array" ref="C268">COUNT(FIND("output",$D268:$BY268))</f>
        <v>1</v>
      </c>
      <c r="V268" t="s">
        <v>2661</v>
      </c>
      <c r="Z268" t="s">
        <v>2670</v>
      </c>
      <c r="AE268" t="s">
        <v>2670</v>
      </c>
    </row>
    <row r="269" spans="1:32" x14ac:dyDescent="0.25">
      <c r="A269" s="9" t="str">
        <f>IF(ISBLANK('Signal Definition'!J269),"",'Signal Definition'!J269)</f>
        <v>ECUAuxSigCoorr_lDstTrvld_PHY</v>
      </c>
      <c r="B269" s="9">
        <f t="array" ref="B269">COUNT(FIND("input",$D269:$BY269))</f>
        <v>2</v>
      </c>
      <c r="C269" s="9">
        <f t="array" ref="C269">COUNT(FIND("output",$D269:$BY269))</f>
        <v>1</v>
      </c>
      <c r="V269" t="s">
        <v>2661</v>
      </c>
      <c r="Z269" t="s">
        <v>2670</v>
      </c>
      <c r="AE269" t="s">
        <v>2670</v>
      </c>
    </row>
    <row r="270" spans="1:32" x14ac:dyDescent="0.25">
      <c r="A270" s="9" t="str">
        <f>IF(ISBLANK('Signal Definition'!J270),"",'Signal Definition'!J270)</f>
        <v>ECUAuxSigCoorr_aVeh_PHY</v>
      </c>
      <c r="B270" s="9">
        <f t="array" ref="B270">COUNT(FIND("input",$D270:$BY270))</f>
        <v>2</v>
      </c>
      <c r="C270" s="9">
        <f t="array" ref="C270">COUNT(FIND("output",$D270:$BY270))</f>
        <v>1</v>
      </c>
      <c r="V270" t="s">
        <v>2661</v>
      </c>
      <c r="Z270" t="s">
        <v>2670</v>
      </c>
      <c r="AE270" t="s">
        <v>2670</v>
      </c>
    </row>
    <row r="271" spans="1:32" x14ac:dyDescent="0.25">
      <c r="A271" s="9" t="str">
        <f>IF(ISBLANK('Signal Definition'!J271),"",'Signal Definition'!J271)</f>
        <v>ECUAuxSigCoorr_omegaWhlSpd_PHY</v>
      </c>
      <c r="B271" s="9">
        <f t="array" ref="B271">COUNT(FIND("input",$D271:$BY271))</f>
        <v>2</v>
      </c>
      <c r="C271" s="9">
        <f t="array" ref="C271">COUNT(FIND("output",$D271:$BY271))</f>
        <v>1</v>
      </c>
      <c r="V271" t="s">
        <v>2661</v>
      </c>
      <c r="Z271" t="s">
        <v>2670</v>
      </c>
      <c r="AE271" t="s">
        <v>2670</v>
      </c>
    </row>
    <row r="272" spans="1:32" x14ac:dyDescent="0.25">
      <c r="A272" s="9" t="str">
        <f>IF(ISBLANK('Signal Definition'!J272),"",'Signal Definition'!J272)</f>
        <v>VirtFuAirSpGenr_qInjTotVectHrzn_INT</v>
      </c>
      <c r="B272" s="9">
        <f t="array" ref="B272">COUNT(FIND("input",$D272:$BY272))</f>
        <v>1</v>
      </c>
      <c r="C272" s="9">
        <f t="array" ref="C272">COUNT(FIND("output",$D272:$BY272))</f>
        <v>1</v>
      </c>
      <c r="AD272" t="s">
        <v>2670</v>
      </c>
      <c r="AF272" t="s">
        <v>2661</v>
      </c>
    </row>
    <row r="273" spans="1:32" x14ac:dyDescent="0.25">
      <c r="A273" s="9" t="str">
        <f>IF(ISBLANK('Signal Definition'!J273),"",'Signal Definition'!J273)</f>
        <v>VirtFuAirSpGenr_qInjMai1VectHrzn_INT</v>
      </c>
      <c r="B273" s="9">
        <f t="array" ref="B273">COUNT(FIND("input",$D273:$BY273))</f>
        <v>1</v>
      </c>
      <c r="C273" s="9">
        <f t="array" ref="C273">COUNT(FIND("output",$D273:$BY273))</f>
        <v>1</v>
      </c>
      <c r="AC273" t="s">
        <v>2670</v>
      </c>
      <c r="AF273" t="s">
        <v>2661</v>
      </c>
    </row>
    <row r="274" spans="1:32" x14ac:dyDescent="0.25">
      <c r="A274" s="9" t="str">
        <f>IF(ISBLANK('Signal Definition'!J274),"",'Signal Definition'!J274)</f>
        <v>VirtFuAirSpGenr_qInjPil1VectHrzn_INT</v>
      </c>
      <c r="B274" s="9">
        <f t="array" ref="B274">COUNT(FIND("input",$D274:$BY274))</f>
        <v>1</v>
      </c>
      <c r="C274" s="9">
        <f t="array" ref="C274">COUNT(FIND("output",$D274:$BY274))</f>
        <v>1</v>
      </c>
      <c r="AC274" t="s">
        <v>2670</v>
      </c>
      <c r="AF274" t="s">
        <v>2661</v>
      </c>
    </row>
    <row r="275" spans="1:32" x14ac:dyDescent="0.25">
      <c r="A275" s="9" t="str">
        <f>IF(ISBLANK('Signal Definition'!J275),"",'Signal Definition'!J275)</f>
        <v>VirtFuAirSpGenr_qInjPil2VectHrzn_INT</v>
      </c>
      <c r="B275" s="9">
        <f t="array" ref="B275">COUNT(FIND("input",$D275:$BY275))</f>
        <v>0</v>
      </c>
      <c r="C275" s="9">
        <f t="array" ref="C275">COUNT(FIND("output",$D275:$BY275))</f>
        <v>1</v>
      </c>
      <c r="AF275" t="s">
        <v>2661</v>
      </c>
    </row>
    <row r="276" spans="1:32" x14ac:dyDescent="0.25">
      <c r="A276" s="9" t="str">
        <f>IF(ISBLANK('Signal Definition'!J276),"",'Signal Definition'!J276)</f>
        <v>VirtFuAirSpGenr_qInjPost1VectHrzn_INT</v>
      </c>
      <c r="B276" s="9">
        <f t="array" ref="B276">COUNT(FIND("input",$D276:$BY276))</f>
        <v>0</v>
      </c>
      <c r="C276" s="9">
        <f t="array" ref="C276">COUNT(FIND("output",$D276:$BY276))</f>
        <v>1</v>
      </c>
      <c r="AF276" t="s">
        <v>2661</v>
      </c>
    </row>
    <row r="277" spans="1:32" x14ac:dyDescent="0.25">
      <c r="A277" s="9" t="str">
        <f>IF(ISBLANK('Signal Definition'!J277),"",'Signal Definition'!J277)</f>
        <v>VirtFuAirSpGenr_qInjPost2VectHrzn_INT</v>
      </c>
      <c r="B277" s="9">
        <f t="array" ref="B277">COUNT(FIND("input",$D277:$BY277))</f>
        <v>0</v>
      </c>
      <c r="C277" s="9">
        <f t="array" ref="C277">COUNT(FIND("output",$D277:$BY277))</f>
        <v>1</v>
      </c>
      <c r="AF277" t="s">
        <v>2661</v>
      </c>
    </row>
    <row r="278" spans="1:32" x14ac:dyDescent="0.25">
      <c r="A278" s="9" t="str">
        <f>IF(ISBLANK('Signal Definition'!J278),"",'Signal Definition'!J278)</f>
        <v>VirtFuAirSpGenr_phiInjMai1VectHrzn_INT</v>
      </c>
      <c r="B278" s="9">
        <f t="array" ref="B278">COUNT(FIND("input",$D278:$BY278))</f>
        <v>1</v>
      </c>
      <c r="C278" s="9">
        <f t="array" ref="C278">COUNT(FIND("output",$D278:$BY278))</f>
        <v>1</v>
      </c>
      <c r="AC278" t="s">
        <v>2670</v>
      </c>
      <c r="AF278" t="s">
        <v>2661</v>
      </c>
    </row>
    <row r="279" spans="1:32" x14ac:dyDescent="0.25">
      <c r="A279" s="9" t="str">
        <f>IF(ISBLANK('Signal Definition'!J279),"",'Signal Definition'!J279)</f>
        <v>VirtFuAirSpGenr_phiInjPil1VectHrzn_INT</v>
      </c>
      <c r="B279" s="9">
        <f t="array" ref="B279">COUNT(FIND("input",$D279:$BY279))</f>
        <v>1</v>
      </c>
      <c r="C279" s="9">
        <f t="array" ref="C279">COUNT(FIND("output",$D279:$BY279))</f>
        <v>1</v>
      </c>
      <c r="AC279" t="s">
        <v>2670</v>
      </c>
      <c r="AF279" t="s">
        <v>2661</v>
      </c>
    </row>
    <row r="280" spans="1:32" x14ac:dyDescent="0.25">
      <c r="A280" s="9" t="str">
        <f>IF(ISBLANK('Signal Definition'!J280),"",'Signal Definition'!J280)</f>
        <v>VirtFuAirSpGenr_phiInjPil2VectHrzn_INT</v>
      </c>
      <c r="B280" s="9">
        <f t="array" ref="B280">COUNT(FIND("input",$D280:$BY280))</f>
        <v>0</v>
      </c>
      <c r="C280" s="9">
        <f t="array" ref="C280">COUNT(FIND("output",$D280:$BY280))</f>
        <v>1</v>
      </c>
      <c r="AF280" t="s">
        <v>2661</v>
      </c>
    </row>
    <row r="281" spans="1:32" x14ac:dyDescent="0.25">
      <c r="A281" s="9" t="str">
        <f>IF(ISBLANK('Signal Definition'!J281),"",'Signal Definition'!J281)</f>
        <v>VirtFuAirSpGenr_phiInjPost1VectHrzn_INT</v>
      </c>
      <c r="B281" s="9">
        <f t="array" ref="B281">COUNT(FIND("input",$D281:$BY281))</f>
        <v>0</v>
      </c>
      <c r="C281" s="9">
        <f t="array" ref="C281">COUNT(FIND("output",$D281:$BY281))</f>
        <v>1</v>
      </c>
      <c r="AF281" t="s">
        <v>2661</v>
      </c>
    </row>
    <row r="282" spans="1:32" x14ac:dyDescent="0.25">
      <c r="A282" s="9" t="str">
        <f>IF(ISBLANK('Signal Definition'!J282),"",'Signal Definition'!J282)</f>
        <v>VirtFuAirSpGenr_phiInjPost2VectHrzn_INT</v>
      </c>
      <c r="B282" s="9">
        <f t="array" ref="B282">COUNT(FIND("input",$D282:$BY282))</f>
        <v>0</v>
      </c>
      <c r="C282" s="9">
        <f t="array" ref="C282">COUNT(FIND("output",$D282:$BY282))</f>
        <v>1</v>
      </c>
      <c r="AF282" t="s">
        <v>2661</v>
      </c>
    </row>
    <row r="283" spans="1:32" x14ac:dyDescent="0.25">
      <c r="A283" s="9" t="str">
        <f>IF(ISBLANK('Signal Definition'!J283),"",'Signal Definition'!J283)</f>
        <v>VirtFuAirSpGenr_pFuRailDesVectHrzn_INT</v>
      </c>
      <c r="B283" s="9">
        <f t="array" ref="B283">COUNT(FIND("input",$D283:$BY283))</f>
        <v>1</v>
      </c>
      <c r="C283" s="9">
        <f t="array" ref="C283">COUNT(FIND("output",$D283:$BY283))</f>
        <v>1</v>
      </c>
      <c r="AC283" t="s">
        <v>2670</v>
      </c>
      <c r="AF283" t="s">
        <v>2661</v>
      </c>
    </row>
    <row r="284" spans="1:32" x14ac:dyDescent="0.25">
      <c r="A284" s="9" t="str">
        <f>IF(ISBLANK('Signal Definition'!J284),"",'Signal Definition'!J284)</f>
        <v>VirtFuAirSpGenr_pIntkMnfldDesVectHrzn_INT</v>
      </c>
      <c r="B284" s="9">
        <f t="array" ref="B284">COUNT(FIND("input",$D284:$BY284))</f>
        <v>1</v>
      </c>
      <c r="C284" s="9">
        <f t="array" ref="C284">COUNT(FIND("output",$D284:$BY284))</f>
        <v>1</v>
      </c>
      <c r="AC284" t="s">
        <v>2670</v>
      </c>
      <c r="AF284" t="s">
        <v>2661</v>
      </c>
    </row>
    <row r="285" spans="1:32" x14ac:dyDescent="0.25">
      <c r="A285" s="9" t="str">
        <f>IF(ISBLANK('Signal Definition'!J285),"",'Signal Definition'!J285)</f>
        <v>VirtFuAirSpGenr_mflChrgdAirDesVectHrzn_INT</v>
      </c>
      <c r="B285" s="9">
        <f t="array" ref="B285">COUNT(FIND("input",$D285:$BY285))</f>
        <v>2</v>
      </c>
      <c r="C285" s="9">
        <f t="array" ref="C285">COUNT(FIND("output",$D285:$BY285))</f>
        <v>1</v>
      </c>
      <c r="AB285" t="s">
        <v>2670</v>
      </c>
      <c r="AC285" t="s">
        <v>2670</v>
      </c>
      <c r="AF285" t="s">
        <v>2661</v>
      </c>
    </row>
    <row r="286" spans="1:32" x14ac:dyDescent="0.25">
      <c r="A286" s="9" t="str">
        <f>IF(ISBLANK('Signal Definition'!J286),"",'Signal Definition'!J286)</f>
        <v>VirtEngCmbMdl_trqEngTqOutVectHrzn_INT</v>
      </c>
      <c r="B286" s="9">
        <f t="array" ref="B286">COUNT(FIND("input",$D286:$BY286))</f>
        <v>1</v>
      </c>
      <c r="C286" s="9">
        <f t="array" ref="C286">COUNT(FIND("output",$D286:$BY286))</f>
        <v>1</v>
      </c>
      <c r="AB286" t="s">
        <v>2670</v>
      </c>
      <c r="AD286" t="s">
        <v>2661</v>
      </c>
    </row>
    <row r="287" spans="1:32" x14ac:dyDescent="0.25">
      <c r="A287" s="9" t="str">
        <f>IF(ISBLANK('Signal Definition'!J287),"",'Signal Definition'!J287)</f>
        <v>VirtEngCmbMdl_ratNOxVectHrzn_INT</v>
      </c>
      <c r="B287" s="9">
        <f t="array" ref="B287">COUNT(FIND("input",$D287:$BY287))</f>
        <v>1</v>
      </c>
      <c r="C287" s="9">
        <f t="array" ref="C287">COUNT(FIND("output",$D287:$BY287))</f>
        <v>1</v>
      </c>
      <c r="AB287" t="s">
        <v>2670</v>
      </c>
      <c r="AD287" t="s">
        <v>2661</v>
      </c>
    </row>
    <row r="288" spans="1:32" x14ac:dyDescent="0.25">
      <c r="A288" s="9" t="str">
        <f>IF(ISBLANK('Signal Definition'!J288),"",'Signal Definition'!J288)</f>
        <v>VirtEngCmbMdl_tTrbDsVectHrzn_INT</v>
      </c>
      <c r="B288" s="9">
        <f t="array" ref="B288">COUNT(FIND("input",$D288:$BY288))</f>
        <v>1</v>
      </c>
      <c r="C288" s="9">
        <f t="array" ref="C288">COUNT(FIND("output",$D288:$BY288))</f>
        <v>1</v>
      </c>
      <c r="AB288" t="s">
        <v>2670</v>
      </c>
      <c r="AD288" t="s">
        <v>2661</v>
      </c>
    </row>
    <row r="289" spans="1:37" x14ac:dyDescent="0.25">
      <c r="A289" s="9" t="str">
        <f>IF(ISBLANK('Signal Definition'!J289),"",'Signal Definition'!J289)</f>
        <v>EngCtrl_numEngOpertgModOvrd_INT</v>
      </c>
      <c r="B289" s="9">
        <f t="array" ref="B289">COUNT(FIND("input",$D289:$BY289))</f>
        <v>1</v>
      </c>
      <c r="C289" s="9">
        <f t="array" ref="C289">COUNT(FIND("output",$D289:$BY289))</f>
        <v>1</v>
      </c>
      <c r="Y289" t="s">
        <v>2661</v>
      </c>
      <c r="AF289" t="s">
        <v>2670</v>
      </c>
    </row>
    <row r="290" spans="1:37" x14ac:dyDescent="0.25">
      <c r="A290" s="9" t="str">
        <f>IF(ISBLANK('Signal Definition'!J290),"",'Signal Definition'!J290)</f>
        <v>InpOutp_qInjTot_PHY</v>
      </c>
      <c r="B290" s="9">
        <f t="array" ref="B290">COUNT(FIND("input",$D290:$BY290))</f>
        <v>1</v>
      </c>
      <c r="C290" s="9">
        <f t="array" ref="C290">COUNT(FIND("output",$D290:$BY290))</f>
        <v>1</v>
      </c>
      <c r="AG290" t="s">
        <v>2661</v>
      </c>
      <c r="AH290" t="s">
        <v>2670</v>
      </c>
    </row>
    <row r="291" spans="1:37" x14ac:dyDescent="0.25">
      <c r="A291" s="9" t="str">
        <f>IF(ISBLANK('Signal Definition'!J291),"",'Signal Definition'!J291)</f>
        <v>RealECU_qInjTot_PHY</v>
      </c>
      <c r="B291" s="9">
        <f t="array" ref="B291">COUNT(FIND("input",$D291:$BY291))</f>
        <v>0</v>
      </c>
      <c r="C291" s="9">
        <f t="array" ref="C291">COUNT(FIND("output",$D291:$BY291))</f>
        <v>1</v>
      </c>
      <c r="AH291" t="s">
        <v>2661</v>
      </c>
    </row>
    <row r="292" spans="1:37" x14ac:dyDescent="0.25">
      <c r="A292" s="9" t="str">
        <f>IF(ISBLANK('Signal Definition'!J292),"",'Signal Definition'!J292)</f>
        <v>RouteGenr_vVehSpd_CLD</v>
      </c>
      <c r="B292" s="9">
        <f t="array" ref="B292">COUNT(FIND("input",$D292:$BY292))</f>
        <v>1</v>
      </c>
      <c r="C292" s="9">
        <f t="array" ref="C292">COUNT(FIND("output",$D292:$BY292))</f>
        <v>1</v>
      </c>
      <c r="AI292" t="s">
        <v>2661</v>
      </c>
      <c r="AJ292" t="s">
        <v>2670</v>
      </c>
    </row>
    <row r="293" spans="1:37" x14ac:dyDescent="0.25">
      <c r="A293" s="9" t="str">
        <f>IF(ISBLANK('Signal Definition'!J293),"",'Signal Definition'!J293)</f>
        <v>RouteGenr_lDst_CLD</v>
      </c>
      <c r="B293" s="9">
        <f t="array" ref="B293">COUNT(FIND("input",$D293:$BY293))</f>
        <v>1</v>
      </c>
      <c r="C293" s="9">
        <f t="array" ref="C293">COUNT(FIND("output",$D293:$BY293))</f>
        <v>1</v>
      </c>
      <c r="AI293" t="s">
        <v>2661</v>
      </c>
      <c r="AJ293" t="s">
        <v>2670</v>
      </c>
    </row>
    <row r="294" spans="1:37" x14ac:dyDescent="0.25">
      <c r="A294" s="9" t="str">
        <f>IF(ISBLANK('Signal Definition'!J294),"",'Signal Definition'!J294)</f>
        <v>RouteGenr_pwrPwr_CLD</v>
      </c>
      <c r="B294" s="9">
        <f t="array" ref="B294">COUNT(FIND("input",$D294:$BY294))</f>
        <v>1</v>
      </c>
      <c r="C294" s="9">
        <f t="array" ref="C294">COUNT(FIND("output",$D294:$BY294))</f>
        <v>1</v>
      </c>
      <c r="AI294" t="s">
        <v>2661</v>
      </c>
      <c r="AJ294" t="s">
        <v>2670</v>
      </c>
    </row>
    <row r="295" spans="1:37" x14ac:dyDescent="0.25">
      <c r="A295" s="9" t="str">
        <f>IF(ISBLANK('Signal Definition'!J295),"",'Signal Definition'!J295)</f>
        <v>PCCMRPUIf_vVehSpdHrzn_CAN</v>
      </c>
      <c r="B295" s="9">
        <f t="array" ref="B295">COUNT(FIND("input",$D295:$BY295))</f>
        <v>1</v>
      </c>
      <c r="C295" s="9">
        <f t="array" ref="C295">COUNT(FIND("output",$D295:$BY295))</f>
        <v>1</v>
      </c>
      <c r="AJ295" t="s">
        <v>2661</v>
      </c>
      <c r="AK295" t="s">
        <v>2670</v>
      </c>
    </row>
    <row r="296" spans="1:37" x14ac:dyDescent="0.25">
      <c r="A296" s="9" t="str">
        <f>IF(ISBLANK('Signal Definition'!J296),"",'Signal Definition'!J296)</f>
        <v>PCCMRPUIf_lDstHrzn_CAN</v>
      </c>
      <c r="B296" s="9">
        <f t="array" ref="B296">COUNT(FIND("input",$D296:$BY296))</f>
        <v>1</v>
      </c>
      <c r="C296" s="9">
        <f t="array" ref="C296">COUNT(FIND("output",$D296:$BY296))</f>
        <v>1</v>
      </c>
      <c r="AJ296" t="s">
        <v>2661</v>
      </c>
      <c r="AK296" t="s">
        <v>2670</v>
      </c>
    </row>
    <row r="297" spans="1:37" x14ac:dyDescent="0.25">
      <c r="A297" s="9" t="str">
        <f>IF(ISBLANK('Signal Definition'!J297),"",'Signal Definition'!J297)</f>
        <v>PCCMRPUIf_pwrPwrHrzn_CAN</v>
      </c>
      <c r="B297" s="9">
        <f t="array" ref="B297">COUNT(FIND("input",$D297:$BY297))</f>
        <v>1</v>
      </c>
      <c r="C297" s="9">
        <f t="array" ref="C297">COUNT(FIND("output",$D297:$BY297))</f>
        <v>1</v>
      </c>
      <c r="AJ297" t="s">
        <v>2661</v>
      </c>
      <c r="AK297" t="s">
        <v>2670</v>
      </c>
    </row>
    <row r="298" spans="1:37" x14ac:dyDescent="0.25">
      <c r="A298" s="9" t="str">
        <f>IF(ISBLANK('Signal Definition'!J298),"",'Signal Definition'!J298)</f>
        <v>PCCMRPUIf_numNrHrznVldElm_CAN</v>
      </c>
      <c r="B298" s="9">
        <f t="array" ref="B298">COUNT(FIND("input",$D298:$BY298))</f>
        <v>1</v>
      </c>
      <c r="C298" s="9">
        <f t="array" ref="C298">COUNT(FIND("output",$D298:$BY298))</f>
        <v>1</v>
      </c>
      <c r="AJ298" t="s">
        <v>2661</v>
      </c>
      <c r="AK298" t="s">
        <v>2670</v>
      </c>
    </row>
    <row r="299" spans="1:37" x14ac:dyDescent="0.25">
      <c r="A299" s="9" t="str">
        <f>IF(ISBLANK('Signal Definition'!J299),"",'Signal Definition'!J299)</f>
        <v>PCCMRPUIf_stRst_CAN</v>
      </c>
      <c r="B299" s="9">
        <f t="array" ref="B299">COUNT(FIND("input",$D299:$BY299))</f>
        <v>1</v>
      </c>
      <c r="C299" s="9">
        <f t="array" ref="C299">COUNT(FIND("output",$D299:$BY299))</f>
        <v>1</v>
      </c>
      <c r="AJ299" t="s">
        <v>2661</v>
      </c>
      <c r="AK299" t="s">
        <v>2670</v>
      </c>
    </row>
    <row r="300" spans="1:37" x14ac:dyDescent="0.25">
      <c r="A300" s="9" t="str">
        <f>IF(ISBLANK('Signal Definition'!J300),"",'Signal Definition'!J300)</f>
        <v>PCCMRPUIf_stHrznVld_CAN</v>
      </c>
      <c r="B300" s="9">
        <f t="array" ref="B300">COUNT(FIND("input",$D300:$BY300))</f>
        <v>0</v>
      </c>
      <c r="C300" s="9">
        <f t="array" ref="C300">COUNT(FIND("output",$D300:$BY300))</f>
        <v>1</v>
      </c>
      <c r="AJ300" t="s">
        <v>2661</v>
      </c>
    </row>
    <row r="301" spans="1:37" x14ac:dyDescent="0.25">
      <c r="A301" s="9" t="str">
        <f>IF(ISBLANK('Signal Definition'!J301),"",'Signal Definition'!J301)</f>
        <v>PCCMRPUIf_lVehPosn_CAN</v>
      </c>
      <c r="B301" s="9">
        <f t="array" ref="B301">COUNT(FIND("input",$D301:$BY301))</f>
        <v>0</v>
      </c>
      <c r="C301" s="9">
        <f t="array" ref="C301">COUNT(FIND("output",$D301:$BY301))</f>
        <v>1</v>
      </c>
      <c r="AJ301" t="s">
        <v>2661</v>
      </c>
    </row>
    <row r="302" spans="1:37" x14ac:dyDescent="0.25">
      <c r="A302" s="9" t="str">
        <f>IF(ISBLANK('Signal Definition'!J302),"",'Signal Definition'!J302)</f>
        <v>SpdTqTrcGenr_numGearHrzn_PHY</v>
      </c>
      <c r="B302" s="9">
        <f t="array" ref="B302">COUNT(FIND("input",$D302:$BY302))</f>
        <v>0</v>
      </c>
      <c r="C302" s="9">
        <f t="array" ref="C302">COUNT(FIND("output",$D302:$BY302))</f>
        <v>1</v>
      </c>
      <c r="AK302" t="s">
        <v>2661</v>
      </c>
    </row>
    <row r="303" spans="1:37" x14ac:dyDescent="0.25">
      <c r="A303" s="9" t="str">
        <f>IF(ISBLANK('Signal Definition'!J303),"",'Signal Definition'!J303)</f>
        <v>SpdTqTrcGenr_nEngSpdHrzn_PHY</v>
      </c>
      <c r="B303" s="9">
        <f t="array" ref="B303">COUNT(FIND("input",$D303:$BY303))</f>
        <v>0</v>
      </c>
      <c r="C303" s="9">
        <f t="array" ref="C303">COUNT(FIND("output",$D303:$BY303))</f>
        <v>1</v>
      </c>
      <c r="AK303" t="s">
        <v>2661</v>
      </c>
    </row>
    <row r="304" spans="1:37" x14ac:dyDescent="0.25">
      <c r="A304" s="9" t="str">
        <f>IF(ISBLANK('Signal Definition'!J304),"",'Signal Definition'!J304)</f>
        <v>SpdTqTrcGenr_trqEngTqHrzn_PHY</v>
      </c>
      <c r="B304" s="9">
        <f t="array" ref="B304">COUNT(FIND("input",$D304:$BY304))</f>
        <v>0</v>
      </c>
      <c r="C304" s="9">
        <f t="array" ref="C304">COUNT(FIND("output",$D304:$BY304))</f>
        <v>1</v>
      </c>
      <c r="AK304" t="s">
        <v>2661</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sheetData>
  <sheetProtection password="D3ED" sheet="1" objects="1" scenarios="1" autoFilter="0"/>
  <autoFilter ref="A2:BK1068"/>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 r:id="rId4" name="Button 1">
              <controlPr defaultSize="0" print="0" autoFill="0" autoPict="0" macro="[0]!Call_Signal_Form" altText="Add Signal">
                <anchor moveWithCells="1">
                  <from>
                    <xdr:col>0</xdr:col>
                    <xdr:colOff>57150</xdr:colOff>
                    <xdr:row>0</xdr:row>
                    <xdr:rowOff>57150</xdr:rowOff>
                  </from>
                  <to>
                    <xdr:col>0</xdr:col>
                    <xdr:colOff>704850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42"/>
  <sheetViews>
    <sheetView tabSelected="1" topLeftCell="D22" zoomScale="106" zoomScaleNormal="106" workbookViewId="0">
      <selection activeCell="F27" sqref="F27"/>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5">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25">
      <c r="A28" t="s">
        <v>2919</v>
      </c>
      <c r="B28" t="s">
        <v>2920</v>
      </c>
      <c r="C28" t="s">
        <v>2921</v>
      </c>
      <c r="D28" t="s">
        <v>2787</v>
      </c>
      <c r="E28" t="s">
        <v>3636</v>
      </c>
      <c r="F28" t="s">
        <v>2922</v>
      </c>
      <c r="G28" t="s">
        <v>2601</v>
      </c>
      <c r="H28" t="s">
        <v>2568</v>
      </c>
      <c r="I28" s="69" t="s">
        <v>3637</v>
      </c>
      <c r="J28" t="s">
        <v>14</v>
      </c>
      <c r="K28">
        <v>0</v>
      </c>
      <c r="L28">
        <v>0</v>
      </c>
      <c r="M28">
        <v>1</v>
      </c>
      <c r="N28">
        <v>2.0000000000000001E-10</v>
      </c>
      <c r="O28">
        <v>4294967296</v>
      </c>
      <c r="P28" s="55">
        <v>0.01</v>
      </c>
    </row>
    <row r="29" spans="1:16" x14ac:dyDescent="0.25">
      <c r="A29" t="s">
        <v>2919</v>
      </c>
      <c r="B29" t="s">
        <v>2920</v>
      </c>
      <c r="C29" t="s">
        <v>2921</v>
      </c>
      <c r="D29" t="s">
        <v>2787</v>
      </c>
      <c r="E29" t="s">
        <v>3629</v>
      </c>
      <c r="F29" t="s">
        <v>2922</v>
      </c>
      <c r="G29" t="s">
        <v>2601</v>
      </c>
      <c r="H29" t="s">
        <v>2568</v>
      </c>
      <c r="I29" s="69" t="s">
        <v>3638</v>
      </c>
      <c r="J29" t="s">
        <v>14</v>
      </c>
      <c r="K29">
        <v>0</v>
      </c>
      <c r="L29">
        <v>0</v>
      </c>
      <c r="M29">
        <v>1</v>
      </c>
      <c r="N29">
        <v>2.0000000000000001E-10</v>
      </c>
      <c r="O29">
        <v>4294967296</v>
      </c>
      <c r="P29" s="55">
        <v>0.1</v>
      </c>
    </row>
    <row r="30" spans="1:16" x14ac:dyDescent="0.25">
      <c r="A30" t="s">
        <v>3756</v>
      </c>
      <c r="B30" t="s">
        <v>2920</v>
      </c>
      <c r="C30" t="s">
        <v>2921</v>
      </c>
      <c r="D30" t="s">
        <v>3708</v>
      </c>
      <c r="E30" t="s">
        <v>3709</v>
      </c>
      <c r="F30" t="s">
        <v>2922</v>
      </c>
      <c r="G30" t="s">
        <v>2601</v>
      </c>
      <c r="H30" t="s">
        <v>2568</v>
      </c>
      <c r="I30" s="69" t="s">
        <v>3757</v>
      </c>
      <c r="J30" t="s">
        <v>14</v>
      </c>
      <c r="K30">
        <v>0</v>
      </c>
      <c r="L30">
        <v>0</v>
      </c>
      <c r="M30">
        <v>1</v>
      </c>
      <c r="N30">
        <v>2.0000000000000001E-10</v>
      </c>
      <c r="O30">
        <v>4294967296</v>
      </c>
      <c r="P30" s="55">
        <v>1E-3</v>
      </c>
    </row>
    <row r="31" spans="1:16" x14ac:dyDescent="0.25">
      <c r="A31" t="s">
        <v>3756</v>
      </c>
      <c r="B31" t="s">
        <v>2920</v>
      </c>
      <c r="C31" t="s">
        <v>2921</v>
      </c>
      <c r="D31" t="s">
        <v>2787</v>
      </c>
      <c r="E31" t="s">
        <v>3764</v>
      </c>
      <c r="F31" t="s">
        <v>2922</v>
      </c>
      <c r="G31" t="s">
        <v>2601</v>
      </c>
      <c r="H31" t="s">
        <v>2568</v>
      </c>
      <c r="I31" s="69" t="s">
        <v>3798</v>
      </c>
      <c r="J31" t="s">
        <v>14</v>
      </c>
      <c r="K31">
        <v>0</v>
      </c>
      <c r="L31">
        <v>0</v>
      </c>
      <c r="M31">
        <v>1</v>
      </c>
      <c r="N31">
        <v>2.0000000000000001E-10</v>
      </c>
      <c r="O31">
        <v>4294967296</v>
      </c>
      <c r="P31" s="55">
        <v>0.1</v>
      </c>
    </row>
    <row r="32" spans="1:16" x14ac:dyDescent="0.25">
      <c r="A32" t="s">
        <v>3806</v>
      </c>
      <c r="B32" t="s">
        <v>3799</v>
      </c>
      <c r="C32" t="s">
        <v>3800</v>
      </c>
      <c r="D32" t="s">
        <v>2787</v>
      </c>
      <c r="E32" t="s">
        <v>3764</v>
      </c>
      <c r="F32" t="s">
        <v>2703</v>
      </c>
      <c r="G32" t="s">
        <v>113</v>
      </c>
      <c r="H32" t="s">
        <v>2569</v>
      </c>
      <c r="I32" s="69" t="s">
        <v>3801</v>
      </c>
      <c r="J32" t="s">
        <v>14</v>
      </c>
      <c r="K32">
        <v>0</v>
      </c>
      <c r="L32">
        <v>0</v>
      </c>
      <c r="M32">
        <v>10000</v>
      </c>
      <c r="N32">
        <v>2.0000000000000001E-10</v>
      </c>
      <c r="O32">
        <v>4294967296</v>
      </c>
      <c r="P32" s="55" t="s">
        <v>3802</v>
      </c>
    </row>
    <row r="33" spans="1:16" x14ac:dyDescent="0.25">
      <c r="A33" t="s">
        <v>3806</v>
      </c>
      <c r="B33" t="s">
        <v>3799</v>
      </c>
      <c r="C33" t="s">
        <v>3800</v>
      </c>
      <c r="D33" t="s">
        <v>2787</v>
      </c>
      <c r="E33" t="s">
        <v>3629</v>
      </c>
      <c r="F33" t="s">
        <v>2703</v>
      </c>
      <c r="G33" t="s">
        <v>113</v>
      </c>
      <c r="H33" t="s">
        <v>2569</v>
      </c>
      <c r="I33" s="69" t="s">
        <v>3803</v>
      </c>
      <c r="J33" t="s">
        <v>14</v>
      </c>
      <c r="K33">
        <v>0</v>
      </c>
      <c r="L33">
        <v>0</v>
      </c>
      <c r="M33">
        <v>10000</v>
      </c>
      <c r="N33">
        <v>2.0000000000000001E-10</v>
      </c>
      <c r="O33">
        <v>4294967296</v>
      </c>
      <c r="P33" s="55" t="s">
        <v>3802</v>
      </c>
    </row>
    <row r="34" spans="1:16" x14ac:dyDescent="0.25">
      <c r="A34" t="s">
        <v>3804</v>
      </c>
      <c r="B34" t="s">
        <v>3805</v>
      </c>
      <c r="C34" t="s">
        <v>2476</v>
      </c>
      <c r="D34" t="s">
        <v>2683</v>
      </c>
      <c r="E34" t="s">
        <v>2684</v>
      </c>
      <c r="F34" t="s">
        <v>2811</v>
      </c>
      <c r="G34" t="s">
        <v>66</v>
      </c>
      <c r="H34" t="s">
        <v>2568</v>
      </c>
      <c r="I34" s="16" t="s">
        <v>3807</v>
      </c>
      <c r="J34" t="s">
        <v>14</v>
      </c>
      <c r="K34">
        <v>0</v>
      </c>
      <c r="L34">
        <v>0</v>
      </c>
      <c r="M34">
        <v>100000</v>
      </c>
      <c r="N34">
        <v>2.0000000000000001E-10</v>
      </c>
      <c r="O34">
        <v>4294967296</v>
      </c>
      <c r="P34" s="55">
        <v>40000</v>
      </c>
    </row>
    <row r="35" spans="1:16" x14ac:dyDescent="0.25">
      <c r="A35" t="s">
        <v>3819</v>
      </c>
      <c r="B35" t="s">
        <v>3819</v>
      </c>
      <c r="C35" t="s">
        <v>2476</v>
      </c>
      <c r="D35" t="s">
        <v>2683</v>
      </c>
      <c r="E35" t="s">
        <v>2684</v>
      </c>
      <c r="F35" t="s">
        <v>3818</v>
      </c>
      <c r="G35" t="s">
        <v>113</v>
      </c>
      <c r="H35" t="s">
        <v>2568</v>
      </c>
      <c r="I35" s="16" t="s">
        <v>3817</v>
      </c>
      <c r="J35" t="s">
        <v>14</v>
      </c>
      <c r="K35">
        <v>0</v>
      </c>
      <c r="L35">
        <v>0</v>
      </c>
      <c r="M35">
        <v>10</v>
      </c>
      <c r="N35">
        <v>2.0000000000000001E-10</v>
      </c>
      <c r="O35">
        <v>4294967296</v>
      </c>
      <c r="P35" s="55">
        <v>6.1000000000000004E-3</v>
      </c>
    </row>
    <row r="36" spans="1:16" x14ac:dyDescent="0.25">
      <c r="A36" t="s">
        <v>3820</v>
      </c>
      <c r="B36" t="s">
        <v>3820</v>
      </c>
      <c r="C36" t="s">
        <v>2476</v>
      </c>
      <c r="D36" t="s">
        <v>2683</v>
      </c>
      <c r="E36" t="s">
        <v>2684</v>
      </c>
      <c r="F36" t="s">
        <v>3821</v>
      </c>
      <c r="G36" t="s">
        <v>2603</v>
      </c>
      <c r="H36" t="s">
        <v>2568</v>
      </c>
      <c r="I36" s="16" t="s">
        <v>3822</v>
      </c>
      <c r="J36" t="s">
        <v>14</v>
      </c>
      <c r="K36">
        <v>0</v>
      </c>
      <c r="L36">
        <v>0</v>
      </c>
      <c r="M36">
        <v>100</v>
      </c>
      <c r="N36">
        <v>2.0000000000000001E-10</v>
      </c>
      <c r="O36">
        <v>4294967296</v>
      </c>
      <c r="P36" s="55">
        <v>10.5092</v>
      </c>
    </row>
    <row r="37" spans="1:16" x14ac:dyDescent="0.25">
      <c r="A37" t="s">
        <v>3823</v>
      </c>
      <c r="B37" t="s">
        <v>3823</v>
      </c>
      <c r="C37" t="s">
        <v>2476</v>
      </c>
      <c r="D37" t="s">
        <v>2683</v>
      </c>
      <c r="E37" t="s">
        <v>2684</v>
      </c>
      <c r="F37" t="s">
        <v>3818</v>
      </c>
      <c r="G37" t="s">
        <v>113</v>
      </c>
      <c r="H37" t="s">
        <v>2568</v>
      </c>
      <c r="I37" s="16" t="s">
        <v>3824</v>
      </c>
      <c r="J37" t="s">
        <v>14</v>
      </c>
      <c r="K37">
        <v>0</v>
      </c>
      <c r="L37">
        <v>0</v>
      </c>
      <c r="M37">
        <v>10</v>
      </c>
      <c r="N37">
        <v>2.0000000000000001E-10</v>
      </c>
      <c r="O37">
        <v>4294967296</v>
      </c>
      <c r="P37" s="55">
        <v>0.41499999999999998</v>
      </c>
    </row>
    <row r="38" spans="1:16" x14ac:dyDescent="0.25">
      <c r="A38" t="s">
        <v>2920</v>
      </c>
      <c r="B38" t="s">
        <v>2920</v>
      </c>
      <c r="C38" t="s">
        <v>2921</v>
      </c>
      <c r="D38" t="s">
        <v>3857</v>
      </c>
      <c r="E38" t="s">
        <v>3859</v>
      </c>
      <c r="F38" t="s">
        <v>2922</v>
      </c>
      <c r="G38" t="s">
        <v>2601</v>
      </c>
      <c r="H38" t="s">
        <v>2568</v>
      </c>
      <c r="I38" s="69" t="s">
        <v>3861</v>
      </c>
      <c r="J38" t="s">
        <v>14</v>
      </c>
      <c r="K38" t="s">
        <v>2659</v>
      </c>
      <c r="L38">
        <v>0</v>
      </c>
      <c r="M38">
        <v>1</v>
      </c>
      <c r="N38">
        <v>2.0000000000000001E-10</v>
      </c>
      <c r="O38">
        <v>4294967296</v>
      </c>
      <c r="P38" s="55">
        <v>1E-3</v>
      </c>
    </row>
    <row r="39" spans="1:16" x14ac:dyDescent="0.25">
      <c r="A39" t="s">
        <v>2920</v>
      </c>
      <c r="B39" t="s">
        <v>2920</v>
      </c>
      <c r="C39" t="s">
        <v>2921</v>
      </c>
      <c r="D39" t="s">
        <v>2721</v>
      </c>
      <c r="E39" t="s">
        <v>3863</v>
      </c>
      <c r="F39" t="s">
        <v>2922</v>
      </c>
      <c r="G39" t="s">
        <v>2601</v>
      </c>
      <c r="H39" t="s">
        <v>2568</v>
      </c>
      <c r="I39" s="69" t="s">
        <v>3866</v>
      </c>
      <c r="J39" t="s">
        <v>14</v>
      </c>
      <c r="K39" t="s">
        <v>2659</v>
      </c>
      <c r="L39">
        <v>0</v>
      </c>
      <c r="M39">
        <v>1</v>
      </c>
      <c r="N39">
        <v>2.0000000000000001E-10</v>
      </c>
      <c r="O39">
        <v>4294967296</v>
      </c>
      <c r="P39" s="55">
        <v>1E-3</v>
      </c>
    </row>
    <row r="40" spans="1:16" x14ac:dyDescent="0.25">
      <c r="A40" t="s">
        <v>2920</v>
      </c>
      <c r="B40" t="s">
        <v>2920</v>
      </c>
      <c r="C40" t="s">
        <v>2921</v>
      </c>
      <c r="D40" t="s">
        <v>37</v>
      </c>
      <c r="E40" t="s">
        <v>3871</v>
      </c>
      <c r="F40" t="s">
        <v>2922</v>
      </c>
      <c r="G40" t="s">
        <v>2601</v>
      </c>
      <c r="H40" t="s">
        <v>2568</v>
      </c>
      <c r="I40" s="69" t="s">
        <v>3874</v>
      </c>
      <c r="J40" t="s">
        <v>14</v>
      </c>
      <c r="K40" t="s">
        <v>2659</v>
      </c>
      <c r="L40">
        <v>0</v>
      </c>
      <c r="M40">
        <v>140000</v>
      </c>
      <c r="N40">
        <v>3.2596299999999998E-5</v>
      </c>
      <c r="O40">
        <v>4294967296</v>
      </c>
      <c r="P40" s="55">
        <v>0.2</v>
      </c>
    </row>
    <row r="41" spans="1:16" x14ac:dyDescent="0.25">
      <c r="A41" t="s">
        <v>2920</v>
      </c>
      <c r="B41" t="s">
        <v>2920</v>
      </c>
      <c r="C41" t="s">
        <v>2921</v>
      </c>
      <c r="D41" t="s">
        <v>3708</v>
      </c>
      <c r="E41" t="s">
        <v>3884</v>
      </c>
      <c r="F41" t="s">
        <v>2922</v>
      </c>
      <c r="G41" t="s">
        <v>2601</v>
      </c>
      <c r="H41" t="s">
        <v>2568</v>
      </c>
      <c r="I41" s="69" t="s">
        <v>3886</v>
      </c>
      <c r="J41" t="s">
        <v>14</v>
      </c>
      <c r="K41" t="s">
        <v>2659</v>
      </c>
      <c r="L41">
        <v>0</v>
      </c>
      <c r="M41">
        <v>1</v>
      </c>
      <c r="N41">
        <v>2.0000000000000001E-10</v>
      </c>
      <c r="O41">
        <v>4294967296</v>
      </c>
      <c r="P41" s="55">
        <v>0.2</v>
      </c>
    </row>
    <row r="42" spans="1:16" x14ac:dyDescent="0.25">
      <c r="A42" t="s">
        <v>2920</v>
      </c>
      <c r="B42" t="s">
        <v>2920</v>
      </c>
      <c r="C42" t="s">
        <v>2921</v>
      </c>
      <c r="D42" t="s">
        <v>2787</v>
      </c>
      <c r="E42" t="s">
        <v>3919</v>
      </c>
      <c r="F42" t="s">
        <v>2922</v>
      </c>
      <c r="G42" t="s">
        <v>2601</v>
      </c>
      <c r="H42" t="s">
        <v>2568</v>
      </c>
      <c r="I42" s="69" t="s">
        <v>3939</v>
      </c>
      <c r="J42" t="s">
        <v>14</v>
      </c>
      <c r="K42" t="s">
        <v>2659</v>
      </c>
      <c r="L42">
        <v>0</v>
      </c>
      <c r="M42">
        <v>1</v>
      </c>
      <c r="N42">
        <v>2.0000000000000001E-10</v>
      </c>
      <c r="O42">
        <v>4294967296</v>
      </c>
      <c r="P42" s="55">
        <v>0.2</v>
      </c>
    </row>
  </sheetData>
  <sheetProtection password="D3ED"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 r:id="rId4" name="Button 3">
              <controlPr defaultSize="0" print="0" autoFill="0" autoPict="0" macro="[0]!Call_Signal_Form" altText="Add Signal">
                <anchor moveWithCells="1">
                  <from>
                    <xdr:col>0</xdr:col>
                    <xdr:colOff>38100</xdr:colOff>
                    <xdr:row>0</xdr:row>
                    <xdr:rowOff>19050</xdr:rowOff>
                  </from>
                  <to>
                    <xdr:col>0</xdr:col>
                    <xdr:colOff>533400</xdr:colOff>
                    <xdr:row>0</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D1" zoomScale="85" zoomScaleNormal="85" zoomScalePageLayoutView="85" workbookViewId="0">
      <selection activeCell="D32" sqref="D32:E32"/>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c r="M15" s="58" t="s">
        <v>3708</v>
      </c>
      <c r="N15" s="61" t="s">
        <v>3758</v>
      </c>
    </row>
    <row r="16" spans="1:16" x14ac:dyDescent="0.25">
      <c r="A16" s="21" t="s">
        <v>165</v>
      </c>
      <c r="B16" s="21" t="s">
        <v>166</v>
      </c>
      <c r="C16" s="36"/>
      <c r="D16" s="19" t="s">
        <v>3151</v>
      </c>
      <c r="E16" s="20" t="s">
        <v>3154</v>
      </c>
      <c r="H16" s="34" t="s">
        <v>55</v>
      </c>
      <c r="I16" s="30" t="s">
        <v>54</v>
      </c>
      <c r="J16" s="32" t="s">
        <v>56</v>
      </c>
      <c r="M16" s="58" t="s">
        <v>3857</v>
      </c>
      <c r="N16" s="61" t="s">
        <v>3858</v>
      </c>
    </row>
    <row r="17" spans="1:14" x14ac:dyDescent="0.25">
      <c r="A17" s="21" t="s">
        <v>167</v>
      </c>
      <c r="B17" s="21" t="s">
        <v>168</v>
      </c>
      <c r="C17" s="36"/>
      <c r="D17" s="19" t="s">
        <v>3133</v>
      </c>
      <c r="E17" s="20" t="s">
        <v>3134</v>
      </c>
      <c r="H17" s="34" t="s">
        <v>119</v>
      </c>
      <c r="I17" s="30" t="s">
        <v>118</v>
      </c>
      <c r="J17" s="32" t="s">
        <v>113</v>
      </c>
      <c r="M17" s="58" t="s">
        <v>37</v>
      </c>
      <c r="N17" s="61" t="s">
        <v>133</v>
      </c>
    </row>
    <row r="18" spans="1:14" x14ac:dyDescent="0.25">
      <c r="A18" s="21" t="s">
        <v>169</v>
      </c>
      <c r="B18" s="21" t="s">
        <v>170</v>
      </c>
      <c r="C18" s="36"/>
      <c r="D18" s="19" t="s">
        <v>3167</v>
      </c>
      <c r="E18" s="20" t="s">
        <v>3213</v>
      </c>
      <c r="H18" s="34" t="s">
        <v>3392</v>
      </c>
      <c r="I18" s="30" t="s">
        <v>3393</v>
      </c>
      <c r="J18" s="32" t="s">
        <v>3364</v>
      </c>
    </row>
    <row r="19" spans="1:14" x14ac:dyDescent="0.25">
      <c r="A19" s="21" t="s">
        <v>171</v>
      </c>
      <c r="B19" s="21" t="s">
        <v>172</v>
      </c>
      <c r="C19" s="36"/>
      <c r="D19" s="19" t="s">
        <v>3326</v>
      </c>
      <c r="E19" s="20" t="s">
        <v>3327</v>
      </c>
      <c r="H19" s="34" t="s">
        <v>63</v>
      </c>
      <c r="I19" s="30" t="s">
        <v>62</v>
      </c>
      <c r="J19" s="32" t="s">
        <v>64</v>
      </c>
    </row>
    <row r="20" spans="1:14" x14ac:dyDescent="0.25">
      <c r="A20" s="21" t="s">
        <v>173</v>
      </c>
      <c r="B20" s="21" t="s">
        <v>174</v>
      </c>
      <c r="C20" s="36"/>
      <c r="D20" s="19" t="s">
        <v>3356</v>
      </c>
      <c r="E20" s="20" t="s">
        <v>3357</v>
      </c>
      <c r="H20" s="34" t="s">
        <v>105</v>
      </c>
      <c r="I20" s="30" t="s">
        <v>104</v>
      </c>
      <c r="J20" s="32" t="s">
        <v>3058</v>
      </c>
    </row>
    <row r="21" spans="1:14" x14ac:dyDescent="0.25">
      <c r="A21" s="21" t="s">
        <v>175</v>
      </c>
      <c r="B21" s="21" t="s">
        <v>176</v>
      </c>
      <c r="C21" s="36"/>
      <c r="D21" s="19" t="s">
        <v>3396</v>
      </c>
      <c r="E21" s="20" t="s">
        <v>3397</v>
      </c>
      <c r="H21" s="34" t="s">
        <v>65</v>
      </c>
      <c r="I21" s="30" t="s">
        <v>64</v>
      </c>
      <c r="J21" s="32" t="s">
        <v>66</v>
      </c>
    </row>
    <row r="22" spans="1:14" x14ac:dyDescent="0.25">
      <c r="A22" s="21" t="s">
        <v>177</v>
      </c>
      <c r="B22" s="21" t="s">
        <v>178</v>
      </c>
      <c r="C22" s="36"/>
      <c r="D22" s="19" t="s">
        <v>3500</v>
      </c>
      <c r="E22" s="20" t="s">
        <v>3529</v>
      </c>
      <c r="H22" s="34" t="s">
        <v>68</v>
      </c>
      <c r="I22" s="30" t="s">
        <v>67</v>
      </c>
      <c r="J22" s="32" t="s">
        <v>2599</v>
      </c>
    </row>
    <row r="23" spans="1:14" x14ac:dyDescent="0.25">
      <c r="A23" s="21" t="s">
        <v>179</v>
      </c>
      <c r="B23" s="21" t="s">
        <v>180</v>
      </c>
      <c r="C23" s="36"/>
      <c r="D23" s="19" t="s">
        <v>3519</v>
      </c>
      <c r="E23" s="20" t="s">
        <v>3530</v>
      </c>
      <c r="H23" s="34" t="s">
        <v>61</v>
      </c>
      <c r="I23" s="30" t="s">
        <v>60</v>
      </c>
      <c r="J23" s="32" t="s">
        <v>2605</v>
      </c>
    </row>
    <row r="24" spans="1:14" x14ac:dyDescent="0.25">
      <c r="A24" s="21" t="s">
        <v>181</v>
      </c>
      <c r="B24" s="21" t="s">
        <v>182</v>
      </c>
      <c r="C24" s="36"/>
      <c r="D24" s="19" t="s">
        <v>3540</v>
      </c>
      <c r="E24" s="20" t="s">
        <v>3558</v>
      </c>
      <c r="H24" s="34" t="s">
        <v>121</v>
      </c>
      <c r="I24" s="30" t="s">
        <v>120</v>
      </c>
      <c r="J24" s="32" t="s">
        <v>113</v>
      </c>
    </row>
    <row r="25" spans="1:14" x14ac:dyDescent="0.25">
      <c r="A25" s="21" t="s">
        <v>183</v>
      </c>
      <c r="B25" s="21" t="s">
        <v>184</v>
      </c>
      <c r="C25" s="36"/>
      <c r="D25" s="19" t="s">
        <v>3561</v>
      </c>
      <c r="E25" s="20" t="s">
        <v>3567</v>
      </c>
      <c r="H25" s="34" t="s">
        <v>78</v>
      </c>
      <c r="I25" s="30" t="s">
        <v>77</v>
      </c>
      <c r="J25" s="32" t="s">
        <v>79</v>
      </c>
    </row>
    <row r="26" spans="1:14" x14ac:dyDescent="0.25">
      <c r="A26" s="21" t="s">
        <v>185</v>
      </c>
      <c r="B26" s="21" t="s">
        <v>186</v>
      </c>
      <c r="C26" s="36"/>
      <c r="D26" s="19" t="s">
        <v>3621</v>
      </c>
      <c r="E26" s="20" t="s">
        <v>3628</v>
      </c>
      <c r="H26" s="34" t="s">
        <v>81</v>
      </c>
      <c r="I26" s="30" t="s">
        <v>80</v>
      </c>
      <c r="J26" s="32" t="s">
        <v>82</v>
      </c>
    </row>
    <row r="27" spans="1:14" x14ac:dyDescent="0.25">
      <c r="A27" s="21" t="s">
        <v>187</v>
      </c>
      <c r="B27" s="21" t="s">
        <v>188</v>
      </c>
      <c r="C27" s="36"/>
      <c r="D27" s="19" t="s">
        <v>3629</v>
      </c>
      <c r="E27" s="20" t="s">
        <v>3639</v>
      </c>
      <c r="H27" s="34" t="s">
        <v>73</v>
      </c>
      <c r="I27" s="30" t="s">
        <v>72</v>
      </c>
      <c r="J27" s="32" t="s">
        <v>1679</v>
      </c>
    </row>
    <row r="28" spans="1:14" x14ac:dyDescent="0.25">
      <c r="A28" s="21" t="s">
        <v>189</v>
      </c>
      <c r="B28" s="21" t="s">
        <v>190</v>
      </c>
      <c r="C28" s="36"/>
      <c r="D28" s="19" t="s">
        <v>3636</v>
      </c>
      <c r="E28" s="20" t="s">
        <v>3640</v>
      </c>
      <c r="H28" s="34" t="s">
        <v>1862</v>
      </c>
      <c r="I28" s="30" t="s">
        <v>2934</v>
      </c>
      <c r="J28" s="32" t="s">
        <v>2898</v>
      </c>
    </row>
    <row r="29" spans="1:14" x14ac:dyDescent="0.25">
      <c r="A29" s="21" t="s">
        <v>191</v>
      </c>
      <c r="B29" s="21" t="s">
        <v>192</v>
      </c>
      <c r="C29" s="36"/>
      <c r="D29" s="19" t="s">
        <v>3709</v>
      </c>
      <c r="E29" s="20" t="s">
        <v>3759</v>
      </c>
      <c r="H29" s="34" t="s">
        <v>123</v>
      </c>
      <c r="I29" s="30" t="s">
        <v>122</v>
      </c>
      <c r="J29" s="32" t="s">
        <v>113</v>
      </c>
    </row>
    <row r="30" spans="1:14" x14ac:dyDescent="0.25">
      <c r="A30" s="21" t="s">
        <v>193</v>
      </c>
      <c r="B30" s="21" t="s">
        <v>194</v>
      </c>
      <c r="C30" s="36"/>
      <c r="D30" s="19" t="s">
        <v>3764</v>
      </c>
      <c r="E30" s="20" t="s">
        <v>3765</v>
      </c>
      <c r="H30" s="34" t="s">
        <v>87</v>
      </c>
      <c r="I30" s="30" t="s">
        <v>86</v>
      </c>
      <c r="J30" s="32" t="s">
        <v>88</v>
      </c>
    </row>
    <row r="31" spans="1:14" x14ac:dyDescent="0.25">
      <c r="A31" s="21" t="s">
        <v>195</v>
      </c>
      <c r="B31" s="21" t="s">
        <v>196</v>
      </c>
      <c r="C31" s="36"/>
      <c r="D31" s="19" t="s">
        <v>3859</v>
      </c>
      <c r="E31" s="20" t="s">
        <v>3860</v>
      </c>
      <c r="H31" s="34" t="s">
        <v>70</v>
      </c>
      <c r="I31" s="30" t="s">
        <v>69</v>
      </c>
      <c r="J31" s="32" t="s">
        <v>71</v>
      </c>
    </row>
    <row r="32" spans="1:14" x14ac:dyDescent="0.25">
      <c r="A32" s="21" t="s">
        <v>197</v>
      </c>
      <c r="B32" s="21" t="s">
        <v>198</v>
      </c>
      <c r="C32" s="36"/>
      <c r="D32" s="19" t="s">
        <v>3863</v>
      </c>
      <c r="E32" s="20" t="s">
        <v>3864</v>
      </c>
      <c r="H32" s="34" t="s">
        <v>92</v>
      </c>
      <c r="I32" s="30" t="s">
        <v>91</v>
      </c>
      <c r="J32" s="32" t="s">
        <v>93</v>
      </c>
    </row>
    <row r="33" spans="1:10" x14ac:dyDescent="0.25">
      <c r="A33" s="21" t="s">
        <v>199</v>
      </c>
      <c r="B33" s="21" t="s">
        <v>200</v>
      </c>
      <c r="C33" s="36"/>
      <c r="D33" s="19" t="s">
        <v>3871</v>
      </c>
      <c r="E33" s="20" t="s">
        <v>3872</v>
      </c>
      <c r="H33" s="34" t="s">
        <v>125</v>
      </c>
      <c r="I33" s="30" t="s">
        <v>124</v>
      </c>
      <c r="J33" s="32" t="s">
        <v>113</v>
      </c>
    </row>
    <row r="34" spans="1:10" x14ac:dyDescent="0.25">
      <c r="A34" s="21" t="s">
        <v>201</v>
      </c>
      <c r="B34" s="21" t="s">
        <v>202</v>
      </c>
      <c r="C34" s="36"/>
      <c r="D34" s="19" t="s">
        <v>3884</v>
      </c>
      <c r="E34" s="20" t="s">
        <v>3885</v>
      </c>
      <c r="H34" s="34" t="s">
        <v>127</v>
      </c>
      <c r="I34" s="30" t="s">
        <v>126</v>
      </c>
      <c r="J34" s="32" t="s">
        <v>113</v>
      </c>
    </row>
    <row r="35" spans="1:10" x14ac:dyDescent="0.25">
      <c r="A35" s="21" t="s">
        <v>203</v>
      </c>
      <c r="B35" s="21" t="s">
        <v>204</v>
      </c>
      <c r="C35" s="36"/>
      <c r="D35" s="19" t="s">
        <v>3919</v>
      </c>
      <c r="E35" s="20" t="s">
        <v>3920</v>
      </c>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3641</v>
      </c>
      <c r="B42" s="21" t="s">
        <v>3642</v>
      </c>
      <c r="C42" s="36"/>
      <c r="H42" s="19" t="s">
        <v>3057</v>
      </c>
      <c r="I42" s="75" t="s">
        <v>3065</v>
      </c>
      <c r="J42" s="41" t="s">
        <v>3064</v>
      </c>
    </row>
    <row r="43" spans="1:10" x14ac:dyDescent="0.25">
      <c r="A43" s="21" t="s">
        <v>215</v>
      </c>
      <c r="B43" s="21" t="s">
        <v>215</v>
      </c>
      <c r="C43" s="36"/>
      <c r="H43" s="19" t="s">
        <v>3362</v>
      </c>
      <c r="I43" s="18" t="s">
        <v>3363</v>
      </c>
      <c r="J43" s="20" t="s">
        <v>3364</v>
      </c>
    </row>
    <row r="44" spans="1:10" x14ac:dyDescent="0.25">
      <c r="A44" s="21" t="s">
        <v>216</v>
      </c>
      <c r="B44" s="21" t="s">
        <v>217</v>
      </c>
      <c r="C44" s="36"/>
      <c r="H44" s="19" t="s">
        <v>450</v>
      </c>
      <c r="I44" s="18" t="s">
        <v>3449</v>
      </c>
      <c r="J44" s="20" t="s">
        <v>3448</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2935</v>
      </c>
      <c r="B77" s="21" t="s">
        <v>2935</v>
      </c>
      <c r="C77" s="36"/>
    </row>
    <row r="78" spans="1:3" x14ac:dyDescent="0.25">
      <c r="A78" s="21" t="s">
        <v>279</v>
      </c>
      <c r="B78" s="21" t="s">
        <v>279</v>
      </c>
      <c r="C78" s="36" t="s">
        <v>280</v>
      </c>
    </row>
    <row r="79" spans="1:3" x14ac:dyDescent="0.25">
      <c r="A79" s="21" t="s">
        <v>2936</v>
      </c>
      <c r="B79" s="21" t="s">
        <v>2936</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2816</v>
      </c>
      <c r="B162" s="21" t="s">
        <v>2817</v>
      </c>
      <c r="C162" s="36"/>
    </row>
    <row r="163" spans="1:3" x14ac:dyDescent="0.25">
      <c r="A163" s="21" t="s">
        <v>2805</v>
      </c>
      <c r="B163" s="21" t="s">
        <v>2806</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2839</v>
      </c>
      <c r="B173" s="21" t="s">
        <v>2840</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3214</v>
      </c>
      <c r="B226" s="21" t="s">
        <v>3214</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3559</v>
      </c>
      <c r="B239" s="21" t="s">
        <v>3559</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3215</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2978</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2841</v>
      </c>
      <c r="B336" s="21" t="s">
        <v>2842</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2937</v>
      </c>
      <c r="B358" s="21" t="s">
        <v>2937</v>
      </c>
      <c r="C358" s="36"/>
    </row>
    <row r="359" spans="1:3" x14ac:dyDescent="0.25">
      <c r="A359" s="21" t="s">
        <v>803</v>
      </c>
      <c r="B359" s="21" t="s">
        <v>803</v>
      </c>
      <c r="C359" s="36"/>
    </row>
    <row r="360" spans="1:3" x14ac:dyDescent="0.25">
      <c r="A360" s="21" t="s">
        <v>804</v>
      </c>
      <c r="B360" s="21" t="s">
        <v>805</v>
      </c>
      <c r="C360" s="36"/>
    </row>
    <row r="361" spans="1:3" x14ac:dyDescent="0.25">
      <c r="A361" s="21" t="s">
        <v>2938</v>
      </c>
      <c r="B361" s="21" t="s">
        <v>2939</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2722</v>
      </c>
      <c r="B381" s="21" t="s">
        <v>2722</v>
      </c>
      <c r="C381" s="36"/>
    </row>
    <row r="382" spans="1:3" x14ac:dyDescent="0.25">
      <c r="A382" s="21" t="s">
        <v>843</v>
      </c>
      <c r="B382" s="21" t="s">
        <v>843</v>
      </c>
      <c r="C382" s="36" t="s">
        <v>844</v>
      </c>
    </row>
    <row r="383" spans="1:3" x14ac:dyDescent="0.25">
      <c r="A383" s="21" t="s">
        <v>2775</v>
      </c>
      <c r="B383" s="21" t="s">
        <v>2775</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2843</v>
      </c>
      <c r="B438" s="21" t="s">
        <v>2844</v>
      </c>
      <c r="C438" s="36"/>
    </row>
    <row r="439" spans="1:3" x14ac:dyDescent="0.25">
      <c r="A439" s="21" t="s">
        <v>2845</v>
      </c>
      <c r="B439" s="21" t="s">
        <v>2846</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3760</v>
      </c>
      <c r="B480" s="21" t="s">
        <v>3761</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3036</v>
      </c>
      <c r="B497" s="21" t="s">
        <v>3037</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2776</v>
      </c>
    </row>
    <row r="563" spans="1:3" x14ac:dyDescent="0.25">
      <c r="A563" s="21" t="s">
        <v>1165</v>
      </c>
      <c r="B563" s="21" t="s">
        <v>1165</v>
      </c>
      <c r="C563" s="36" t="s">
        <v>1166</v>
      </c>
    </row>
    <row r="564" spans="1:3" x14ac:dyDescent="0.25">
      <c r="A564" s="21" t="s">
        <v>1167</v>
      </c>
      <c r="B564" s="21" t="s">
        <v>1167</v>
      </c>
      <c r="C564" s="36"/>
    </row>
    <row r="565" spans="1:3" x14ac:dyDescent="0.25">
      <c r="A565" s="21" t="s">
        <v>3762</v>
      </c>
      <c r="B565" s="21" t="s">
        <v>3763</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2807</v>
      </c>
      <c r="B576" s="21" t="s">
        <v>2808</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2777</v>
      </c>
      <c r="B616" s="28" t="s">
        <v>2778</v>
      </c>
    </row>
    <row r="617" spans="1:3" x14ac:dyDescent="0.25">
      <c r="A617" s="21" t="s">
        <v>3394</v>
      </c>
      <c r="B617" s="21" t="s">
        <v>3395</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2991</v>
      </c>
      <c r="B623" s="21" t="s">
        <v>2992</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2942</v>
      </c>
      <c r="B669" s="21" t="s">
        <v>2942</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2847</v>
      </c>
      <c r="B692" s="21" t="s">
        <v>2848</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3216</v>
      </c>
      <c r="B695" s="21" t="s">
        <v>3216</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3217</v>
      </c>
      <c r="B733" s="21" t="s">
        <v>3217</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3568</v>
      </c>
      <c r="B791" s="21" t="s">
        <v>3568</v>
      </c>
      <c r="C791" s="36"/>
    </row>
    <row r="792" spans="1:3" x14ac:dyDescent="0.25">
      <c r="A792" s="21" t="s">
        <v>1568</v>
      </c>
      <c r="B792" s="21" t="s">
        <v>1568</v>
      </c>
      <c r="C792" s="36"/>
    </row>
    <row r="793" spans="1:3" x14ac:dyDescent="0.25">
      <c r="A793" s="21" t="s">
        <v>2849</v>
      </c>
      <c r="B793" s="21" t="s">
        <v>51</v>
      </c>
      <c r="C793" s="36"/>
    </row>
    <row r="794" spans="1:3" x14ac:dyDescent="0.25">
      <c r="A794" s="21" t="s">
        <v>2850</v>
      </c>
      <c r="B794" s="21" t="s">
        <v>2804</v>
      </c>
      <c r="C794" s="36"/>
    </row>
    <row r="795" spans="1:3" x14ac:dyDescent="0.25">
      <c r="A795" s="21" t="s">
        <v>2851</v>
      </c>
      <c r="B795" s="21" t="s">
        <v>2802</v>
      </c>
      <c r="C795" s="36"/>
    </row>
    <row r="796" spans="1:3" x14ac:dyDescent="0.25">
      <c r="A796" s="21" t="s">
        <v>2801</v>
      </c>
      <c r="B796" s="21" t="s">
        <v>2802</v>
      </c>
      <c r="C796" s="36"/>
    </row>
    <row r="797" spans="1:3" x14ac:dyDescent="0.25">
      <c r="A797" s="21" t="s">
        <v>2803</v>
      </c>
      <c r="B797" s="21" t="s">
        <v>2804</v>
      </c>
      <c r="C797" s="36"/>
    </row>
    <row r="798" spans="1:3" x14ac:dyDescent="0.25">
      <c r="A798" s="21" t="s">
        <v>1569</v>
      </c>
      <c r="B798" s="21" t="s">
        <v>1569</v>
      </c>
      <c r="C798" s="36" t="s">
        <v>1570</v>
      </c>
    </row>
    <row r="799" spans="1:3" x14ac:dyDescent="0.25">
      <c r="A799" s="22" t="s">
        <v>2804</v>
      </c>
      <c r="B799" s="22" t="s">
        <v>3593</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2779</v>
      </c>
      <c r="B828" s="21" t="s">
        <v>2704</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2852</v>
      </c>
      <c r="B855" s="21" t="s">
        <v>2853</v>
      </c>
      <c r="C855" s="36"/>
    </row>
    <row r="856" spans="1:3" x14ac:dyDescent="0.25">
      <c r="A856" s="21" t="s">
        <v>3218</v>
      </c>
      <c r="B856" s="21" t="s">
        <v>3219</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2854</v>
      </c>
      <c r="B865" s="21" t="s">
        <v>2810</v>
      </c>
      <c r="C865" s="36"/>
    </row>
    <row r="866" spans="1:3" x14ac:dyDescent="0.25">
      <c r="A866" s="22" t="s">
        <v>2809</v>
      </c>
      <c r="B866" s="22" t="s">
        <v>2810</v>
      </c>
      <c r="C866" s="37"/>
    </row>
    <row r="867" spans="1:3" x14ac:dyDescent="0.25">
      <c r="A867" s="21" t="s">
        <v>2813</v>
      </c>
      <c r="B867" s="21" t="s">
        <v>2814</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8" t="s">
        <v>3882</v>
      </c>
      <c r="B875" s="28" t="s">
        <v>3882</v>
      </c>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2780</v>
      </c>
      <c r="B894" s="21" t="s">
        <v>2781</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1" t="s">
        <v>1744</v>
      </c>
      <c r="B908" s="21" t="s">
        <v>1744</v>
      </c>
      <c r="C908" s="36"/>
    </row>
    <row r="909" spans="1:3" x14ac:dyDescent="0.25">
      <c r="A909" s="28" t="s">
        <v>1405</v>
      </c>
      <c r="B909" s="28" t="s">
        <v>1745</v>
      </c>
    </row>
    <row r="910" spans="1:3" x14ac:dyDescent="0.25">
      <c r="A910" s="28" t="s">
        <v>1746</v>
      </c>
      <c r="B910" s="28" t="s">
        <v>1747</v>
      </c>
    </row>
    <row r="911" spans="1:3" x14ac:dyDescent="0.25">
      <c r="A911" s="21" t="s">
        <v>1748</v>
      </c>
      <c r="B911" s="21" t="s">
        <v>1749</v>
      </c>
      <c r="C911" s="36"/>
    </row>
    <row r="912" spans="1:3" x14ac:dyDescent="0.25">
      <c r="A912" s="21" t="s">
        <v>1750</v>
      </c>
      <c r="B912" s="21" t="s">
        <v>1751</v>
      </c>
      <c r="C912" s="36"/>
    </row>
    <row r="913" spans="1:3" x14ac:dyDescent="0.25">
      <c r="A913" s="21" t="s">
        <v>1752</v>
      </c>
      <c r="B913" s="21" t="s">
        <v>1752</v>
      </c>
      <c r="C913" s="36"/>
    </row>
    <row r="914" spans="1:3" x14ac:dyDescent="0.25">
      <c r="A914" s="22" t="s">
        <v>1753</v>
      </c>
      <c r="B914" s="22" t="s">
        <v>1754</v>
      </c>
      <c r="C914" s="37"/>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1" t="s">
        <v>73</v>
      </c>
      <c r="B929" s="21" t="s">
        <v>1779</v>
      </c>
      <c r="C929" s="36"/>
    </row>
    <row r="930" spans="1:3" x14ac:dyDescent="0.25">
      <c r="A930" s="23"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1" t="s">
        <v>1786</v>
      </c>
      <c r="B934" s="21" t="s">
        <v>1787</v>
      </c>
      <c r="C934" s="36"/>
    </row>
    <row r="935" spans="1:3" x14ac:dyDescent="0.25">
      <c r="A935" s="28" t="s">
        <v>1788</v>
      </c>
      <c r="B935" s="28" t="s">
        <v>1789</v>
      </c>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1" t="s">
        <v>1798</v>
      </c>
      <c r="B940" s="21" t="s">
        <v>1799</v>
      </c>
      <c r="C940" s="36"/>
    </row>
    <row r="941" spans="1:3" x14ac:dyDescent="0.25">
      <c r="A941" s="22" t="s">
        <v>1800</v>
      </c>
      <c r="B941" s="22" t="s">
        <v>1801</v>
      </c>
      <c r="C941" s="37"/>
    </row>
    <row r="942" spans="1:3" x14ac:dyDescent="0.25">
      <c r="A942" s="22" t="s">
        <v>1802</v>
      </c>
      <c r="B942" s="22" t="s">
        <v>1803</v>
      </c>
      <c r="C942" s="37"/>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1" t="s">
        <v>2621</v>
      </c>
      <c r="B948" s="21" t="s">
        <v>2622</v>
      </c>
      <c r="C948" s="36"/>
    </row>
    <row r="949" spans="1:3" x14ac:dyDescent="0.25">
      <c r="A949" s="22" t="s">
        <v>2623</v>
      </c>
      <c r="B949" s="22" t="s">
        <v>2624</v>
      </c>
      <c r="C949" s="37"/>
    </row>
    <row r="950" spans="1:3" x14ac:dyDescent="0.25">
      <c r="A950" s="22" t="s">
        <v>1815</v>
      </c>
      <c r="B950" s="22" t="s">
        <v>1815</v>
      </c>
      <c r="C950" s="37"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2855</v>
      </c>
      <c r="B964" s="21" t="s">
        <v>2855</v>
      </c>
      <c r="C964" s="36"/>
    </row>
    <row r="965" spans="1:3" x14ac:dyDescent="0.25">
      <c r="A965" s="21" t="s">
        <v>1841</v>
      </c>
      <c r="B965" s="21" t="s">
        <v>1842</v>
      </c>
      <c r="C965" s="36" t="s">
        <v>1843</v>
      </c>
    </row>
    <row r="966" spans="1:3" x14ac:dyDescent="0.25">
      <c r="A966" s="21" t="s">
        <v>3362</v>
      </c>
      <c r="B966" s="21" t="s">
        <v>3366</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1" t="s">
        <v>1880</v>
      </c>
      <c r="B987" s="21" t="s">
        <v>1881</v>
      </c>
      <c r="C987" s="36"/>
    </row>
    <row r="988" spans="1:3" x14ac:dyDescent="0.25">
      <c r="A988" s="22"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1" t="s">
        <v>1889</v>
      </c>
      <c r="B992" s="21" t="s">
        <v>1890</v>
      </c>
      <c r="C992" s="36"/>
    </row>
    <row r="993" spans="1:3" x14ac:dyDescent="0.25">
      <c r="A993" s="22"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1" t="s">
        <v>1914</v>
      </c>
      <c r="B1004" s="21" t="s">
        <v>1915</v>
      </c>
      <c r="C1004" s="36"/>
    </row>
    <row r="1005" spans="1:3" x14ac:dyDescent="0.25">
      <c r="A1005" s="22" t="s">
        <v>1916</v>
      </c>
      <c r="B1005" s="22" t="s">
        <v>1917</v>
      </c>
      <c r="C1005" s="37"/>
    </row>
    <row r="1006" spans="1:3" x14ac:dyDescent="0.25">
      <c r="A1006" s="21" t="s">
        <v>1918</v>
      </c>
      <c r="B1006" s="21" t="s">
        <v>1919</v>
      </c>
      <c r="C1006" s="36"/>
    </row>
    <row r="1007" spans="1:3" x14ac:dyDescent="0.25">
      <c r="A1007" s="21" t="s">
        <v>1920</v>
      </c>
      <c r="B1007" s="21" t="s">
        <v>1921</v>
      </c>
      <c r="C1007" s="36"/>
    </row>
    <row r="1008" spans="1:3" x14ac:dyDescent="0.25">
      <c r="A1008" s="22"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1" t="s">
        <v>1942</v>
      </c>
      <c r="B1018" s="21" t="s">
        <v>1943</v>
      </c>
      <c r="C1018" s="36"/>
    </row>
    <row r="1019" spans="1:3" x14ac:dyDescent="0.25">
      <c r="A1019" s="22" t="s">
        <v>1944</v>
      </c>
      <c r="B1019" s="22" t="s">
        <v>1945</v>
      </c>
      <c r="C1019" s="37"/>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1" t="s">
        <v>1998</v>
      </c>
      <c r="B1048" s="21" t="s">
        <v>1998</v>
      </c>
      <c r="C1048" s="36" t="s">
        <v>1999</v>
      </c>
    </row>
    <row r="1049" spans="1:3" x14ac:dyDescent="0.25">
      <c r="A1049" s="22" t="s">
        <v>2000</v>
      </c>
      <c r="B1049" s="22" t="s">
        <v>2001</v>
      </c>
      <c r="C1049" s="37"/>
    </row>
    <row r="1050" spans="1:3" x14ac:dyDescent="0.25">
      <c r="A1050" s="21" t="s">
        <v>2002</v>
      </c>
      <c r="B1050" s="21" t="s">
        <v>2003</v>
      </c>
      <c r="C1050" s="36"/>
    </row>
    <row r="1051" spans="1:3" x14ac:dyDescent="0.25">
      <c r="A1051" s="25" t="s">
        <v>2004</v>
      </c>
      <c r="B1051" s="22" t="s">
        <v>2005</v>
      </c>
      <c r="C1051" s="37"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8" t="s">
        <v>3870</v>
      </c>
      <c r="B1059" s="28" t="s">
        <v>3870</v>
      </c>
    </row>
    <row r="1060" spans="1:3" x14ac:dyDescent="0.25">
      <c r="A1060" s="21" t="s">
        <v>2021</v>
      </c>
      <c r="B1060" s="21" t="s">
        <v>2021</v>
      </c>
      <c r="C1060" s="36"/>
    </row>
    <row r="1061" spans="1:3" x14ac:dyDescent="0.25">
      <c r="A1061" s="21" t="s">
        <v>2022</v>
      </c>
      <c r="B1061" s="21" t="s">
        <v>2022</v>
      </c>
      <c r="C1061" s="36" t="s">
        <v>2023</v>
      </c>
    </row>
    <row r="1062" spans="1:3" x14ac:dyDescent="0.25">
      <c r="A1062" s="28" t="s">
        <v>3883</v>
      </c>
      <c r="B1062" s="28" t="s">
        <v>3883</v>
      </c>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1" t="s">
        <v>2033</v>
      </c>
      <c r="B1068" s="21" t="s">
        <v>2033</v>
      </c>
      <c r="C1068" s="36"/>
    </row>
    <row r="1069" spans="1:3" x14ac:dyDescent="0.25">
      <c r="A1069" s="21" t="s">
        <v>2034</v>
      </c>
      <c r="B1069" s="21" t="s">
        <v>2035</v>
      </c>
      <c r="C1069" s="36"/>
    </row>
    <row r="1070" spans="1:3" x14ac:dyDescent="0.25">
      <c r="A1070" s="21" t="s">
        <v>2036</v>
      </c>
      <c r="B1070" s="21" t="s">
        <v>2036</v>
      </c>
      <c r="C1070" s="36"/>
    </row>
    <row r="1071" spans="1:3" x14ac:dyDescent="0.25">
      <c r="A1071" s="22" t="s">
        <v>2037</v>
      </c>
      <c r="B1071" s="22" t="s">
        <v>2037</v>
      </c>
      <c r="C1071" s="37"/>
    </row>
    <row r="1072" spans="1:3" x14ac:dyDescent="0.25">
      <c r="A1072" s="22" t="s">
        <v>2038</v>
      </c>
      <c r="B1072" s="22" t="s">
        <v>2039</v>
      </c>
      <c r="C1072" s="37"/>
    </row>
    <row r="1073" spans="1:3" x14ac:dyDescent="0.25">
      <c r="A1073" s="22" t="s">
        <v>2040</v>
      </c>
      <c r="B1073" s="22" t="s">
        <v>2040</v>
      </c>
      <c r="C1073" s="37"/>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2857</v>
      </c>
      <c r="B1080" s="21" t="s">
        <v>2857</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1" t="s">
        <v>2058</v>
      </c>
      <c r="B1084" s="21" t="s">
        <v>2058</v>
      </c>
      <c r="C1084" s="36"/>
    </row>
    <row r="1085" spans="1:3" x14ac:dyDescent="0.25">
      <c r="A1085" s="21" t="s">
        <v>2059</v>
      </c>
      <c r="B1085" s="21" t="s">
        <v>2060</v>
      </c>
      <c r="C1085" s="36"/>
    </row>
    <row r="1086" spans="1:3" x14ac:dyDescent="0.25">
      <c r="A1086" s="21" t="s">
        <v>2061</v>
      </c>
      <c r="B1086" s="21" t="s">
        <v>2061</v>
      </c>
      <c r="C1086" s="36"/>
    </row>
    <row r="1087" spans="1:3" x14ac:dyDescent="0.25">
      <c r="A1087" s="22" t="s">
        <v>2062</v>
      </c>
      <c r="B1087" s="22" t="s">
        <v>2063</v>
      </c>
      <c r="C1087" s="37"/>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2856</v>
      </c>
      <c r="B1091" s="21" t="s">
        <v>2857</v>
      </c>
      <c r="C1091" s="36"/>
    </row>
    <row r="1092" spans="1:3" ht="30" x14ac:dyDescent="0.25">
      <c r="A1092" s="21" t="s">
        <v>2858</v>
      </c>
      <c r="B1092" s="21" t="s">
        <v>2857</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1" t="s">
        <v>2171</v>
      </c>
      <c r="B1146" s="21" t="s">
        <v>2172</v>
      </c>
      <c r="C1146" s="36"/>
    </row>
    <row r="1147" spans="1:3" x14ac:dyDescent="0.25">
      <c r="A1147" s="21" t="s">
        <v>2173</v>
      </c>
      <c r="B1147" s="21" t="s">
        <v>2173</v>
      </c>
      <c r="C1147" s="36" t="s">
        <v>2174</v>
      </c>
    </row>
    <row r="1148" spans="1:3" x14ac:dyDescent="0.25">
      <c r="A1148" s="21" t="s">
        <v>2175</v>
      </c>
      <c r="B1148" s="21" t="s">
        <v>2176</v>
      </c>
      <c r="C1148" s="36"/>
    </row>
    <row r="1149" spans="1:3" x14ac:dyDescent="0.25">
      <c r="A1149" s="22" t="s">
        <v>2177</v>
      </c>
      <c r="B1149" s="22" t="s">
        <v>2178</v>
      </c>
      <c r="C1149" s="37"/>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1" t="s">
        <v>2186</v>
      </c>
      <c r="B1154" s="21" t="s">
        <v>2187</v>
      </c>
      <c r="C1154" s="36"/>
    </row>
    <row r="1155" spans="1:3" x14ac:dyDescent="0.25">
      <c r="A1155" s="21" t="s">
        <v>2188</v>
      </c>
      <c r="B1155" s="21" t="s">
        <v>2188</v>
      </c>
      <c r="C1155" s="36"/>
    </row>
    <row r="1156" spans="1:3" x14ac:dyDescent="0.25">
      <c r="A1156" s="21" t="s">
        <v>2189</v>
      </c>
      <c r="B1156" s="21" t="s">
        <v>2189</v>
      </c>
      <c r="C1156" s="36"/>
    </row>
    <row r="1157" spans="1:3" x14ac:dyDescent="0.25">
      <c r="A1157" s="28" t="s">
        <v>2190</v>
      </c>
      <c r="B1157" s="28" t="s">
        <v>2191</v>
      </c>
      <c r="C1157" s="39"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2859</v>
      </c>
      <c r="B1162" s="21" t="s">
        <v>2860</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1" t="s">
        <v>2221</v>
      </c>
      <c r="B1172" s="21" t="s">
        <v>2221</v>
      </c>
      <c r="C1172" s="36"/>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2" t="s">
        <v>2228</v>
      </c>
      <c r="B1175" s="22" t="s">
        <v>2228</v>
      </c>
      <c r="C1175" s="37"/>
    </row>
    <row r="1176" spans="1:3" x14ac:dyDescent="0.25">
      <c r="A1176" s="21" t="s">
        <v>2229</v>
      </c>
      <c r="B1176" s="21" t="s">
        <v>2230</v>
      </c>
      <c r="C1176" s="36" t="s">
        <v>2231</v>
      </c>
    </row>
    <row r="1177" spans="1:3" x14ac:dyDescent="0.25">
      <c r="A1177" s="21" t="s">
        <v>2232</v>
      </c>
      <c r="B1177" s="21" t="s">
        <v>2233</v>
      </c>
      <c r="C1177" s="36"/>
    </row>
    <row r="1178" spans="1:3" x14ac:dyDescent="0.25">
      <c r="A1178" s="21" t="s">
        <v>2234</v>
      </c>
      <c r="B1178" s="21" t="s">
        <v>2234</v>
      </c>
      <c r="C1178" s="36"/>
    </row>
    <row r="1179" spans="1:3" x14ac:dyDescent="0.25">
      <c r="A1179" s="21" t="s">
        <v>2235</v>
      </c>
      <c r="B1179" s="21" t="s">
        <v>2236</v>
      </c>
      <c r="C1179" s="36"/>
    </row>
    <row r="1180" spans="1:3" x14ac:dyDescent="0.25">
      <c r="A1180" s="22" t="s">
        <v>2237</v>
      </c>
      <c r="B1180" s="21" t="s">
        <v>2237</v>
      </c>
      <c r="C1180" s="36"/>
    </row>
    <row r="1181" spans="1:3" x14ac:dyDescent="0.25">
      <c r="A1181" s="21" t="s">
        <v>2238</v>
      </c>
      <c r="B1181" s="21" t="s">
        <v>2239</v>
      </c>
      <c r="C1181" s="36"/>
    </row>
    <row r="1182" spans="1:3" x14ac:dyDescent="0.25">
      <c r="A1182" s="22" t="s">
        <v>2240</v>
      </c>
      <c r="B1182" s="22" t="s">
        <v>2241</v>
      </c>
      <c r="C1182" s="37"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1"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2" t="s">
        <v>2258</v>
      </c>
      <c r="B1191" s="21" t="s">
        <v>2259</v>
      </c>
      <c r="C1191" s="36"/>
    </row>
    <row r="1192" spans="1:3" x14ac:dyDescent="0.25">
      <c r="A1192" s="21" t="s">
        <v>2260</v>
      </c>
      <c r="B1192" s="21" t="s">
        <v>2260</v>
      </c>
      <c r="C1192" s="36"/>
    </row>
    <row r="1193" spans="1:3" x14ac:dyDescent="0.25">
      <c r="A1193" s="21" t="s">
        <v>3365</v>
      </c>
      <c r="B1193" s="21" t="s">
        <v>3365</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2702</v>
      </c>
      <c r="B1220" s="21" t="s">
        <v>2702</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2782</v>
      </c>
      <c r="B1237" s="21" t="s">
        <v>2783</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1" t="s">
        <v>2360</v>
      </c>
      <c r="B1253" s="21" t="s">
        <v>2360</v>
      </c>
      <c r="C1253" s="36"/>
    </row>
    <row r="1254" spans="1:3" x14ac:dyDescent="0.25">
      <c r="A1254" s="21" t="s">
        <v>99</v>
      </c>
      <c r="B1254" s="21" t="s">
        <v>2361</v>
      </c>
      <c r="C1254" s="36"/>
    </row>
    <row r="1255" spans="1:3" x14ac:dyDescent="0.25">
      <c r="A1255" s="21" t="s">
        <v>2362</v>
      </c>
      <c r="B1255" s="21" t="s">
        <v>2363</v>
      </c>
      <c r="C1255" s="36"/>
    </row>
    <row r="1256" spans="1:3" x14ac:dyDescent="0.25">
      <c r="A1256" s="27" t="s">
        <v>2364</v>
      </c>
      <c r="B1256" s="27" t="s">
        <v>2365</v>
      </c>
      <c r="C1256" s="37"/>
    </row>
    <row r="1257" spans="1:3" x14ac:dyDescent="0.25">
      <c r="A1257" s="21" t="s">
        <v>2366</v>
      </c>
      <c r="B1257" s="21" t="s">
        <v>2367</v>
      </c>
      <c r="C1257" s="36"/>
    </row>
    <row r="1258" spans="1:3" x14ac:dyDescent="0.25">
      <c r="A1258" s="21" t="s">
        <v>2368</v>
      </c>
      <c r="B1258" s="21" t="s">
        <v>2368</v>
      </c>
      <c r="C1258" s="36" t="s">
        <v>2369</v>
      </c>
    </row>
    <row r="1259" spans="1:3" x14ac:dyDescent="0.25">
      <c r="A1259" s="28" t="s">
        <v>3917</v>
      </c>
      <c r="B1259" s="28" t="s">
        <v>3918</v>
      </c>
    </row>
    <row r="1260" spans="1:3" x14ac:dyDescent="0.25">
      <c r="A1260" s="21" t="s">
        <v>2370</v>
      </c>
      <c r="B1260" s="21" t="s">
        <v>2371</v>
      </c>
      <c r="C1260" s="36"/>
    </row>
    <row r="1261" spans="1:3" x14ac:dyDescent="0.25">
      <c r="A1261" s="22" t="s">
        <v>2372</v>
      </c>
      <c r="B1261" s="22" t="s">
        <v>2373</v>
      </c>
      <c r="C1261" s="37"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1" t="s">
        <v>2381</v>
      </c>
      <c r="B1265" s="21" t="s">
        <v>2382</v>
      </c>
      <c r="C1265" s="36"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8" t="s">
        <v>2391</v>
      </c>
      <c r="B1269" s="28" t="s">
        <v>2392</v>
      </c>
      <c r="C1269" s="39"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1" t="s">
        <v>2420</v>
      </c>
      <c r="B1283" s="21" t="s">
        <v>2420</v>
      </c>
      <c r="C1283" s="36"/>
    </row>
    <row r="1284" spans="1:3" x14ac:dyDescent="0.25">
      <c r="A1284" s="21" t="s">
        <v>2421</v>
      </c>
      <c r="B1284" s="21" t="s">
        <v>2422</v>
      </c>
      <c r="C1284" s="36"/>
    </row>
    <row r="1285" spans="1:3" x14ac:dyDescent="0.25">
      <c r="A1285" s="21" t="s">
        <v>2784</v>
      </c>
      <c r="B1285" s="21" t="s">
        <v>2785</v>
      </c>
      <c r="C1285" s="36"/>
    </row>
    <row r="1286" spans="1:3" x14ac:dyDescent="0.25">
      <c r="A1286" s="21" t="s">
        <v>2423</v>
      </c>
      <c r="B1286" s="21" t="s">
        <v>2424</v>
      </c>
      <c r="C1286" s="36"/>
    </row>
    <row r="1287" spans="1:3" x14ac:dyDescent="0.25">
      <c r="A1287" s="28" t="s">
        <v>2425</v>
      </c>
      <c r="B1287" s="28" t="s">
        <v>2425</v>
      </c>
      <c r="C1287" s="39" t="s">
        <v>2426</v>
      </c>
    </row>
    <row r="1288" spans="1:3" x14ac:dyDescent="0.25">
      <c r="A1288" s="21" t="s">
        <v>2427</v>
      </c>
      <c r="B1288" s="21" t="s">
        <v>2428</v>
      </c>
      <c r="C1288" s="36"/>
    </row>
    <row r="1289" spans="1:3" x14ac:dyDescent="0.25">
      <c r="A1289" s="21"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3" t="s">
        <v>2433</v>
      </c>
      <c r="B1292" s="21" t="s">
        <v>2434</v>
      </c>
      <c r="C1292" s="36"/>
    </row>
    <row r="1293" spans="1:3" x14ac:dyDescent="0.25">
      <c r="A1293" s="23" t="s">
        <v>2435</v>
      </c>
      <c r="B1293" s="21" t="s">
        <v>2436</v>
      </c>
      <c r="C1293" s="36"/>
    </row>
    <row r="1294" spans="1:3" x14ac:dyDescent="0.25">
      <c r="A1294" s="23" t="s">
        <v>2437</v>
      </c>
      <c r="B1294" s="21" t="s">
        <v>2437</v>
      </c>
      <c r="C1294" s="36"/>
    </row>
    <row r="1295" spans="1:3" x14ac:dyDescent="0.25">
      <c r="A1295" s="23" t="s">
        <v>2438</v>
      </c>
      <c r="B1295" s="21" t="s">
        <v>2439</v>
      </c>
      <c r="C1295" s="36"/>
    </row>
    <row r="1296" spans="1:3" x14ac:dyDescent="0.25">
      <c r="A1296" s="22" t="s">
        <v>2440</v>
      </c>
      <c r="B1296" s="21" t="s">
        <v>2441</v>
      </c>
      <c r="C1296" s="36"/>
    </row>
    <row r="1297" spans="1:3" x14ac:dyDescent="0.25">
      <c r="A1297" s="28" t="s">
        <v>2442</v>
      </c>
      <c r="B1297" s="28" t="s">
        <v>2443</v>
      </c>
    </row>
    <row r="1298" spans="1:3" x14ac:dyDescent="0.25">
      <c r="A1298" s="21" t="s">
        <v>2444</v>
      </c>
      <c r="B1298" s="21" t="s">
        <v>2445</v>
      </c>
      <c r="C1298" s="36"/>
    </row>
    <row r="1299" spans="1:3" x14ac:dyDescent="0.25">
      <c r="A1299" s="21" t="s">
        <v>3045</v>
      </c>
      <c r="B1299" s="21" t="s">
        <v>3045</v>
      </c>
      <c r="C1299" s="36"/>
    </row>
    <row r="1300" spans="1:3" x14ac:dyDescent="0.25">
      <c r="A1300" s="21" t="s">
        <v>2446</v>
      </c>
      <c r="B1300" s="21" t="s">
        <v>2446</v>
      </c>
      <c r="C1300" s="36" t="s">
        <v>2447</v>
      </c>
    </row>
    <row r="1301" spans="1:3" x14ac:dyDescent="0.25">
      <c r="A1301" s="21" t="s">
        <v>2448</v>
      </c>
      <c r="B1301" s="21" t="s">
        <v>2448</v>
      </c>
      <c r="C1301" s="36"/>
    </row>
    <row r="1302" spans="1:3" x14ac:dyDescent="0.25">
      <c r="A1302" s="21" t="s">
        <v>2449</v>
      </c>
      <c r="B1302" s="21" t="s">
        <v>2450</v>
      </c>
      <c r="C1302" s="36"/>
    </row>
    <row r="1303" spans="1:3" x14ac:dyDescent="0.25">
      <c r="A1303" s="21" t="s">
        <v>2451</v>
      </c>
      <c r="B1303" s="21" t="s">
        <v>2452</v>
      </c>
      <c r="C1303" s="36"/>
    </row>
    <row r="1304" spans="1:3" x14ac:dyDescent="0.25">
      <c r="A1304" s="21" t="s">
        <v>2453</v>
      </c>
      <c r="B1304" s="21" t="s">
        <v>2454</v>
      </c>
      <c r="C1304" s="36"/>
    </row>
    <row r="1305" spans="1:3" x14ac:dyDescent="0.25">
      <c r="A1305" s="23" t="s">
        <v>2455</v>
      </c>
      <c r="B1305" s="21" t="s">
        <v>2456</v>
      </c>
      <c r="C1305" s="36"/>
    </row>
    <row r="1306" spans="1:3" x14ac:dyDescent="0.25">
      <c r="A1306" s="23" t="s">
        <v>2457</v>
      </c>
      <c r="B1306" s="21" t="s">
        <v>2458</v>
      </c>
      <c r="C1306" s="36"/>
    </row>
    <row r="1307" spans="1:3" x14ac:dyDescent="0.25">
      <c r="A1307" s="23"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2863</v>
      </c>
      <c r="B1314" s="21" t="s">
        <v>2863</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1" t="s">
        <v>2631</v>
      </c>
      <c r="B1318" s="21" t="s">
        <v>2633</v>
      </c>
      <c r="C1318" s="36"/>
    </row>
    <row r="1319" spans="1:3" x14ac:dyDescent="0.25">
      <c r="A1319" s="21" t="s">
        <v>2477</v>
      </c>
      <c r="B1319" s="21" t="s">
        <v>103</v>
      </c>
      <c r="C1319" s="36"/>
    </row>
    <row r="1320" spans="1:3" x14ac:dyDescent="0.25">
      <c r="A1320" s="21" t="s">
        <v>2478</v>
      </c>
      <c r="B1320" s="21" t="s">
        <v>2478</v>
      </c>
      <c r="C1320" s="36"/>
    </row>
    <row r="1321" spans="1:3" x14ac:dyDescent="0.25">
      <c r="A1321" s="21" t="s">
        <v>2479</v>
      </c>
      <c r="B1321" s="21" t="s">
        <v>2480</v>
      </c>
      <c r="C1321" s="36"/>
    </row>
    <row r="1322" spans="1:3" x14ac:dyDescent="0.25">
      <c r="A1322" s="28" t="s">
        <v>2481</v>
      </c>
      <c r="B1322" s="28" t="s">
        <v>2482</v>
      </c>
      <c r="C1322" s="36"/>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2786</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password="D3ED" sheet="1" objects="1" scenarios="1" autoFilter="0"/>
  <autoFilter ref="A1:N1"/>
  <sortState ref="A2:C1369">
    <sortCondition ref="A1500"/>
  </sortState>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topLeftCell="A22" workbookViewId="0">
      <selection activeCell="C32" sqref="C32"/>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D26" t="s">
        <v>1901</v>
      </c>
      <c r="E26" s="54"/>
    </row>
    <row r="27" spans="1:5" x14ac:dyDescent="0.25">
      <c r="A27" t="s">
        <v>2663</v>
      </c>
      <c r="B27" s="17" t="s">
        <v>2787</v>
      </c>
      <c r="C27" t="s">
        <v>3621</v>
      </c>
      <c r="E27" s="54"/>
    </row>
    <row r="28" spans="1:5" x14ac:dyDescent="0.25">
      <c r="A28" t="s">
        <v>2663</v>
      </c>
      <c r="B28" s="17" t="s">
        <v>2787</v>
      </c>
      <c r="C28" t="s">
        <v>3629</v>
      </c>
      <c r="D28" t="s">
        <v>1901</v>
      </c>
      <c r="E28" s="54"/>
    </row>
    <row r="29" spans="1:5" x14ac:dyDescent="0.25">
      <c r="A29" t="s">
        <v>2663</v>
      </c>
      <c r="B29" s="17" t="s">
        <v>2787</v>
      </c>
      <c r="C29" t="s">
        <v>3636</v>
      </c>
      <c r="D29" t="s">
        <v>1901</v>
      </c>
      <c r="E29" s="54"/>
    </row>
    <row r="30" spans="1:5" x14ac:dyDescent="0.25">
      <c r="A30" t="s">
        <v>2663</v>
      </c>
      <c r="B30" s="17" t="s">
        <v>3708</v>
      </c>
      <c r="C30" t="s">
        <v>3709</v>
      </c>
      <c r="E30" s="54"/>
    </row>
    <row r="31" spans="1:5" x14ac:dyDescent="0.25">
      <c r="A31" t="s">
        <v>2663</v>
      </c>
      <c r="B31" s="17" t="s">
        <v>2787</v>
      </c>
      <c r="C31" t="s">
        <v>3764</v>
      </c>
      <c r="D31" t="s">
        <v>1901</v>
      </c>
      <c r="E31" s="54"/>
    </row>
    <row r="32" spans="1:5" x14ac:dyDescent="0.25">
      <c r="A32" t="s">
        <v>3856</v>
      </c>
      <c r="B32" s="17" t="s">
        <v>3857</v>
      </c>
      <c r="C32" t="s">
        <v>3859</v>
      </c>
      <c r="D32" t="s">
        <v>1901</v>
      </c>
      <c r="E32" s="54"/>
    </row>
    <row r="33" spans="1:4" x14ac:dyDescent="0.25">
      <c r="A33" t="s">
        <v>2405</v>
      </c>
      <c r="B33" s="17" t="s">
        <v>2721</v>
      </c>
      <c r="C33" t="s">
        <v>3863</v>
      </c>
      <c r="D33" t="s">
        <v>1901</v>
      </c>
    </row>
    <row r="34" spans="1:4" x14ac:dyDescent="0.25">
      <c r="A34" t="s">
        <v>3873</v>
      </c>
      <c r="B34" t="s">
        <v>37</v>
      </c>
      <c r="C34" t="s">
        <v>3871</v>
      </c>
      <c r="D34" t="s">
        <v>1901</v>
      </c>
    </row>
    <row r="35" spans="1:4" x14ac:dyDescent="0.25">
      <c r="A35" t="s">
        <v>2663</v>
      </c>
      <c r="B35" t="s">
        <v>3708</v>
      </c>
      <c r="C35" t="s">
        <v>3884</v>
      </c>
      <c r="D35" t="s">
        <v>1901</v>
      </c>
    </row>
    <row r="36" spans="1:4" x14ac:dyDescent="0.25">
      <c r="A36" t="s">
        <v>2663</v>
      </c>
      <c r="B36" t="s">
        <v>2787</v>
      </c>
      <c r="C36" t="s">
        <v>3919</v>
      </c>
      <c r="D36" t="s">
        <v>1901</v>
      </c>
    </row>
  </sheetData>
  <sheetProtection password="D3ED"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1"/>
  <sheetViews>
    <sheetView workbookViewId="0">
      <selection activeCell="C6" sqref="C6"/>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3861</v>
      </c>
      <c r="C2" t="s">
        <v>3630</v>
      </c>
      <c r="D2" t="s">
        <v>3850</v>
      </c>
    </row>
    <row r="3" spans="1:5" x14ac:dyDescent="0.25">
      <c r="A3" t="s">
        <v>3862</v>
      </c>
      <c r="C3" t="s">
        <v>3631</v>
      </c>
      <c r="D3" t="s">
        <v>3851</v>
      </c>
    </row>
    <row r="4" spans="1:5" x14ac:dyDescent="0.25">
      <c r="A4" t="s">
        <v>3866</v>
      </c>
      <c r="C4" t="s">
        <v>3632</v>
      </c>
      <c r="D4" t="s">
        <v>3852</v>
      </c>
    </row>
    <row r="5" spans="1:5" x14ac:dyDescent="0.25">
      <c r="A5" t="s">
        <v>3868</v>
      </c>
      <c r="C5" t="s">
        <v>3633</v>
      </c>
      <c r="D5" t="s">
        <v>3853</v>
      </c>
    </row>
    <row r="6" spans="1:5" x14ac:dyDescent="0.25">
      <c r="A6" t="s">
        <v>3874</v>
      </c>
      <c r="C6" t="s">
        <v>3634</v>
      </c>
      <c r="D6" t="s">
        <v>3854</v>
      </c>
    </row>
    <row r="7" spans="1:5" x14ac:dyDescent="0.25">
      <c r="A7" t="s">
        <v>3878</v>
      </c>
      <c r="C7" t="s">
        <v>3635</v>
      </c>
      <c r="D7" t="s">
        <v>3855</v>
      </c>
    </row>
    <row r="8" spans="1:5" x14ac:dyDescent="0.25">
      <c r="A8" t="s">
        <v>3879</v>
      </c>
      <c r="D8" t="s">
        <v>3865</v>
      </c>
    </row>
    <row r="9" spans="1:5" x14ac:dyDescent="0.25">
      <c r="A9" t="s">
        <v>3881</v>
      </c>
      <c r="D9" t="s">
        <v>3913</v>
      </c>
    </row>
    <row r="10" spans="1:5" x14ac:dyDescent="0.25">
      <c r="A10" t="s">
        <v>3886</v>
      </c>
      <c r="D10" t="s">
        <v>3914</v>
      </c>
    </row>
    <row r="11" spans="1:5" x14ac:dyDescent="0.25">
      <c r="A11" t="s">
        <v>3891</v>
      </c>
      <c r="D11" t="s">
        <v>3915</v>
      </c>
    </row>
    <row r="12" spans="1:5" x14ac:dyDescent="0.25">
      <c r="A12" t="s">
        <v>3894</v>
      </c>
      <c r="D12" t="s">
        <v>3916</v>
      </c>
    </row>
    <row r="13" spans="1:5" x14ac:dyDescent="0.25">
      <c r="A13" t="s">
        <v>3898</v>
      </c>
      <c r="D13" t="s">
        <v>3934</v>
      </c>
    </row>
    <row r="14" spans="1:5" x14ac:dyDescent="0.25">
      <c r="A14" t="s">
        <v>3902</v>
      </c>
      <c r="D14" t="s">
        <v>3935</v>
      </c>
    </row>
    <row r="15" spans="1:5" x14ac:dyDescent="0.25">
      <c r="A15" t="s">
        <v>3904</v>
      </c>
      <c r="D15" t="s">
        <v>3936</v>
      </c>
    </row>
    <row r="16" spans="1:5" x14ac:dyDescent="0.25">
      <c r="A16" t="s">
        <v>3908</v>
      </c>
      <c r="D16" t="s">
        <v>3937</v>
      </c>
    </row>
    <row r="17" spans="1:4" x14ac:dyDescent="0.25">
      <c r="A17" t="s">
        <v>3912</v>
      </c>
      <c r="D17" t="s">
        <v>3938</v>
      </c>
    </row>
    <row r="18" spans="1:4" x14ac:dyDescent="0.25">
      <c r="A18" t="s">
        <v>3924</v>
      </c>
    </row>
    <row r="19" spans="1:4" x14ac:dyDescent="0.25">
      <c r="A19" t="s">
        <v>3928</v>
      </c>
    </row>
    <row r="20" spans="1:4" x14ac:dyDescent="0.25">
      <c r="A20" t="s">
        <v>3932</v>
      </c>
    </row>
    <row r="21" spans="1:4" x14ac:dyDescent="0.25">
      <c r="A21" t="s">
        <v>3939</v>
      </c>
    </row>
  </sheetData>
  <sheetProtection password="D3ED"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test</cp:lastModifiedBy>
  <dcterms:created xsi:type="dcterms:W3CDTF">2017-07-19T08:46:20Z</dcterms:created>
  <dcterms:modified xsi:type="dcterms:W3CDTF">2019-02-08T10:03:05Z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