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HIL_Projects\OptiTruck\SVN_Database\branches\optitruck_simulator-HIL\"/>
    </mc:Choice>
  </mc:AlternateContent>
  <bookViews>
    <workbookView xWindow="0" yWindow="0" windowWidth="38400" windowHeight="19635" tabRatio="733"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Connections'!$A$2:$BK$902</definedName>
    <definedName name="_xlnm._FilterDatabase" localSheetId="1" hidden="1">'Signal Definition'!$A$2:$Q$306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G9" i="5"/>
  <c r="E9" i="5"/>
  <c r="G8" i="5"/>
  <c r="E8" i="5"/>
  <c r="G7" i="5"/>
  <c r="E7" i="5"/>
  <c r="G6" i="5"/>
  <c r="E6" i="5"/>
  <c r="G5" i="5"/>
  <c r="E5" i="5"/>
  <c r="G4" i="5"/>
  <c r="E4" i="5"/>
  <c r="G3" i="5"/>
  <c r="E3" i="5"/>
  <c r="G2" i="5"/>
  <c r="E2" i="5"/>
  <c r="AD2" i="3"/>
  <c r="AC2" i="3"/>
  <c r="BB2" i="3"/>
  <c r="Y2" i="3"/>
  <c r="D2" i="3"/>
  <c r="BF2" i="3"/>
  <c r="T2" i="3"/>
  <c r="K2" i="3"/>
  <c r="W2" i="3"/>
  <c r="AT2" i="3"/>
  <c r="O2" i="3"/>
  <c r="BK2" i="3"/>
  <c r="AN2" i="3"/>
  <c r="BA2" i="3"/>
  <c r="AR2" i="3"/>
  <c r="AL2" i="3"/>
  <c r="J2" i="3"/>
  <c r="AK2" i="3"/>
  <c r="AJ2" i="3"/>
  <c r="AG2" i="3"/>
  <c r="BI2" i="3"/>
  <c r="AI2" i="3"/>
  <c r="AY2" i="3"/>
  <c r="AQ2" i="3"/>
  <c r="H2" i="3"/>
  <c r="E2" i="3"/>
  <c r="G2" i="3"/>
  <c r="X2" i="3"/>
  <c r="AU2" i="3"/>
  <c r="AX2" i="3"/>
  <c r="V2" i="3"/>
  <c r="F2" i="3"/>
  <c r="L2" i="3"/>
  <c r="BE2" i="3"/>
  <c r="BG2" i="3"/>
  <c r="S2" i="3"/>
  <c r="R2" i="3"/>
  <c r="AH2" i="3"/>
  <c r="N2" i="3"/>
  <c r="U2" i="3"/>
  <c r="AB2" i="3"/>
  <c r="P2" i="3"/>
  <c r="I2" i="3"/>
  <c r="AS2" i="3"/>
  <c r="BJ2" i="3"/>
  <c r="BH2" i="3"/>
  <c r="AO2" i="3"/>
  <c r="BC2" i="3"/>
  <c r="AW2" i="3"/>
  <c r="BD2" i="3"/>
  <c r="AF2" i="3"/>
  <c r="AV2" i="3"/>
  <c r="Z2" i="3"/>
  <c r="AE2" i="3"/>
  <c r="AP2" i="3"/>
  <c r="M2" i="3"/>
  <c r="AZ2" i="3"/>
  <c r="Q2" i="3"/>
  <c r="AA2" i="3"/>
  <c r="AM2" i="3"/>
  <c r="F9" i="5" l="1"/>
  <c r="F3" i="5"/>
  <c r="F2" i="5"/>
  <c r="F6" i="5"/>
  <c r="F8" i="5"/>
  <c r="F4" i="5"/>
  <c r="F5" i="5"/>
  <c r="F7" i="5"/>
</calcChain>
</file>

<file path=xl/sharedStrings.xml><?xml version="1.0" encoding="utf-8"?>
<sst xmlns="http://schemas.openxmlformats.org/spreadsheetml/2006/main" count="8605" uniqueCount="3852">
  <si>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</si>
  <si>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</si>
  <si>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</si>
  <si>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</si>
  <si>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</si>
  <si>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</si>
  <si>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</si>
  <si>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</si>
  <si>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</si>
  <si>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</si>
  <si>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</si>
  <si>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</si>
  <si>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</si>
  <si>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</si>
  <si>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</si>
  <si>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</si>
  <si>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</si>
  <si>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</si>
  <si>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</si>
  <si>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</si>
  <si>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</si>
  <si>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</si>
  <si>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</si>
  <si>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</si>
  <si>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</si>
  <si>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</si>
  <si>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</si>
  <si>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</si>
  <si>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</si>
  <si>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</si>
  <si>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</si>
  <si>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</si>
  <si>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</si>
  <si>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</si>
  <si>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</si>
  <si>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</si>
  <si>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</si>
  <si>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</si>
  <si>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</si>
  <si>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</si>
  <si>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</si>
  <si>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</si>
  <si>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</si>
  <si>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</si>
  <si>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</si>
  <si>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</si>
  <si>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</si>
  <si>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</si>
  <si>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</si>
  <si>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</si>
  <si>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</si>
  <si>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</si>
  <si>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</si>
  <si>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</si>
  <si>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</si>
  <si>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</si>
  <si>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</si>
  <si>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</si>
  <si>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</si>
  <si>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</si>
  <si>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</si>
  <si>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</si>
  <si>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</si>
  <si>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</si>
  <si>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</si>
  <si>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</si>
  <si>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</si>
  <si>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</si>
  <si>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</si>
  <si>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</si>
  <si>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</si>
  <si>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</si>
  <si>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</si>
  <si>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</si>
  <si>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</si>
  <si>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</si>
  <si>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</si>
  <si>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</si>
  <si>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</si>
  <si>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</si>
  <si>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</si>
  <si>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</si>
  <si>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</si>
  <si>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</si>
  <si>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</si>
  <si>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</si>
  <si>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</si>
  <si>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</si>
  <si>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</si>
  <si>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</si>
  <si>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</si>
  <si>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</si>
  <si>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</si>
  <si>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</si>
  <si>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</si>
  <si>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</si>
  <si>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</si>
  <si>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</si>
  <si>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</si>
  <si>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</si>
  <si>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</si>
  <si>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</si>
  <si>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</si>
  <si>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</si>
  <si>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</si>
  <si>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</si>
  <si>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</si>
  <si>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</si>
  <si>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</si>
  <si>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</si>
  <si>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</si>
  <si>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</si>
  <si>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</si>
  <si>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</si>
  <si>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</si>
  <si>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</si>
  <si>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</si>
  <si>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</si>
  <si>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</si>
  <si>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</si>
  <si>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</si>
  <si>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</si>
  <si>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</si>
  <si>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</si>
  <si>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</si>
  <si>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</si>
  <si>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</si>
  <si>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</si>
  <si>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</si>
  <si>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</si>
  <si>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</si>
  <si>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</si>
  <si>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</si>
  <si>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</si>
  <si>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</si>
  <si>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</si>
  <si>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</si>
  <si>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</si>
  <si>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</si>
  <si>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</si>
  <si>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</si>
  <si>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</si>
  <si>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</si>
  <si>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</si>
  <si>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</si>
  <si>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</si>
  <si>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</si>
  <si>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</si>
  <si>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</si>
  <si>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</si>
  <si>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</si>
  <si>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</si>
  <si>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</si>
  <si>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</si>
  <si>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</si>
  <si>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</si>
  <si>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</si>
  <si>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</si>
  <si>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</si>
  <si>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</si>
  <si>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</si>
  <si>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</si>
  <si>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</si>
  <si>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</si>
  <si>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</si>
  <si>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</si>
  <si>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</si>
  <si>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</si>
  <si>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</si>
  <si>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</si>
  <si>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</si>
  <si>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</si>
  <si>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</si>
  <si>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</si>
  <si>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</si>
  <si>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</si>
  <si>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</si>
  <si>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</si>
  <si>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</si>
  <si>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</si>
  <si>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</si>
  <si>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</si>
  <si>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</si>
  <si>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</si>
  <si>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</si>
  <si>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</si>
  <si>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</si>
  <si>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</si>
  <si>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</si>
  <si>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</si>
  <si>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</si>
  <si>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</si>
  <si>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</si>
  <si>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</si>
  <si>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</si>
  <si>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</si>
  <si>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</si>
  <si>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</si>
  <si>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</si>
  <si>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</si>
  <si>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</si>
  <si>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</si>
  <si>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</si>
  <si>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</si>
  <si>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</si>
  <si>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</si>
  <si>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</si>
  <si>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</si>
  <si>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</si>
  <si>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</si>
  <si>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</si>
  <si>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</si>
  <si>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</si>
  <si>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</si>
  <si>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</si>
  <si>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</si>
  <si>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</si>
  <si>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</si>
  <si>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</si>
  <si>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</si>
  <si>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</si>
  <si>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</si>
  <si>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</si>
  <si>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</si>
  <si>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</si>
  <si>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</si>
  <si>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</si>
  <si>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</si>
  <si>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</si>
  <si>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</si>
  <si>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</si>
  <si>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</si>
  <si>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</si>
  <si>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</si>
  <si>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</si>
  <si>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</si>
  <si>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</si>
  <si>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</si>
  <si>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</si>
  <si>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</si>
  <si>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</si>
  <si>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</si>
  <si>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</si>
  <si>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</si>
  <si>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</si>
  <si>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</si>
  <si>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</si>
  <si>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</si>
  <si>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</si>
  <si>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</si>
  <si>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</si>
  <si>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</si>
  <si>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</si>
  <si>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</si>
  <si>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</si>
  <si>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</si>
  <si>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</si>
  <si>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</si>
  <si>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</si>
  <si>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</si>
  <si>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</si>
  <si>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</si>
  <si>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</si>
  <si>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</si>
  <si>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</si>
  <si>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</si>
  <si>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</si>
  <si>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</si>
  <si>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</si>
  <si>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</si>
  <si>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</si>
  <si>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</si>
  <si>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</si>
  <si>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</si>
  <si>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</si>
  <si>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</si>
  <si>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</si>
  <si>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</si>
  <si>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</si>
  <si>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</si>
  <si>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</si>
  <si>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</si>
  <si>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</si>
  <si>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</si>
  <si>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</si>
  <si>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</si>
  <si>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</si>
  <si>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</si>
  <si>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</si>
  <si>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</si>
  <si>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</si>
  <si>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</si>
  <si>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</si>
  <si>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</si>
  <si>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</si>
  <si>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</si>
  <si>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</si>
  <si>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</si>
  <si>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</si>
  <si>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</si>
  <si>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</si>
  <si>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</si>
  <si>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</si>
  <si>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</si>
  <si>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</si>
  <si>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</si>
  <si>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</si>
  <si>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</si>
  <si>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</si>
  <si>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</si>
  <si>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</si>
  <si>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</si>
  <si>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</si>
  <si>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</si>
  <si>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</si>
  <si>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</si>
  <si>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</si>
  <si>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</si>
  <si>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</si>
  <si>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</si>
  <si>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</si>
  <si>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</si>
  <si>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</si>
  <si>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</si>
  <si>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</si>
  <si>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</si>
  <si>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</si>
  <si>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</si>
  <si>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</si>
  <si>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</si>
  <si>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</si>
  <si>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</si>
  <si>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</si>
  <si>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</si>
  <si>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</si>
  <si>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</si>
  <si>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</si>
  <si>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</si>
  <si>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</si>
  <si>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</si>
  <si>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</si>
  <si>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</si>
  <si>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</si>
  <si>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</si>
  <si>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</si>
  <si>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</si>
  <si>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</si>
  <si>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</si>
  <si>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</si>
  <si>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</si>
  <si>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</si>
  <si>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</si>
  <si>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</si>
  <si>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</si>
  <si>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</si>
  <si>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</si>
  <si>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</si>
  <si>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</si>
  <si>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</si>
  <si>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</si>
  <si>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</si>
  <si>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</si>
  <si>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</si>
  <si>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</si>
  <si>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</si>
  <si>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</si>
  <si>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</si>
  <si>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</si>
  <si>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</si>
  <si>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</si>
  <si>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</si>
  <si>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</si>
  <si>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</si>
  <si>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</si>
  <si>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</si>
  <si>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</si>
  <si>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</si>
  <si>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</si>
  <si>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</si>
  <si>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</si>
  <si>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</si>
  <si>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</si>
  <si>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</si>
  <si>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</si>
  <si>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</si>
  <si>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</si>
  <si>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</si>
  <si>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</si>
  <si>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</si>
  <si>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</si>
  <si>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</si>
  <si>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</si>
  <si>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</si>
  <si>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</si>
  <si>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</si>
  <si>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</si>
  <si>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</si>
  <si>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</si>
  <si>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</si>
  <si>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</si>
  <si>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</si>
  <si>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</si>
  <si>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</si>
  <si>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</si>
  <si>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</si>
  <si>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</si>
  <si>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</si>
  <si>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</si>
  <si>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</si>
  <si>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</si>
  <si>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</si>
  <si>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</si>
  <si>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</si>
  <si>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</si>
  <si>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</si>
  <si>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</si>
  <si>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</si>
  <si>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</si>
  <si>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</si>
  <si>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</si>
  <si>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</si>
  <si>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</si>
  <si>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</si>
  <si>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</si>
  <si>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</si>
  <si>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</si>
  <si>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</si>
  <si>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</si>
  <si>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</si>
  <si>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</si>
  <si>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</si>
  <si>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</si>
  <si>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</si>
  <si>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</si>
  <si>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</si>
  <si>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</si>
  <si>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</si>
  <si>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</si>
  <si>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</si>
  <si>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</si>
  <si>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</si>
  <si>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</si>
  <si>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</si>
  <si>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</si>
  <si>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</si>
  <si>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</si>
  <si>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</si>
  <si>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</si>
  <si>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</si>
  <si>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</si>
  <si>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</si>
  <si>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</si>
  <si>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</si>
  <si>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</si>
  <si>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</si>
  <si>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</si>
  <si>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</si>
  <si>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</si>
  <si>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</si>
  <si>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</si>
  <si>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</si>
  <si>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</si>
  <si>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</si>
  <si>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</si>
  <si>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</si>
  <si>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</si>
  <si>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</si>
  <si>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</si>
  <si>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</si>
  <si>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</si>
  <si>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</si>
  <si>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</si>
  <si>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</si>
  <si>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</si>
  <si>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</si>
  <si>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</si>
  <si>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</si>
  <si>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</si>
  <si>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</si>
  <si>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</si>
  <si>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</si>
  <si>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</si>
  <si>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</si>
  <si>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</si>
  <si>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</si>
  <si>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</si>
  <si>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</si>
  <si>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</si>
  <si>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</si>
  <si>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</si>
  <si>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</si>
  <si>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</si>
  <si>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</si>
  <si>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</si>
  <si>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</si>
  <si>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</si>
  <si>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</si>
  <si>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</si>
  <si>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</si>
  <si>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</si>
  <si>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</si>
  <si>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</si>
  <si>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</si>
  <si>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</si>
  <si>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</si>
  <si>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</si>
  <si>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</si>
  <si>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</si>
  <si>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</si>
  <si>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</si>
  <si>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</si>
  <si>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</si>
  <si>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</si>
  <si>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</si>
  <si>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</si>
  <si>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</si>
  <si>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</si>
  <si>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</si>
  <si>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</si>
  <si>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</si>
  <si>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</si>
  <si>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</si>
  <si>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</si>
  <si>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</si>
  <si>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</si>
  <si>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</si>
  <si>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</si>
  <si>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</si>
  <si>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</si>
  <si>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</si>
  <si>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</si>
  <si>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</si>
  <si>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</si>
  <si>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</si>
  <si>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</si>
  <si>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</si>
  <si>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</si>
  <si>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</si>
  <si>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</si>
  <si>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</si>
  <si>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</si>
  <si>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</si>
  <si>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</si>
  <si>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</si>
  <si>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</si>
  <si>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</si>
  <si>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</si>
  <si>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</si>
  <si>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</si>
  <si>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</si>
  <si>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</si>
  <si>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</si>
  <si>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</si>
  <si>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</si>
  <si>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</si>
  <si>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</si>
  <si>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</si>
  <si>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</si>
  <si>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</si>
  <si>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</si>
  <si>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</si>
  <si>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</si>
  <si>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</si>
  <si>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</si>
  <si>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</si>
  <si>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</si>
  <si>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</si>
  <si>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</si>
  <si>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</si>
  <si>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</si>
  <si>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</si>
  <si>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</si>
  <si>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</si>
  <si>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</si>
  <si>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</si>
  <si>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</si>
  <si>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</si>
  <si>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</si>
  <si>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</si>
  <si>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</si>
  <si>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</si>
  <si>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</si>
  <si>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</si>
  <si>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</si>
  <si>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</si>
  <si>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</si>
  <si>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</si>
  <si>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</si>
  <si>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</si>
  <si>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</si>
  <si>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</si>
  <si>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</si>
  <si>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</si>
  <si>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</si>
  <si>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</si>
  <si>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</si>
  <si>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</si>
  <si>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</si>
  <si>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</si>
  <si>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</si>
  <si>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</si>
  <si>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</si>
  <si>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</si>
  <si>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</si>
  <si>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</si>
  <si>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</si>
  <si>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</si>
  <si>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</si>
  <si>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</si>
  <si>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</si>
  <si>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</si>
  <si>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</si>
  <si>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</si>
  <si>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</si>
  <si>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</si>
  <si>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</si>
  <si>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</si>
  <si>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</si>
  <si>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</si>
  <si>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</si>
  <si>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</si>
  <si>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</si>
  <si>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</si>
  <si>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</si>
  <si>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</si>
  <si>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</si>
  <si>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</si>
  <si>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</si>
  <si>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</si>
  <si>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</si>
  <si>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</si>
  <si>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</si>
  <si>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</si>
  <si>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</si>
  <si>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</si>
  <si>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</si>
  <si>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</si>
  <si>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</si>
  <si>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</si>
  <si>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</si>
  <si>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</si>
  <si>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</si>
  <si>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</si>
  <si>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</si>
  <si>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</si>
  <si>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</si>
  <si>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</si>
  <si>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</si>
  <si>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</si>
  <si>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</si>
  <si>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</si>
  <si>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</si>
  <si>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</si>
  <si>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</si>
  <si>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</si>
  <si>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</si>
  <si>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</si>
  <si>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</si>
  <si>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</si>
  <si>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</si>
  <si>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</si>
  <si>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</si>
  <si>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</si>
  <si>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</si>
  <si>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</si>
  <si>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</si>
  <si>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</si>
  <si>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</si>
  <si>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</si>
  <si>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</si>
  <si>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</si>
  <si>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</si>
  <si>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</si>
  <si>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</si>
  <si>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</si>
  <si>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</si>
  <si>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</si>
  <si>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</si>
  <si>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</si>
  <si>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</si>
  <si>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</si>
  <si>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</si>
  <si>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</si>
  <si>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</si>
  <si>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</si>
  <si>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</si>
  <si>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</si>
  <si>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</si>
  <si>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</si>
  <si>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</si>
  <si>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</si>
  <si>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</si>
  <si>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</si>
  <si>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</si>
  <si>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</si>
  <si>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</si>
  <si>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</si>
  <si>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</si>
  <si>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</si>
  <si>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</si>
  <si>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</si>
  <si>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</si>
  <si>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</si>
  <si>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</si>
  <si>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</si>
  <si>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</si>
  <si>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</si>
  <si>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</si>
  <si>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</si>
  <si>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</si>
  <si>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</si>
  <si>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</si>
  <si>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</si>
  <si>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</si>
  <si>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</si>
  <si>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</si>
  <si>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</si>
  <si>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</si>
  <si>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</si>
  <si>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</si>
  <si>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</si>
  <si>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</si>
  <si>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</si>
  <si>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</si>
  <si>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</si>
  <si>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</si>
  <si>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</si>
  <si>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</si>
  <si>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</si>
  <si>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</si>
  <si>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</si>
  <si>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</si>
  <si>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</si>
  <si>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</si>
  <si>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</si>
  <si>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</si>
  <si>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</si>
  <si>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</si>
  <si>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</si>
  <si>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</si>
  <si>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</si>
  <si>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</si>
  <si>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</si>
  <si>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</si>
  <si>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</si>
  <si>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</si>
  <si>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</si>
  <si>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</si>
  <si>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</si>
  <si>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</si>
  <si>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</si>
  <si>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</si>
  <si>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</si>
  <si>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</si>
  <si>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</si>
  <si>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</si>
  <si>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</si>
  <si>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</si>
  <si>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</si>
  <si>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</si>
  <si>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</si>
  <si>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</si>
  <si>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</si>
  <si>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</si>
  <si>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</si>
  <si>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</si>
  <si>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</si>
  <si>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</si>
  <si>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</si>
  <si>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</si>
  <si>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</si>
  <si>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</si>
  <si>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</si>
  <si>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</si>
  <si>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</si>
  <si>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</si>
  <si>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</si>
  <si>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</si>
  <si>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</si>
  <si>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</si>
  <si>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</si>
  <si>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</si>
  <si>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</si>
  <si>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</si>
  <si>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</si>
  <si>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</si>
  <si>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</si>
  <si>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</si>
  <si>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</si>
  <si>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</si>
  <si>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</si>
  <si>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</si>
  <si>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</si>
  <si>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</si>
  <si>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</si>
  <si>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</si>
  <si>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</si>
  <si>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</si>
  <si>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</si>
  <si>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</si>
  <si>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</si>
  <si>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</si>
  <si>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</si>
  <si>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</si>
  <si>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</si>
  <si>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</si>
  <si>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</si>
  <si>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</si>
  <si>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</si>
  <si>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</si>
  <si>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</si>
  <si>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</si>
  <si>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</si>
  <si>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</si>
  <si>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</si>
  <si>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</si>
  <si>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</si>
  <si>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</si>
  <si>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</si>
  <si>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</si>
  <si>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</si>
  <si>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</si>
  <si>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</si>
  <si>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</si>
  <si>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</si>
  <si>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</si>
  <si>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</si>
  <si>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</si>
  <si>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</si>
  <si>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</si>
  <si>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</si>
  <si>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</si>
  <si>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</si>
  <si>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</si>
  <si>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</si>
  <si>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</si>
  <si>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</si>
  <si>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</si>
  <si>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</si>
  <si>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</si>
  <si>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</si>
  <si>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</si>
  <si>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</si>
  <si>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</si>
  <si>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</si>
  <si>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</si>
  <si>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</si>
  <si>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</si>
  <si>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</si>
  <si>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</si>
  <si>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</si>
  <si>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</si>
  <si>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</si>
  <si>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</si>
  <si>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</si>
  <si>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</si>
  <si>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</si>
  <si>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</si>
  <si>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</si>
  <si>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</si>
  <si>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</si>
  <si>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</si>
  <si>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</si>
  <si>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</si>
  <si>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</si>
  <si>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</si>
  <si>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</si>
  <si>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</si>
  <si>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</si>
  <si>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</si>
  <si>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</si>
  <si>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</si>
  <si>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</si>
  <si>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</si>
  <si>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</si>
  <si>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</si>
  <si>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</si>
  <si>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</si>
  <si>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</si>
  <si>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</si>
  <si>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</si>
  <si>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</si>
  <si>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</si>
  <si>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</si>
  <si>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</si>
  <si>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</si>
  <si>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</si>
  <si>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</si>
  <si>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</si>
  <si>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</si>
  <si>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</si>
  <si>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</si>
  <si>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</si>
  <si>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</si>
  <si>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</si>
  <si>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</si>
  <si>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</si>
  <si>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</si>
  <si>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</si>
  <si>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</si>
  <si>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</si>
  <si>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</si>
  <si>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</si>
  <si>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</si>
  <si>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</si>
  <si>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</si>
  <si>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</si>
  <si>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</si>
  <si>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</si>
  <si>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</si>
  <si>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</si>
  <si>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</si>
  <si>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</si>
  <si>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</si>
  <si>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</si>
  <si>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</si>
  <si>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</si>
  <si>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</si>
  <si>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</si>
  <si>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</si>
  <si>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</si>
  <si>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</si>
  <si>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</si>
  <si>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</si>
  <si>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</si>
  <si>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</si>
  <si>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</si>
  <si>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</si>
  <si>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</si>
  <si>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</si>
  <si>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</si>
  <si>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</si>
  <si>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</si>
  <si>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</si>
  <si>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</si>
  <si>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</si>
  <si>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</si>
  <si>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</si>
  <si>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</si>
  <si>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</si>
  <si>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</si>
  <si>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</si>
  <si>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</si>
  <si>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</si>
  <si>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</si>
  <si>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</si>
  <si>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</si>
  <si>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</si>
  <si>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</si>
  <si>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</si>
  <si>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</si>
  <si>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</si>
  <si>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</si>
  <si>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</si>
  <si>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</si>
  <si>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</si>
  <si>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</si>
  <si>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</si>
  <si>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</si>
  <si>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</si>
  <si>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</si>
  <si>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</si>
  <si>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</si>
  <si>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</si>
  <si>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</si>
  <si>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</si>
  <si>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</si>
  <si>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</si>
  <si>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</si>
  <si>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</si>
  <si>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</si>
  <si>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</si>
  <si>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</si>
  <si>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</si>
  <si>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</si>
  <si>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</si>
  <si>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</si>
  <si>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</si>
  <si>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</si>
  <si>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</si>
  <si>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</si>
  <si>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</si>
  <si>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</si>
  <si>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</si>
  <si>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</si>
  <si>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</si>
  <si>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</si>
  <si>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</si>
  <si>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</si>
  <si>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</si>
  <si>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</si>
  <si>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</si>
  <si>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</si>
  <si>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</si>
  <si>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</si>
  <si>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</si>
  <si>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</si>
  <si>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</si>
  <si>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</si>
  <si>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</si>
  <si>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</si>
  <si>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</si>
  <si>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</si>
  <si>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</si>
  <si>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</si>
  <si>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</si>
  <si>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</si>
  <si>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</si>
  <si>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</si>
  <si>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</si>
  <si>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</si>
  <si>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</si>
  <si>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</si>
  <si>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</si>
  <si>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</si>
  <si>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</si>
  <si>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</si>
  <si>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</si>
  <si>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</si>
  <si>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</si>
  <si>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</si>
  <si>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</si>
  <si>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</si>
  <si>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</si>
  <si>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</si>
  <si>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</si>
  <si>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</si>
  <si>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</si>
  <si>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</si>
  <si>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</si>
  <si>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</si>
  <si>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</si>
  <si>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</si>
  <si>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</si>
  <si>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</si>
  <si>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</si>
  <si>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</si>
  <si>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</si>
  <si>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</si>
  <si>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</si>
  <si>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</si>
  <si>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</si>
  <si>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</si>
  <si>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</si>
  <si>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</si>
  <si>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</si>
  <si>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</si>
  <si>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</si>
  <si>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</si>
  <si>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</si>
  <si>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</si>
  <si>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</si>
  <si>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</si>
  <si>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</si>
  <si>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</si>
  <si>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</si>
  <si>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</si>
  <si>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</si>
  <si>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</si>
  <si>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</si>
  <si>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</si>
  <si>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</si>
  <si>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</si>
  <si>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</si>
  <si>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</si>
  <si>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</si>
  <si>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</si>
  <si>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</si>
  <si>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</si>
  <si>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</si>
  <si>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</si>
  <si>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</si>
  <si>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</si>
  <si>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</si>
  <si>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</si>
  <si>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</si>
  <si>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</si>
  <si>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</si>
  <si>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</si>
  <si>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</si>
  <si>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</si>
  <si>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</si>
  <si>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</si>
  <si>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</si>
  <si>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</si>
  <si>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</si>
  <si>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</si>
  <si>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</si>
  <si>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</si>
  <si>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</si>
  <si>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</si>
  <si>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</si>
  <si>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</si>
  <si>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</si>
  <si>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</si>
  <si>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</si>
  <si>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</si>
  <si>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</si>
  <si>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</si>
  <si>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</si>
  <si>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</si>
  <si>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</si>
  <si>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</si>
  <si>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</si>
  <si>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</si>
  <si>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</si>
  <si>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</si>
  <si>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</si>
  <si>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</si>
  <si>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</si>
  <si>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</si>
  <si>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</si>
  <si>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</si>
  <si>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</si>
  <si>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</si>
  <si>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</si>
  <si>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</si>
  <si>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</si>
  <si>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</si>
  <si>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</si>
  <si>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</si>
  <si>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</si>
  <si>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</si>
  <si>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</si>
  <si>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</si>
  <si>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</si>
  <si>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</si>
  <si>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</si>
  <si>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</si>
  <si>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</si>
  <si>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</si>
  <si>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</si>
  <si>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</si>
  <si>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</si>
  <si>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</si>
  <si>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</si>
  <si>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</si>
  <si>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</si>
  <si>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</si>
  <si>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</si>
  <si>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</si>
  <si>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</si>
  <si>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</si>
  <si>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</si>
  <si>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</si>
  <si>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</si>
  <si>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</si>
  <si>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</si>
  <si>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</si>
  <si>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</si>
  <si>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</si>
  <si>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</si>
  <si>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</si>
  <si>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</si>
  <si>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</si>
  <si>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</si>
  <si>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</si>
  <si>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</si>
  <si>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</si>
  <si>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</si>
  <si>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</si>
  <si>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</si>
  <si>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</si>
  <si>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</si>
  <si>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</si>
  <si>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</si>
  <si>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</si>
  <si>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</si>
  <si>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</si>
  <si>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</si>
  <si>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</si>
  <si>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</si>
  <si>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</si>
  <si>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</si>
  <si>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</si>
  <si>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</si>
  <si>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</si>
  <si>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</si>
  <si>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</si>
  <si>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</si>
  <si>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</si>
  <si>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</si>
  <si>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</si>
  <si>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</si>
  <si>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</si>
  <si>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</si>
  <si>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</si>
  <si>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</si>
  <si>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</si>
  <si>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</si>
  <si>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</si>
  <si>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</si>
  <si>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</si>
  <si>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</si>
  <si>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</si>
  <si>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</si>
  <si>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</si>
  <si>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</si>
  <si>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</si>
  <si>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</si>
  <si>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</si>
  <si>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</si>
  <si>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</si>
  <si>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</si>
  <si>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</si>
  <si>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</si>
  <si>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</si>
  <si>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</si>
  <si>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</si>
  <si>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</si>
  <si>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</si>
  <si>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</si>
  <si>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</si>
  <si>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</si>
  <si>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</si>
  <si>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</si>
  <si>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</si>
  <si>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</si>
  <si>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</si>
  <si>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</si>
  <si>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</si>
  <si>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</si>
  <si>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</si>
  <si>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</si>
  <si>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</si>
  <si>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</si>
  <si>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</si>
  <si>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</si>
  <si>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</si>
  <si>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</si>
  <si>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</si>
  <si>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</si>
  <si>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</si>
  <si>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</si>
  <si>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</si>
  <si>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</si>
  <si>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</si>
  <si>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</si>
  <si>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</si>
  <si>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</si>
  <si>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</si>
  <si>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</si>
  <si>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</si>
  <si>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</si>
  <si>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</si>
  <si>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</si>
  <si>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</si>
  <si>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</si>
  <si>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</si>
  <si>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</si>
  <si>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</si>
  <si>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</si>
  <si>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</si>
  <si>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</si>
  <si>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</si>
  <si>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</si>
  <si>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</si>
  <si>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</si>
  <si>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</si>
  <si>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</si>
  <si>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</si>
  <si>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</si>
  <si>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</si>
  <si>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</si>
  <si>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</si>
  <si>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</si>
  <si>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</si>
  <si>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</si>
  <si>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</si>
  <si>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</si>
  <si>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</si>
  <si>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</si>
  <si>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</si>
  <si>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</si>
  <si>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</si>
  <si>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</si>
  <si>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</si>
  <si>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</si>
  <si>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</si>
  <si>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</si>
  <si>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</si>
  <si>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</si>
  <si>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</si>
  <si>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</si>
  <si>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</si>
  <si>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</si>
  <si>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</si>
  <si>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</si>
  <si>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</si>
  <si>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</si>
  <si>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</si>
  <si>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</si>
  <si>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</si>
  <si>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</si>
  <si>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</si>
  <si>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</si>
  <si>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</si>
  <si>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</si>
  <si>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</si>
  <si>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</si>
  <si>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</si>
  <si>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</si>
  <si>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</si>
  <si>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</si>
  <si>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</si>
  <si>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</si>
  <si>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</si>
  <si>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</si>
  <si>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</si>
  <si>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</si>
  <si>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</si>
  <si>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</si>
  <si>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</si>
  <si>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</si>
  <si>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</si>
  <si>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</si>
  <si>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</si>
  <si>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</si>
  <si>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</si>
  <si>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</si>
  <si>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</si>
  <si>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</si>
  <si>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</si>
  <si>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</si>
  <si>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</si>
  <si>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</si>
  <si>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</si>
  <si>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</si>
  <si>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</si>
  <si>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</si>
  <si>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</si>
  <si>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</si>
  <si>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</si>
  <si>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</si>
  <si>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</si>
  <si>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</si>
  <si>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</si>
  <si>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</si>
  <si>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</si>
  <si>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</si>
  <si>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</si>
  <si>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</si>
  <si>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</si>
  <si>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</si>
  <si>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</si>
  <si>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</si>
  <si>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</si>
  <si>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</si>
  <si>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</si>
  <si>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</si>
  <si>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</si>
  <si>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</si>
  <si>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</si>
  <si>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</si>
  <si>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</si>
  <si>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</si>
  <si>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</si>
  <si>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</si>
  <si>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</si>
  <si>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</si>
  <si>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</si>
  <si>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</si>
  <si>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</si>
  <si>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</si>
  <si>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</si>
  <si>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</si>
  <si>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</si>
  <si>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</si>
  <si>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</si>
  <si>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</si>
  <si>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</si>
  <si>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</si>
  <si>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</si>
  <si>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</si>
  <si>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</si>
  <si>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</si>
  <si>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</si>
  <si>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</si>
  <si>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</si>
  <si>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</si>
  <si>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</si>
  <si>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</si>
  <si>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</si>
  <si>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</si>
  <si>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</si>
  <si>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</si>
  <si>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</si>
  <si>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</si>
  <si>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</si>
  <si>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</si>
  <si>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</si>
  <si>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</si>
  <si>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</si>
  <si>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</si>
  <si>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</si>
  <si>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</si>
  <si>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</si>
  <si>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</si>
  <si>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</si>
  <si>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</si>
  <si>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</si>
  <si>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</si>
  <si>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</si>
  <si>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</si>
  <si>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</si>
  <si>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</si>
  <si>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</si>
  <si>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</si>
  <si>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</si>
  <si>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</si>
  <si>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</si>
  <si>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</si>
  <si>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</si>
  <si>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</si>
  <si>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</si>
  <si>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</si>
  <si>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</si>
  <si>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</si>
  <si>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</si>
  <si>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</si>
  <si>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</si>
  <si>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</si>
  <si>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</si>
  <si>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</si>
  <si>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</si>
  <si>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</si>
  <si>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</si>
  <si>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</si>
  <si>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</si>
  <si>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</si>
  <si>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</si>
  <si>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</si>
  <si>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</si>
  <si>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</si>
  <si>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</si>
  <si>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</si>
  <si>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</si>
  <si>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</si>
  <si>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</si>
  <si>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</si>
  <si>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</si>
  <si>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</si>
  <si>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</si>
  <si>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</si>
  <si>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</si>
  <si>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</si>
  <si>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</si>
  <si>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</si>
  <si>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</si>
  <si>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</si>
  <si>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</si>
  <si>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</si>
  <si>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</si>
  <si>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</si>
  <si>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</si>
  <si>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</si>
  <si>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</si>
  <si>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</si>
  <si>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</si>
  <si>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</si>
  <si>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</si>
  <si>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</si>
  <si>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</si>
  <si>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</si>
  <si>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</si>
  <si>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</si>
  <si>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</si>
  <si>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</si>
  <si>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</si>
  <si>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</si>
  <si>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</si>
  <si>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</si>
  <si>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</si>
  <si>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</si>
  <si>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</si>
  <si>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</si>
  <si>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</si>
  <si>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</si>
  <si>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</si>
  <si>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</si>
  <si>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</si>
  <si>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</si>
  <si>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</si>
  <si>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</si>
  <si>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</si>
  <si>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</si>
  <si>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</si>
  <si>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</si>
  <si>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</si>
  <si>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</si>
  <si>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</si>
  <si>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</si>
  <si>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</si>
  <si>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</si>
  <si>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</si>
  <si>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</si>
  <si>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</si>
  <si>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</si>
  <si>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</si>
  <si>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</si>
  <si>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</si>
  <si>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</si>
  <si>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</si>
  <si>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</si>
  <si>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</si>
  <si>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</si>
  <si>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</si>
  <si>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</si>
  <si>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</si>
  <si>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</si>
  <si>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</si>
  <si>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</si>
  <si>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</si>
  <si>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</si>
  <si>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</si>
  <si>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</si>
  <si>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</si>
  <si>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</si>
  <si>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</si>
  <si>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</si>
  <si>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</si>
  <si>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</si>
  <si>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</si>
  <si>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</si>
  <si>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</si>
  <si>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</si>
  <si>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</si>
  <si>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</si>
  <si>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</si>
  <si>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</si>
  <si>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</si>
  <si>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</si>
  <si>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</si>
  <si>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</si>
  <si>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</si>
  <si>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</si>
  <si>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</si>
  <si>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</si>
  <si>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</si>
  <si>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</si>
  <si>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</si>
  <si>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</si>
  <si>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</si>
  <si>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</si>
  <si>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</si>
  <si>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</si>
  <si>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</si>
  <si>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</si>
  <si>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</si>
  <si>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</si>
  <si>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</si>
  <si>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</si>
  <si>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</si>
  <si>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</si>
  <si>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</si>
  <si>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</si>
  <si>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</si>
  <si>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</si>
  <si>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</si>
  <si>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</si>
  <si>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</si>
  <si>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</si>
  <si>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</si>
  <si>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</si>
  <si>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</si>
  <si>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</si>
  <si>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</si>
  <si>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</si>
  <si>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</si>
  <si>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</si>
  <si>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</si>
  <si>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</si>
  <si>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</si>
  <si>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</si>
  <si>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</si>
  <si>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</si>
  <si>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</si>
  <si>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</si>
  <si>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</si>
  <si>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</si>
  <si>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</si>
  <si>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</si>
  <si>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</si>
  <si>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</si>
  <si>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</si>
  <si>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</si>
  <si>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</si>
  <si>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</si>
  <si>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</si>
  <si>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</si>
  <si>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</si>
  <si>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</si>
  <si>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</si>
  <si>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</si>
  <si>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</si>
  <si>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</si>
  <si>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</si>
  <si>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</si>
  <si>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</si>
  <si>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</si>
  <si>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</si>
  <si>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</si>
  <si>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</si>
  <si>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</si>
  <si>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</si>
  <si>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</si>
  <si>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</si>
  <si>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</si>
  <si>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</si>
  <si>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</si>
  <si>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</si>
  <si>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</si>
  <si>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</si>
  <si>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</si>
  <si>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</si>
  <si>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</si>
  <si>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</si>
  <si>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</si>
  <si>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</si>
  <si>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</si>
  <si>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</si>
  <si>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</si>
  <si>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</si>
  <si>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</si>
  <si>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</si>
  <si>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</si>
  <si>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</si>
  <si>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</si>
  <si>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</si>
  <si>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</si>
  <si>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</si>
  <si>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</si>
  <si>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</si>
  <si>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</si>
  <si>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</si>
  <si>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</si>
  <si>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</si>
  <si>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</si>
  <si>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</si>
  <si>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</si>
  <si>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</si>
  <si>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</si>
  <si>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</si>
  <si>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</si>
  <si>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</si>
  <si>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</si>
  <si>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</si>
  <si>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</si>
  <si>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</si>
  <si>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</si>
  <si>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</si>
  <si>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</si>
  <si>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</si>
  <si>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</si>
  <si>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</si>
  <si>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</si>
  <si>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</si>
  <si>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</si>
  <si>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</si>
  <si>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</si>
  <si>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</si>
  <si>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</si>
  <si>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</si>
  <si>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</si>
  <si>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</si>
  <si>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</si>
  <si>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</si>
  <si>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</si>
  <si>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</si>
  <si>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</si>
  <si>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</si>
  <si>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</si>
  <si>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</si>
  <si>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</si>
  <si>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</si>
  <si>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</si>
  <si>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</si>
  <si>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</si>
  <si>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</si>
  <si>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</si>
  <si>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</si>
  <si>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</si>
  <si>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</si>
  <si>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</si>
  <si>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</si>
  <si>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</si>
  <si>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</si>
  <si>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</si>
  <si>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</si>
  <si>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</si>
  <si>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</si>
  <si>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</si>
  <si>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</si>
  <si>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</si>
  <si>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</si>
  <si>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</si>
  <si>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</si>
  <si>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</si>
  <si>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</si>
  <si>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</si>
  <si>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</si>
  <si>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</si>
  <si>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</si>
  <si>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</si>
  <si>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</si>
  <si>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</si>
  <si>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</si>
  <si>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</si>
  <si>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</si>
  <si>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</si>
  <si>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</si>
  <si>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</si>
  <si>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</si>
  <si>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</si>
  <si>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</si>
  <si>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</si>
  <si>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</si>
  <si>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</si>
  <si>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</si>
  <si>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</si>
  <si>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</si>
  <si>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</si>
  <si>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</si>
  <si>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</si>
  <si>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</si>
  <si>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</si>
  <si>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</si>
  <si>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</si>
  <si>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</si>
  <si>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</si>
  <si>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</si>
  <si>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</si>
  <si>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</si>
  <si>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</si>
  <si>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</si>
  <si>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</si>
  <si>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</si>
  <si>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</si>
  <si>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</si>
  <si>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</si>
  <si>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</si>
  <si>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</si>
  <si>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</si>
  <si>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</si>
  <si>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</si>
  <si>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</si>
  <si>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</si>
  <si>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</si>
  <si>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</si>
  <si>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</si>
  <si>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</si>
  <si>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</si>
  <si>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</si>
  <si>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</si>
  <si>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</si>
  <si>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</si>
  <si>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</si>
  <si>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</si>
  <si>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</si>
  <si>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</si>
  <si>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</si>
  <si>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</si>
  <si>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</si>
  <si>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</si>
  <si>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</si>
  <si>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</si>
  <si>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</si>
  <si>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</si>
  <si>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</si>
  <si>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</si>
  <si>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</si>
  <si>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</si>
  <si>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</si>
  <si>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</si>
  <si>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</si>
  <si>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</si>
  <si>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</si>
  <si>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</si>
  <si>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</si>
  <si>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</si>
  <si>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</si>
  <si>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</si>
  <si>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</si>
  <si>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</si>
  <si>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</si>
  <si>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</si>
  <si>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</si>
  <si>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</si>
  <si>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</si>
  <si>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</si>
  <si>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</si>
  <si>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</si>
  <si>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</si>
  <si>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</si>
  <si>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</si>
  <si>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</si>
  <si>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</si>
  <si>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</si>
  <si>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</si>
  <si>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</si>
  <si>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</si>
  <si>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</si>
  <si>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</si>
  <si>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</si>
  <si>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</si>
  <si>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</si>
  <si>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</si>
  <si>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</si>
  <si>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</si>
  <si>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</si>
  <si>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</si>
  <si>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</si>
  <si>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</si>
  <si>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</si>
  <si>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</si>
  <si>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</si>
  <si>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</si>
  <si>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</si>
  <si>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</si>
  <si>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</si>
  <si>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</si>
  <si>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</si>
  <si>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</si>
  <si>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</si>
  <si>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</si>
  <si>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</si>
  <si>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</si>
  <si>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</si>
  <si>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</si>
  <si>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</si>
  <si>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</si>
  <si>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</si>
  <si>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</si>
  <si>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</si>
  <si>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</si>
  <si>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</si>
  <si>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</si>
  <si>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</si>
  <si>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</si>
  <si>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</si>
  <si>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</si>
  <si>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</si>
  <si>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</si>
  <si>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</si>
  <si>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</si>
  <si>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</si>
  <si>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</si>
  <si>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</si>
  <si>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</si>
  <si>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</si>
  <si>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</si>
  <si>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</si>
  <si>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</si>
  <si>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</si>
  <si>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</si>
  <si>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</si>
  <si>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</si>
  <si>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</si>
  <si>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</si>
  <si>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</si>
  <si>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</si>
  <si>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</si>
  <si>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</si>
  <si>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</si>
  <si>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</si>
  <si>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</si>
  <si>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</si>
  <si>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</si>
  <si>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</si>
  <si>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</si>
  <si>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</si>
  <si>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</si>
  <si>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</si>
  <si>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</si>
  <si>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</si>
  <si>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</si>
  <si>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</si>
  <si>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</si>
  <si>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</si>
  <si>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</si>
  <si>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</si>
  <si>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</si>
  <si>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</si>
  <si>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</si>
  <si>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</si>
  <si>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</si>
  <si>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</si>
  <si>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</si>
  <si>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</si>
  <si>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</si>
  <si>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</si>
  <si>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</si>
  <si>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</si>
  <si>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</si>
  <si>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</si>
  <si>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</si>
  <si>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</si>
  <si>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</si>
  <si>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</si>
  <si>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</si>
  <si>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</si>
  <si>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</si>
  <si>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</si>
  <si>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</si>
  <si>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</si>
  <si>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</si>
  <si>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</si>
  <si>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</si>
  <si>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</si>
  <si>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</si>
  <si>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</si>
  <si>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</si>
  <si>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</si>
  <si>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</si>
  <si>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</si>
  <si>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</si>
  <si>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</si>
  <si>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</si>
  <si>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</si>
  <si>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</si>
  <si>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</si>
  <si>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</si>
  <si>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</si>
  <si>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</si>
  <si>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</si>
  <si>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</si>
  <si>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</si>
  <si>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</si>
  <si>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</si>
  <si>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</si>
  <si>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</si>
  <si>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</si>
  <si>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</si>
  <si>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</si>
  <si>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</si>
  <si>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</si>
  <si>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</si>
  <si>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</si>
  <si>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</si>
  <si>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</si>
  <si>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</si>
  <si>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</si>
  <si>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</si>
  <si>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</si>
  <si>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</si>
  <si>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</si>
  <si>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</si>
  <si>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</si>
  <si>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</si>
  <si>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</si>
  <si>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</si>
  <si>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</si>
  <si>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</si>
  <si>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</si>
  <si>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</si>
  <si>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</si>
  <si>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</si>
  <si>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</si>
  <si>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</si>
  <si>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</si>
  <si>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</si>
  <si>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</si>
  <si>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</si>
  <si>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</si>
  <si>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</si>
  <si>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</si>
  <si>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</si>
  <si>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</si>
  <si>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</si>
  <si>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</si>
  <si>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</si>
  <si>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</si>
  <si>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</si>
  <si>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</si>
  <si>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</si>
  <si>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</si>
  <si>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</si>
  <si>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</si>
  <si>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</si>
  <si>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</si>
  <si>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</si>
  <si>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</si>
  <si>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</si>
  <si>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</si>
  <si>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</si>
  <si>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</si>
  <si>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</si>
  <si>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</si>
  <si>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</si>
  <si>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</si>
  <si>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</si>
  <si>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</si>
  <si>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</si>
  <si>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</si>
  <si>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</si>
  <si>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</si>
  <si>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</si>
  <si>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</si>
  <si>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</si>
  <si>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</si>
  <si>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</si>
  <si>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</si>
  <si>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</si>
  <si>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</si>
  <si>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</si>
  <si>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</si>
  <si>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</si>
  <si>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</si>
  <si>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</si>
  <si>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</si>
  <si>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</si>
  <si>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</si>
  <si>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</si>
  <si>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</si>
  <si>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</si>
  <si>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</si>
  <si>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</si>
  <si>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</si>
  <si>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</si>
  <si>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</si>
  <si>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</si>
  <si>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</si>
  <si>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</si>
  <si>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</si>
  <si>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</si>
  <si>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</si>
  <si>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</si>
  <si>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</si>
  <si>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</si>
  <si>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</si>
  <si>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</si>
  <si>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</si>
  <si>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</si>
  <si>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</si>
  <si>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</si>
  <si>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</si>
  <si>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</si>
  <si>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</si>
  <si>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</si>
  <si>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</si>
  <si>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</si>
  <si>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</si>
  <si>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</si>
  <si>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</si>
  <si>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</si>
  <si>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</si>
  <si>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</si>
  <si>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</si>
  <si>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</si>
  <si>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</si>
  <si>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</si>
  <si>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</si>
  <si>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</si>
  <si>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</si>
  <si>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</si>
  <si>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</si>
  <si>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</si>
  <si>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</si>
  <si>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</si>
  <si>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</si>
  <si>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</si>
  <si>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</si>
  <si>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</si>
  <si>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</si>
  <si>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</si>
  <si>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</si>
  <si>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</si>
  <si>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</si>
  <si>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</si>
  <si>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</si>
  <si>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</si>
  <si>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</si>
  <si>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</si>
  <si>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</si>
  <si>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</si>
  <si>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</si>
  <si>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</si>
  <si>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</si>
  <si>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</si>
  <si>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</si>
  <si>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</si>
  <si>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</si>
  <si>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</si>
  <si>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</si>
  <si>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</si>
  <si>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</si>
  <si>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</si>
  <si>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</si>
  <si>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</si>
  <si>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</si>
  <si>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</si>
  <si>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</si>
  <si>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</si>
  <si>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</si>
  <si>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</si>
  <si>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</si>
  <si>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</si>
  <si>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</si>
  <si>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</si>
  <si>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</si>
  <si>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</si>
  <si>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</si>
  <si>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</si>
  <si>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</si>
  <si>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</si>
  <si>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</si>
  <si>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</si>
  <si>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</si>
  <si>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</si>
  <si>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</si>
  <si>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</si>
  <si>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</si>
  <si>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</si>
  <si>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</si>
  <si>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</si>
  <si>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</si>
  <si>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</si>
  <si>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</si>
  <si>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</si>
  <si>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</si>
  <si>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</si>
  <si>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</si>
  <si>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</si>
  <si>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</si>
  <si>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</si>
  <si>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</si>
  <si>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</si>
  <si>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</si>
  <si>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</si>
  <si>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</si>
  <si>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</si>
  <si>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</si>
  <si>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</si>
  <si>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</si>
  <si>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</si>
  <si>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</si>
  <si>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</si>
  <si>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</si>
  <si>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</si>
  <si>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</si>
  <si>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</si>
  <si>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</si>
  <si>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</si>
  <si>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</si>
  <si>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</si>
  <si>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</si>
  <si>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</si>
  <si>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</si>
  <si>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</si>
  <si>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</si>
  <si>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</si>
  <si>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</si>
  <si>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</si>
  <si>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</si>
  <si>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</si>
  <si>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</si>
  <si>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</si>
  <si>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</si>
  <si>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</si>
  <si>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</si>
  <si>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</si>
  <si>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</si>
  <si>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</si>
  <si>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</si>
  <si>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</si>
  <si>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</si>
  <si>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</si>
  <si>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</si>
  <si>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</si>
  <si>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</si>
  <si>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</si>
  <si>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</si>
  <si>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</si>
  <si>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</si>
  <si>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</si>
  <si>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</si>
  <si>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</si>
  <si>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</si>
  <si>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</si>
  <si>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</si>
  <si>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</si>
  <si>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</si>
  <si>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</si>
  <si>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</si>
  <si>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</si>
  <si>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</si>
  <si>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</si>
  <si>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</si>
  <si>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</si>
  <si>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</si>
  <si>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</si>
  <si>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</si>
  <si>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</si>
  <si>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</si>
  <si>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</si>
  <si>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</si>
  <si>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</si>
  <si>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</si>
  <si>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</si>
  <si>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</si>
  <si>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</si>
  <si>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</si>
  <si>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</si>
  <si>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</si>
  <si>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</si>
  <si>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</si>
  <si>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</si>
  <si>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</si>
  <si>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</si>
  <si>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</si>
  <si>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</si>
  <si>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</si>
  <si>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</si>
  <si>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</si>
  <si>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</si>
  <si>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</si>
  <si>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</si>
  <si>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</si>
  <si>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</si>
  <si>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</si>
  <si>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</si>
  <si>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</si>
  <si>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</si>
  <si>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</si>
  <si>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</si>
  <si>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</si>
  <si>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</si>
  <si>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</si>
  <si>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</si>
  <si>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</si>
  <si>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</si>
  <si>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</si>
  <si>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</si>
  <si>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</si>
  <si>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</si>
  <si>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</si>
  <si>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</si>
  <si>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</si>
  <si>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</si>
  <si>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</si>
  <si>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</si>
  <si>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</si>
  <si>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</si>
  <si>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</si>
  <si>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</si>
  <si>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</si>
  <si>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</si>
  <si>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</si>
  <si>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</si>
  <si>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</si>
  <si>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</si>
  <si>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</si>
  <si>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</si>
  <si>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</si>
  <si>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</si>
  <si>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</si>
  <si>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</si>
  <si>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</si>
  <si>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</si>
  <si>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</si>
  <si>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</si>
  <si>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</si>
  <si>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</si>
  <si>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</si>
  <si>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</si>
  <si>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</si>
  <si>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</si>
  <si>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</si>
  <si>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</si>
  <si>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</si>
  <si>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</si>
  <si>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</si>
  <si>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</si>
  <si>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</si>
  <si>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</si>
  <si>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</si>
  <si>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</si>
  <si>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</si>
  <si>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</si>
  <si>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</si>
  <si>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</si>
  <si>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</si>
  <si>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</si>
  <si>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</si>
  <si>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</si>
  <si>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</si>
  <si>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</si>
  <si>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</si>
  <si>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</si>
  <si>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</si>
  <si>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</si>
  <si>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</si>
  <si>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</si>
  <si>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</si>
  <si>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</si>
  <si>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</si>
  <si>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</si>
  <si>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</si>
  <si>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</si>
  <si>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</si>
  <si>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</si>
  <si>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</si>
  <si>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</si>
  <si>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</si>
  <si>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</si>
  <si>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</si>
  <si>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</si>
  <si>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</si>
  <si>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</si>
  <si>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</si>
  <si>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</si>
  <si>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</si>
  <si>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</si>
  <si>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</si>
  <si>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</si>
  <si>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</si>
  <si>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</si>
  <si>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</si>
  <si>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</si>
  <si>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</si>
  <si>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</si>
  <si>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</si>
  <si>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</si>
  <si>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</si>
  <si>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</si>
  <si>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</si>
  <si>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</si>
  <si>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</si>
  <si>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</si>
  <si>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</si>
  <si>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</si>
  <si>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</si>
  <si>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</si>
  <si>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</si>
  <si>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</si>
  <si>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</si>
  <si>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</si>
  <si>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</si>
  <si>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</si>
  <si>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</si>
  <si>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</si>
  <si>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</si>
  <si>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</si>
  <si>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</si>
  <si>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</si>
  <si>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</si>
  <si>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</si>
  <si>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</si>
  <si>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</si>
  <si>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</si>
  <si>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</si>
  <si>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</si>
  <si>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</si>
  <si>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</si>
  <si>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</si>
  <si>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</si>
  <si>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</si>
  <si>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</si>
  <si>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</si>
  <si>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</si>
  <si>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</si>
  <si>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</si>
  <si>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</si>
  <si>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</si>
  <si>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</si>
  <si>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</si>
  <si>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</si>
  <si>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</si>
  <si>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</si>
  <si>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</si>
  <si>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</si>
  <si>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</si>
  <si>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</si>
  <si>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</si>
  <si>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</si>
  <si>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</si>
  <si>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</si>
  <si>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</si>
  <si>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</si>
  <si>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</si>
  <si>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</si>
  <si>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</si>
  <si>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</si>
  <si>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</si>
  <si>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</si>
  <si>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</si>
  <si>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</si>
  <si>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</si>
  <si>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</si>
  <si>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</si>
  <si>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</si>
  <si>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</si>
  <si>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</si>
  <si>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</si>
  <si>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</si>
  <si>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</si>
  <si>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</si>
  <si>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</si>
  <si>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</si>
  <si>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</si>
  <si>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</si>
  <si>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</si>
  <si>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</si>
  <si>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</si>
  <si>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</si>
  <si>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</si>
  <si>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</si>
  <si>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</si>
  <si>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</si>
  <si>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</si>
  <si>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</si>
  <si>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</si>
  <si>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</si>
  <si>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</si>
  <si>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</si>
  <si>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</si>
  <si>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</si>
  <si>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</si>
  <si>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</si>
  <si>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</si>
  <si>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</si>
  <si>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</si>
  <si>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</si>
  <si>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</si>
  <si>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</si>
  <si>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</si>
  <si>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</si>
  <si>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</si>
  <si>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</si>
  <si>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</si>
  <si>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</si>
  <si>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</si>
  <si>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</si>
  <si>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</si>
  <si>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</si>
  <si>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</si>
  <si>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</si>
  <si>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</si>
  <si>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</si>
  <si>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</si>
  <si>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</si>
  <si>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</si>
  <si>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</si>
  <si>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</si>
  <si>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</si>
  <si>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</si>
  <si>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</si>
  <si>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</si>
  <si>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</si>
  <si>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</si>
  <si>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</si>
  <si>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</si>
  <si>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</si>
  <si>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</si>
  <si>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</si>
  <si>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</si>
  <si>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</si>
  <si>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</si>
  <si>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</si>
  <si>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</si>
  <si>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</si>
  <si>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</si>
  <si>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</si>
  <si>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</si>
  <si>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</si>
  <si>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</si>
  <si>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</si>
  <si>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</si>
  <si>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</si>
  <si>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</si>
  <si>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</si>
  <si>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</si>
  <si>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</si>
  <si>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</si>
  <si>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</si>
  <si>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</si>
  <si>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</si>
  <si>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</si>
  <si>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</si>
  <si>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</si>
  <si>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</si>
  <si>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</si>
  <si>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</si>
  <si>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</si>
  <si>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</si>
  <si>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</si>
  <si>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</si>
  <si>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</si>
  <si>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</si>
  <si>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</si>
  <si>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</si>
  <si>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</si>
  <si>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</si>
  <si>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</si>
  <si>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</si>
  <si>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</si>
  <si>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</si>
  <si>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</si>
  <si>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</si>
  <si>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</si>
  <si>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</si>
  <si>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</si>
  <si>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</si>
  <si>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</si>
  <si>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</si>
  <si>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</si>
  <si>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</si>
  <si>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</si>
  <si>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</si>
  <si>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</si>
  <si>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</si>
  <si>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</si>
  <si>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</si>
  <si>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</si>
  <si>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</si>
  <si>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</si>
  <si>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</si>
  <si>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</si>
  <si>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</si>
  <si>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</si>
  <si>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</si>
  <si>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</si>
  <si>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</si>
  <si>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</si>
  <si>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</si>
  <si>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</si>
  <si>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</si>
  <si>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</si>
  <si>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</si>
  <si>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</si>
  <si>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</si>
  <si>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</si>
  <si>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</si>
  <si>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</si>
  <si>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</si>
  <si>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</si>
  <si>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</si>
  <si>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</si>
  <si>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</si>
  <si>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</si>
  <si>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</si>
  <si>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</si>
  <si>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</si>
  <si>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</si>
  <si>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</si>
  <si>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</si>
  <si>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</si>
  <si>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</si>
  <si>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</si>
  <si>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</si>
  <si>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</si>
  <si>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</si>
  <si>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</si>
  <si>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</si>
  <si>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</si>
  <si>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</si>
  <si>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</si>
  <si>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</si>
  <si>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</si>
  <si>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</si>
  <si>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</si>
  <si>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</si>
  <si>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</si>
  <si>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</si>
  <si>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</si>
  <si>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</si>
  <si>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</si>
  <si>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</si>
  <si>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</si>
  <si>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</si>
  <si>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</si>
  <si>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</si>
  <si>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</si>
  <si>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</si>
  <si>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</si>
  <si>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</si>
  <si>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</si>
  <si>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</si>
  <si>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</si>
  <si>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</si>
  <si>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</si>
  <si>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</si>
  <si>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</si>
  <si>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</si>
  <si>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</si>
  <si>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</si>
  <si>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</si>
  <si>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</si>
  <si>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</si>
  <si>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</si>
  <si>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</si>
  <si>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</si>
  <si>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</si>
  <si>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</si>
  <si>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</si>
  <si>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</si>
  <si>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</si>
  <si>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</si>
  <si>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</si>
  <si>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</si>
  <si>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</si>
  <si>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</si>
  <si>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</si>
  <si>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</si>
  <si>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</si>
  <si>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</si>
  <si>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</si>
  <si>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</si>
  <si>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</si>
  <si>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</si>
  <si>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</si>
  <si>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</si>
  <si>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</si>
  <si>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</si>
  <si>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</si>
  <si>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</si>
  <si>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</si>
  <si>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</si>
  <si>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</si>
  <si>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</si>
  <si>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</si>
  <si>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</si>
  <si>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</si>
  <si>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</si>
  <si>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</si>
  <si>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</si>
  <si>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</si>
  <si>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</si>
  <si>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</si>
  <si>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</si>
  <si>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</si>
  <si>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</si>
  <si>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</si>
  <si>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</si>
  <si>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</si>
  <si>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</si>
  <si>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</si>
  <si>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</si>
  <si>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</si>
  <si>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</si>
  <si>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</si>
  <si>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</si>
  <si>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</si>
  <si>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</si>
  <si>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</si>
  <si>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</si>
  <si>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</si>
  <si>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</si>
  <si>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</si>
  <si>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</si>
  <si>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</si>
  <si>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</si>
  <si>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</si>
  <si>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</si>
  <si>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</si>
  <si>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</si>
  <si>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</si>
  <si>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</si>
  <si>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</si>
  <si>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</si>
  <si>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</si>
  <si>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</si>
  <si>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</si>
  <si>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</si>
  <si>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</si>
  <si>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</si>
  <si>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</si>
  <si>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</si>
  <si>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</si>
  <si>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</si>
  <si>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</si>
  <si>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</si>
  <si>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</si>
  <si>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</si>
  <si>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</si>
  <si>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</si>
  <si>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</si>
  <si>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</si>
  <si>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</si>
  <si>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</si>
  <si>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</si>
  <si>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</si>
  <si>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</si>
  <si>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</si>
  <si>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</si>
  <si>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</si>
  <si>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</si>
  <si>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</si>
  <si>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</si>
  <si>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</si>
  <si>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</si>
  <si>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</si>
  <si>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</si>
  <si>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</si>
  <si>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</si>
  <si>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</si>
  <si>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</si>
  <si>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</si>
  <si>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</si>
  <si>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</si>
  <si>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</si>
  <si>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</si>
  <si>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</si>
  <si>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</si>
  <si>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</si>
  <si>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</si>
  <si>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</si>
  <si>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</si>
  <si>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</si>
  <si>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</si>
  <si>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</si>
  <si>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</si>
  <si>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</si>
  <si>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</si>
  <si>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</si>
  <si>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</si>
  <si>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</si>
  <si>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</si>
  <si>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</si>
  <si>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</si>
  <si>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</si>
  <si>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</si>
  <si>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</si>
  <si>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</si>
  <si>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</si>
  <si>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</si>
  <si>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</si>
  <si>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</si>
  <si>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</si>
  <si>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</si>
  <si>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</si>
  <si>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</si>
  <si>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</si>
  <si>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</si>
  <si>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</si>
  <si>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</si>
  <si>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</si>
  <si>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</si>
  <si>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</si>
  <si>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</si>
  <si>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</si>
  <si>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</si>
  <si>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</si>
  <si>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</si>
  <si>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</si>
  <si>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</si>
  <si>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</si>
  <si>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</si>
  <si>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</si>
  <si>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</si>
  <si>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</si>
  <si>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</si>
  <si>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</si>
  <si>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</si>
  <si>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</si>
  <si>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</si>
  <si>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</si>
  <si>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</si>
  <si>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</si>
  <si>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</si>
  <si>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</si>
  <si>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</si>
  <si>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</si>
  <si>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</si>
  <si>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</si>
  <si>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</si>
  <si>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</si>
  <si>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</si>
  <si>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</si>
  <si>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</si>
  <si>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</si>
  <si>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</si>
  <si>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</si>
  <si>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</si>
  <si>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</si>
  <si>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</si>
  <si>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</si>
  <si>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</si>
  <si>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</si>
  <si>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</si>
  <si>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</si>
  <si>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</si>
  <si>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</si>
  <si>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</si>
  <si>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</si>
  <si>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</si>
  <si>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</si>
  <si>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</si>
  <si>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</si>
  <si>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</si>
  <si>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</si>
  <si>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</si>
  <si>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</si>
  <si>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</si>
  <si>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</si>
  <si>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</si>
  <si>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</si>
  <si>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</si>
  <si>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</si>
  <si>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</si>
  <si>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</si>
  <si>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</si>
  <si>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</si>
  <si>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</si>
  <si>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</si>
  <si>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</si>
  <si>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</si>
  <si>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</si>
  <si>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</si>
  <si>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</si>
  <si>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</si>
  <si>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</si>
  <si>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</si>
  <si>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</si>
  <si>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</si>
  <si>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</si>
  <si>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</si>
  <si>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</si>
  <si>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</si>
  <si>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</si>
  <si>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</si>
  <si>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</si>
  <si>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</si>
  <si>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</si>
  <si>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</si>
  <si>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</si>
  <si>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</si>
  <si>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</si>
  <si>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</si>
  <si>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</si>
  <si>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</si>
  <si>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</si>
  <si>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</si>
  <si>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</si>
  <si>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</si>
  <si>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</si>
  <si>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</si>
  <si>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</si>
  <si>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</si>
  <si>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</si>
  <si>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</si>
  <si>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</si>
  <si>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</si>
  <si>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</si>
  <si>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</si>
  <si>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</si>
  <si>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</si>
  <si>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</si>
  <si>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</si>
  <si>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</si>
  <si>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</si>
  <si>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</si>
  <si>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</si>
  <si>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</si>
  <si>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</si>
  <si>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</si>
  <si>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</si>
  <si>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</si>
  <si>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</si>
  <si>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</si>
  <si>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</si>
  <si>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</si>
  <si>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</si>
  <si>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</si>
  <si>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</si>
  <si>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</si>
  <si>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</si>
  <si>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</si>
  <si>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</si>
  <si>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</si>
  <si>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</si>
  <si>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</si>
  <si>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</si>
  <si>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</si>
  <si>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</si>
  <si>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</si>
  <si>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</si>
  <si>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</si>
  <si>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</si>
  <si>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</si>
  <si>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</si>
  <si>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</si>
  <si>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</si>
  <si>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</si>
  <si>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</si>
  <si>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</si>
  <si>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</si>
  <si>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</si>
  <si>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</si>
  <si>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</si>
  <si>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</si>
  <si>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</si>
  <si>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</si>
  <si>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</si>
  <si>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</si>
  <si>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</si>
  <si>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</si>
  <si>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</si>
  <si>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</si>
  <si>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</si>
  <si>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</si>
  <si>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</si>
  <si>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</si>
  <si>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</si>
  <si>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</si>
  <si>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</si>
  <si>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</si>
  <si>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</si>
  <si>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</si>
  <si>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</si>
  <si>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</si>
  <si>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</si>
  <si>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</si>
  <si>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</si>
  <si>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</si>
  <si>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</si>
  <si>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</si>
  <si>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</si>
  <si>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</si>
  <si>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</si>
  <si>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</si>
  <si>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</si>
  <si>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</si>
  <si>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</si>
  <si>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</si>
  <si>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</si>
  <si>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</si>
  <si>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</si>
  <si>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</si>
  <si>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</si>
  <si>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</si>
  <si>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</si>
  <si>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</si>
  <si>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</si>
  <si>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</si>
  <si>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</si>
  <si>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</si>
  <si>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</si>
  <si>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</si>
  <si>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</si>
  <si>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</si>
  <si>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</si>
  <si>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</si>
  <si>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</si>
  <si>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</si>
  <si>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</si>
  <si>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</si>
  <si>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</si>
  <si>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</si>
  <si>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</si>
  <si>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</si>
  <si>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</si>
  <si>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</si>
  <si>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</si>
  <si>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</si>
  <si>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</si>
  <si>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</si>
  <si>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</si>
  <si>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</si>
  <si>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</si>
  <si>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</si>
  <si>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</si>
  <si>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</si>
  <si>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</si>
  <si>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</si>
  <si>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</si>
  <si>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</si>
  <si>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</si>
  <si>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</si>
  <si>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</si>
  <si>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</si>
  <si>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</si>
  <si>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</si>
  <si>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</si>
  <si>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</si>
  <si>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</si>
  <si>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</si>
  <si>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</si>
  <si>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</si>
  <si>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</si>
  <si>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</si>
  <si>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</si>
  <si>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</si>
  <si>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</si>
  <si>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</si>
  <si>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</si>
  <si>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</si>
  <si>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</si>
  <si>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</si>
  <si>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</si>
  <si>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</si>
  <si>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</si>
  <si>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</si>
  <si>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</si>
  <si>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</si>
  <si>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</si>
  <si>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</si>
  <si>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</si>
  <si>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</si>
  <si>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</si>
  <si>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</si>
  <si>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</si>
  <si>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</si>
  <si>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</si>
  <si>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</si>
  <si>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</si>
  <si>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</si>
  <si>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</si>
  <si>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</si>
  <si>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</si>
  <si>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</si>
  <si>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</si>
  <si>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</si>
  <si>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</si>
  <si>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</si>
  <si>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</si>
  <si>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</si>
  <si>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</si>
  <si>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</si>
  <si>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</si>
  <si>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</si>
  <si>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</si>
  <si>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</si>
  <si>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</si>
  <si>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</si>
  <si>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</si>
  <si>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</si>
  <si>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</si>
  <si>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</si>
  <si>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</si>
  <si>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</si>
  <si>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</si>
  <si>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</si>
  <si>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</si>
  <si>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</si>
  <si>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</si>
  <si>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</si>
  <si>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</si>
  <si>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</si>
  <si>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</si>
  <si>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</si>
  <si>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</si>
  <si>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</si>
  <si>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</si>
  <si>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</si>
  <si>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</si>
  <si>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</si>
  <si>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</si>
  <si>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</si>
  <si>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</si>
  <si>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</si>
  <si>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</si>
  <si>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</si>
  <si>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</si>
  <si>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</si>
  <si>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</si>
  <si>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</si>
  <si>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</si>
  <si>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</si>
  <si>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</si>
  <si>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</si>
  <si>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</si>
  <si>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</si>
  <si>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</si>
  <si>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</si>
  <si>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</si>
  <si>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</si>
  <si>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</si>
  <si>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</si>
  <si>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</si>
  <si>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</si>
  <si>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</si>
  <si>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</si>
  <si>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</si>
  <si>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</si>
  <si>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</si>
  <si>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</si>
  <si>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</si>
  <si>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</si>
  <si>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</si>
  <si>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</si>
  <si>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</si>
  <si>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</si>
  <si>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</si>
  <si>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</si>
  <si>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</si>
  <si>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</si>
  <si>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</si>
  <si>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</si>
  <si>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</si>
  <si>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</si>
  <si>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</si>
  <si>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</si>
  <si>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</si>
  <si>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</si>
  <si>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</si>
  <si>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</si>
  <si>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</si>
  <si>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</si>
  <si>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</si>
  <si>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</si>
  <si>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</si>
  <si>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</si>
  <si>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</si>
  <si>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</si>
  <si>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</si>
  <si>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</si>
  <si>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</si>
  <si>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</si>
  <si>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</si>
  <si>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</si>
  <si>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</si>
  <si>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</si>
  <si>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</si>
  <si>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</si>
  <si>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</si>
  <si>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</si>
  <si>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</si>
  <si>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</si>
  <si>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</si>
  <si>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</si>
  <si>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</si>
  <si>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</si>
  <si>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</si>
  <si>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</si>
  <si>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</si>
  <si>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</si>
  <si>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</si>
  <si>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</si>
  <si>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</si>
  <si>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</si>
  <si>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</si>
  <si>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</si>
  <si>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</si>
  <si>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</si>
  <si>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</si>
  <si>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</si>
  <si>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</si>
  <si>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</si>
  <si>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</si>
  <si>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</si>
  <si>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</si>
  <si>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</si>
  <si>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</si>
  <si>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</si>
  <si>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</si>
  <si>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</si>
  <si>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</si>
  <si>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</si>
  <si>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</si>
  <si>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</si>
  <si>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</si>
  <si>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</si>
  <si>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</si>
  <si>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</si>
  <si>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</si>
  <si>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</si>
  <si>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</si>
  <si>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</si>
  <si>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</si>
  <si>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</si>
  <si>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</si>
  <si>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</si>
  <si>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</si>
  <si>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</si>
  <si>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</si>
  <si>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</si>
  <si>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</si>
  <si>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</si>
  <si>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</si>
  <si>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</si>
  <si>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</si>
  <si>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</si>
  <si>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</si>
  <si>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</si>
  <si>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</si>
  <si>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</si>
  <si>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</si>
  <si>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</si>
  <si>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</si>
  <si>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</si>
  <si>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</si>
  <si>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</si>
  <si>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</si>
  <si>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</si>
  <si>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</si>
  <si>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</si>
  <si>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</si>
  <si>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</si>
  <si>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</si>
  <si>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</si>
  <si>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</si>
  <si>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</si>
  <si>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</si>
  <si>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</si>
  <si>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</si>
  <si>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</si>
  <si>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</si>
  <si>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</si>
  <si>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</si>
  <si>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</si>
  <si>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</si>
  <si>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</si>
  <si>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</si>
  <si>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</si>
  <si>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</si>
  <si>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</si>
  <si>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</si>
  <si>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</si>
  <si>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</si>
  <si>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</si>
  <si>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</si>
  <si>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</si>
  <si>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</si>
  <si>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</si>
  <si>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</si>
  <si>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</si>
  <si>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</si>
  <si>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</si>
  <si>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</si>
  <si>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</si>
  <si>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</si>
  <si>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</si>
  <si>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</si>
  <si>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</si>
  <si>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</si>
  <si>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</si>
  <si>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</si>
  <si>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</si>
  <si>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</si>
  <si>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</si>
  <si>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</si>
  <si>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</si>
  <si>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</si>
  <si>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</si>
  <si>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</si>
  <si>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</si>
  <si>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</si>
  <si>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</si>
  <si>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</si>
  <si>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</si>
  <si>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</si>
  <si>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</si>
  <si>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</si>
  <si>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</si>
  <si>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</si>
  <si>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</si>
  <si>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</si>
  <si>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</si>
  <si>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</si>
  <si>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</si>
  <si>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</si>
  <si>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</si>
  <si>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</si>
  <si>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</si>
  <si>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</si>
  <si>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</si>
  <si>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</si>
  <si>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</si>
  <si>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</si>
  <si>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</si>
  <si>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</si>
  <si>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</si>
  <si>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</si>
  <si>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</si>
  <si>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</si>
  <si>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</si>
  <si>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</si>
  <si>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</si>
  <si>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</si>
  <si>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</si>
  <si>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</si>
  <si>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</si>
  <si>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</si>
  <si>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</si>
  <si>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</si>
  <si>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</si>
  <si>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</si>
  <si>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</si>
  <si>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</si>
  <si>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</si>
  <si>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</si>
  <si>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</si>
  <si>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</si>
  <si>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</si>
  <si>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</si>
  <si>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</si>
  <si>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</si>
  <si>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</si>
  <si>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</si>
  <si>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</si>
  <si>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</si>
  <si>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</si>
  <si>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</si>
  <si>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</si>
  <si>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</si>
  <si>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</si>
  <si>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</si>
  <si>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</si>
  <si>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</si>
  <si>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</si>
  <si>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</si>
  <si>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</si>
  <si>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</si>
  <si>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</si>
  <si>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</si>
  <si>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</si>
  <si>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</si>
  <si>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</si>
  <si>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</si>
  <si>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</si>
  <si>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</si>
  <si>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</si>
  <si>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</si>
  <si>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</si>
  <si>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</si>
  <si>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</si>
  <si>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</si>
  <si>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</si>
  <si>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</si>
  <si>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</si>
  <si>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</si>
  <si>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</si>
  <si>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</si>
  <si>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</si>
  <si>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</si>
  <si>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</si>
  <si>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</si>
  <si>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</si>
  <si>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</si>
  <si>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</si>
  <si>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</si>
  <si>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</si>
  <si>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</si>
  <si>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</si>
  <si>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</si>
  <si>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</si>
  <si>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</si>
  <si>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</si>
  <si>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</si>
  <si>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</si>
  <si>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</si>
  <si>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</si>
  <si>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</si>
  <si>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</si>
  <si>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</si>
  <si>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</si>
  <si>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</si>
  <si>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</si>
  <si>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</si>
  <si>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</si>
  <si>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</si>
  <si>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</si>
  <si>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</si>
  <si>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</si>
  <si>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</si>
  <si>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</si>
  <si>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</si>
  <si>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</si>
  <si>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</si>
  <si>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</si>
  <si>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</si>
  <si>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</si>
  <si>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Generator Torque</t>
  </si>
  <si>
    <t>Generator Speed</t>
  </si>
  <si>
    <t>ElecSys_nGenr_PHY</t>
  </si>
  <si>
    <t>Required Mechanical Power</t>
  </si>
  <si>
    <t>Required Mechanical</t>
  </si>
  <si>
    <t>RqrdMecl</t>
  </si>
  <si>
    <t>Required Electric Power from Generator</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</si>
  <si>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</si>
  <si>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</si>
  <si>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</si>
  <si>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</si>
  <si>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</si>
  <si>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</si>
  <si>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</si>
  <si>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</si>
  <si>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</si>
  <si>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</si>
  <si>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</si>
  <si>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</si>
  <si>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</si>
  <si>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</si>
  <si>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</si>
  <si>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</si>
  <si>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</si>
  <si>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</si>
  <si>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</si>
  <si>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</si>
  <si>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</si>
  <si>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</si>
  <si>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</si>
  <si>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</si>
  <si>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</si>
  <si>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</si>
  <si>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</si>
  <si>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</si>
  <si>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</si>
  <si>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</si>
  <si>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</si>
  <si>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</si>
  <si>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</si>
  <si>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</si>
  <si>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</si>
  <si>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</si>
  <si>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</si>
  <si>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</si>
  <si>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</si>
  <si>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</si>
  <si>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</si>
  <si>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</si>
  <si>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</si>
  <si>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</si>
  <si>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</si>
  <si>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</si>
  <si>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</si>
  <si>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</si>
  <si>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</si>
  <si>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</si>
  <si>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</si>
  <si>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</si>
  <si>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</si>
  <si>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</si>
  <si>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</si>
  <si>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</si>
  <si>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</si>
  <si>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</si>
  <si>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</si>
  <si>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</si>
  <si>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</si>
  <si>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</si>
  <si>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</si>
  <si>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</si>
  <si>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</si>
  <si>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</si>
  <si>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</si>
  <si>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</si>
  <si>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</si>
  <si>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</si>
  <si>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</si>
  <si>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</si>
  <si>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</si>
  <si>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</si>
  <si>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</si>
  <si>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</si>
  <si>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</si>
  <si>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</si>
  <si>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</si>
  <si>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</si>
  <si>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</si>
  <si>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</si>
  <si>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</si>
  <si>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</si>
  <si>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</si>
  <si>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</si>
  <si>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</si>
  <si>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</si>
  <si>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</si>
  <si>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</si>
  <si>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</si>
  <si>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</si>
  <si>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</si>
  <si>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</si>
  <si>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</si>
  <si>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</si>
  <si>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</si>
  <si>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</si>
  <si>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</si>
  <si>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</si>
  <si>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</si>
  <si>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</si>
  <si>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</si>
  <si>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</si>
  <si>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</si>
  <si>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</si>
  <si>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</si>
  <si>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</si>
  <si>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</si>
  <si>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</si>
  <si>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</si>
  <si>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</si>
  <si>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</si>
  <si>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</si>
  <si>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</si>
  <si>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</si>
  <si>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</si>
  <si>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</si>
  <si>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</si>
  <si>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</si>
  <si>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</si>
  <si>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</si>
  <si>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</si>
  <si>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</si>
  <si>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</si>
  <si>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</si>
  <si>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</si>
  <si>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</si>
  <si>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</si>
  <si>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</si>
  <si>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</si>
  <si>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</si>
  <si>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Engine operating mode (EOM) overrite value (from RCP)</t>
  </si>
  <si>
    <t>Estimated Total Auxilary Torque by ECU</t>
  </si>
  <si>
    <t>Estimated Total Auxiliary</t>
  </si>
  <si>
    <t>EstimdTotAux</t>
  </si>
  <si>
    <t>ECU_trqEstimdTotAux_PHY</t>
  </si>
  <si>
    <t>VirtEngDyno.tiSimnTiStep_C</t>
  </si>
  <si>
    <t>EngCtrl.tiSimnTiStep_C</t>
  </si>
  <si>
    <t>VirtEngDyno</t>
  </si>
  <si>
    <t>EngCtrl</t>
  </si>
  <si>
    <t>Interior Temperature Setpoint</t>
  </si>
  <si>
    <t>IntrTSp</t>
  </si>
  <si>
    <t>Energy Flow Coordinator</t>
  </si>
  <si>
    <t>Required Electric Power Consumer</t>
  </si>
  <si>
    <t>RqrdElecPwrConsumer</t>
  </si>
  <si>
    <t>ElecSys_pwrRqrdElecPwrConsumer_PHY</t>
  </si>
  <si>
    <t>Motor Generator Set Power</t>
  </si>
  <si>
    <t>MotGenrSetPwr</t>
  </si>
  <si>
    <t>maximum available battery power (+ discharging)</t>
  </si>
  <si>
    <t>minimum available battery power (- charging)</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</si>
  <si>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</si>
  <si>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</si>
  <si>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</si>
  <si>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</si>
  <si>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</si>
  <si>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</si>
  <si>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</si>
  <si>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</si>
  <si>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</si>
  <si>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</si>
  <si>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</si>
  <si>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</si>
  <si>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</si>
  <si>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</si>
  <si>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</si>
  <si>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</si>
  <si>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</si>
  <si>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</si>
  <si>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</si>
  <si>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</si>
  <si>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</si>
  <si>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</si>
  <si>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</si>
  <si>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</si>
  <si>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</si>
  <si>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</si>
  <si>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</si>
  <si>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</si>
  <si>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</si>
  <si>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</si>
  <si>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</si>
  <si>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</si>
  <si>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</si>
  <si>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</si>
  <si>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</si>
  <si>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</si>
  <si>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</si>
  <si>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</si>
  <si>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</si>
  <si>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</si>
  <si>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</si>
  <si>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</si>
  <si>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</si>
  <si>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</si>
  <si>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</si>
  <si>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</si>
  <si>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</si>
  <si>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</si>
  <si>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</si>
  <si>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</si>
  <si>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</si>
  <si>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</si>
  <si>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</si>
  <si>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</si>
  <si>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</si>
  <si>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</si>
  <si>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Emission Coordinator</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</si>
  <si>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</si>
  <si>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</si>
  <si>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</si>
  <si>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</si>
  <si>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</si>
  <si>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</si>
  <si>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</si>
  <si>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</si>
  <si>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</si>
  <si>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</si>
  <si>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</si>
  <si>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</si>
  <si>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</si>
  <si>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</si>
  <si>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</si>
  <si>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</si>
  <si>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</si>
  <si>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</si>
  <si>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Predictive Cruise Control Module</t>
  </si>
  <si>
    <t>Prediction Horizon Generator</t>
  </si>
  <si>
    <t>Vehicle Acceleration</t>
  </si>
  <si>
    <t>Angular Velocity Wheel</t>
  </si>
  <si>
    <t>PredtnHrznGenr.tiSimnTiStep_C</t>
  </si>
  <si>
    <t>PredvCrsCtrlModl</t>
  </si>
  <si>
    <t>PredtnHrznGenr</t>
  </si>
  <si>
    <t>Floating</t>
  </si>
  <si>
    <t>Fl</t>
  </si>
  <si>
    <t>Horizon</t>
  </si>
  <si>
    <t>Hrzn</t>
  </si>
  <si>
    <t>Virtual Fuel Air Setpoint Generator</t>
  </si>
  <si>
    <t>VirtFuAirSpGenr</t>
  </si>
  <si>
    <t>VirtFuAirSpGenr.tiSimnTiStep_C</t>
  </si>
  <si>
    <t>Horizon Size</t>
  </si>
  <si>
    <t>HrznSize</t>
  </si>
  <si>
    <t>VirtFuAirSpGenr.numHrznSize_CA</t>
  </si>
  <si>
    <t>VirtEngCmbMdl.numHrznSize_CA</t>
  </si>
  <si>
    <t>Vehicle mass</t>
  </si>
  <si>
    <t>Vehicle Mass</t>
  </si>
  <si>
    <t>Horizon size</t>
  </si>
  <si>
    <t>LgtVehMdl.mVeh_C</t>
  </si>
  <si>
    <t>LgtVehMdl.facRollgR_C</t>
  </si>
  <si>
    <t>Factor[fac]</t>
  </si>
  <si>
    <t>Rolling Resistance</t>
  </si>
  <si>
    <t>Frontal Area</t>
  </si>
  <si>
    <t>Area[ar]</t>
  </si>
  <si>
    <t>LgtVehMdl.arFrntl_C</t>
  </si>
  <si>
    <t>Drag Coefficient</t>
  </si>
  <si>
    <t>LgtVehMdl.facDrgCoeff_C</t>
  </si>
  <si>
    <t>no</t>
  </si>
  <si>
    <t>Input Output Model</t>
  </si>
  <si>
    <t>Input Output</t>
  </si>
  <si>
    <t>InpOutp_qInjTot_PHY</t>
  </si>
  <si>
    <t>Real ECU</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</si>
  <si>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</si>
  <si>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</si>
  <si>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</si>
  <si>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</si>
  <si>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</si>
  <si>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</si>
  <si>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</si>
  <si>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</si>
  <si>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</si>
  <si>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</si>
  <si>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</si>
  <si>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</si>
  <si>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</si>
  <si>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</si>
  <si>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</si>
  <si>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</si>
  <si>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</si>
  <si>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</si>
  <si>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</si>
  <si>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</si>
  <si>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</si>
  <si>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</si>
  <si>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</si>
  <si>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</si>
  <si>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Speed Torque Trace Generator</t>
  </si>
  <si>
    <t>InpOutp.tiSimnTiStep_C</t>
  </si>
  <si>
    <t>RealECU.tiSimnTiStep_C</t>
  </si>
  <si>
    <t>RouteGenr.tiSimnTiStep_C</t>
  </si>
  <si>
    <t>PCCMRPUIf.tiSimnTiStep_C</t>
  </si>
  <si>
    <t>SpdTqTrcGenr.tiSimnTiStep_C</t>
  </si>
  <si>
    <t>InpOutpMdl</t>
  </si>
  <si>
    <t>InpOutp</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</si>
  <si>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</si>
  <si>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</si>
  <si>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</si>
  <si>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</si>
  <si>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</si>
  <si>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</si>
  <si>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</si>
  <si>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</si>
  <si>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</si>
  <si>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</si>
  <si>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</si>
  <si>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</si>
  <si>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</si>
  <si>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</si>
  <si>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</si>
  <si>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</si>
  <si>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</si>
  <si>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</si>
  <si>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</si>
  <si>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</si>
  <si>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</si>
  <si>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</si>
  <si>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</si>
  <si>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</si>
  <si>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</si>
  <si>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</si>
  <si>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</si>
  <si>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</si>
  <si>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</si>
  <si>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</si>
  <si>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</si>
  <si>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</si>
  <si>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</si>
  <si>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</si>
  <si>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</si>
  <si>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</si>
  <si>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</si>
  <si>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</si>
  <si>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</si>
  <si>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</si>
  <si>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</si>
  <si>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</si>
  <si>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</si>
  <si>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</si>
  <si>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</si>
  <si>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</si>
  <si>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</si>
  <si>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</si>
  <si>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</si>
  <si>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</si>
  <si>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</si>
  <si>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</si>
  <si>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</si>
  <si>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</si>
  <si>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</si>
  <si>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</si>
  <si>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</si>
  <si>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</si>
  <si>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</si>
  <si>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</si>
  <si>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</si>
  <si>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</si>
  <si>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</si>
  <si>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</si>
  <si>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</si>
  <si>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</si>
  <si>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</si>
  <si>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</si>
  <si>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</si>
  <si>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</si>
  <si>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</si>
  <si>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</si>
  <si>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</si>
  <si>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</si>
  <si>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</si>
  <si>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</si>
  <si>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</si>
  <si>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</si>
  <si>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</si>
  <si>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</si>
  <si>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</si>
  <si>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</si>
  <si>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</si>
  <si>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</si>
  <si>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</si>
  <si>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</si>
  <si>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</si>
  <si>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</si>
  <si>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</si>
  <si>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</si>
  <si>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</si>
  <si>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</si>
  <si>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</si>
  <si>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</si>
  <si>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</si>
  <si>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</si>
  <si>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</si>
  <si>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</si>
  <si>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</si>
  <si>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</si>
  <si>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</si>
  <si>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</si>
  <si>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</si>
  <si>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</si>
  <si>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</si>
  <si>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</si>
  <si>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</si>
  <si>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</si>
  <si>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</si>
  <si>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</si>
  <si>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</si>
  <si>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</si>
  <si>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</si>
  <si>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</si>
  <si>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</si>
  <si>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</si>
  <si>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</si>
  <si>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</si>
  <si>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</si>
  <si>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</si>
  <si>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</si>
  <si>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</si>
  <si>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</si>
  <si>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</si>
  <si>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VirtExhATCtrlr.tiSimnTiStep_C</t>
  </si>
  <si>
    <t>VirtExhATSysMdl.tiSimnTiStep_C</t>
  </si>
  <si>
    <t>VirtExhATCtrlr.numHrznSize_CA</t>
  </si>
  <si>
    <t>VirtExhATSysMdl.numHrznSize_CA</t>
  </si>
  <si>
    <t>Horizon Array Calculation</t>
  </si>
  <si>
    <t>HrznAryCalcn</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</si>
  <si>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</si>
  <si>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</si>
  <si>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</si>
  <si>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</si>
  <si>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</si>
  <si>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</si>
  <si>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</si>
  <si>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</si>
  <si>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</si>
  <si>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</si>
  <si>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</si>
  <si>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</si>
  <si>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</si>
  <si>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</si>
  <si>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</si>
  <si>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</si>
  <si>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</si>
  <si>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</si>
  <si>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</si>
  <si>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</si>
  <si>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</si>
  <si>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</si>
  <si>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</si>
  <si>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</si>
  <si>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</si>
  <si>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</si>
  <si>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</si>
  <si>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</si>
  <si>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</si>
  <si>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</si>
  <si>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</si>
  <si>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</si>
  <si>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</si>
  <si>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</si>
  <si>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</si>
  <si>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</si>
  <si>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</si>
  <si>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</si>
  <si>
    <t>ECUmil</t>
  </si>
  <si>
    <t>ECU_swtAirCmpr_PHY</t>
  </si>
  <si>
    <t>ECU_pAirTank_PHY</t>
  </si>
  <si>
    <t>ECU_swtAirCmprOpertgMod_PHY</t>
  </si>
  <si>
    <t>ECU_stBattStOfChrg_PHY</t>
  </si>
  <si>
    <t>ECU_trqGenr_PHY</t>
  </si>
  <si>
    <t>ECU_nGenr_PHY</t>
  </si>
  <si>
    <t>ECU_tCooltSp_PHY</t>
  </si>
  <si>
    <t>ECU_tIntrTSp_PHY</t>
  </si>
  <si>
    <t>ECU_nCrksft_PHY</t>
  </si>
  <si>
    <t>ECU_trqEngTqOut_PHY</t>
  </si>
  <si>
    <t>ECU_pwrRqrdElecPwrConsumer_PHY</t>
  </si>
  <si>
    <t>ECU_pwrMotGenrSetPwr_PHY</t>
  </si>
  <si>
    <t>ECU_pwrMotGenrPwrMax_PHY</t>
  </si>
  <si>
    <t>ECU_pwrMotGenrPwrMin_PHY</t>
  </si>
  <si>
    <t>ECU_pwrBattPwrMaxAvl_PHY</t>
  </si>
  <si>
    <t>ECU_pwrBattPwrMinAvl_PHY</t>
  </si>
  <si>
    <t>ECU_vVehSpd_PHY</t>
  </si>
  <si>
    <t>ECU_lDstTrvld_PHY</t>
  </si>
  <si>
    <t>ECU_aVeh_PHY</t>
  </si>
  <si>
    <t>ECU_omegaWhlSpd_PHY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</si>
</sst>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1228725</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361950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647"/>
  <sheetViews>
    <sheetView tabSelected="1" zoomScale="70" zoomScaleNormal="70" zoomScalePageLayoutView="80" workbookViewId="0">
      <pane ySplit="2" topLeftCell="A3" activePane="bottomLeft" state="frozen"/>
      <selection pane="bottomLeft" activeCell="A470" sqref="A470"/>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3673</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2874</v>
      </c>
      <c r="B8" t="s">
        <v>2787</v>
      </c>
      <c r="C8" t="s">
        <v>2788</v>
      </c>
      <c r="D8" t="s">
        <v>2789</v>
      </c>
      <c r="E8" t="s">
        <v>2789</v>
      </c>
      <c r="F8" t="s">
        <v>35</v>
      </c>
      <c r="G8" t="s">
        <v>2786</v>
      </c>
      <c r="H8" s="8" t="s">
        <v>96</v>
      </c>
      <c r="J8" s="16" t="s">
        <v>2790</v>
      </c>
      <c r="K8" t="s">
        <v>14</v>
      </c>
      <c r="L8" t="s">
        <v>2659</v>
      </c>
      <c r="M8" s="17">
        <v>-21</v>
      </c>
      <c r="N8" s="17">
        <v>2147</v>
      </c>
      <c r="O8" s="17">
        <v>5.0480000000000002E-7</v>
      </c>
      <c r="P8" s="75">
        <v>4294967296</v>
      </c>
      <c r="Q8" t="s">
        <v>2660</v>
      </c>
      <c r="R8" t="s">
        <v>2660</v>
      </c>
    </row>
    <row r="9" spans="1:18" x14ac:dyDescent="0.25">
      <c r="A9" t="s">
        <v>2875</v>
      </c>
      <c r="B9" t="s">
        <v>2793</v>
      </c>
      <c r="C9" t="s">
        <v>2794</v>
      </c>
      <c r="D9" t="s">
        <v>2789</v>
      </c>
      <c r="E9" t="s">
        <v>2789</v>
      </c>
      <c r="F9" t="s">
        <v>35</v>
      </c>
      <c r="G9" t="s">
        <v>2756</v>
      </c>
      <c r="H9" s="8" t="s">
        <v>1679</v>
      </c>
      <c r="J9" s="16" t="s">
        <v>2795</v>
      </c>
      <c r="K9" t="s">
        <v>14</v>
      </c>
      <c r="L9" t="s">
        <v>2659</v>
      </c>
      <c r="M9" s="17">
        <v>-21</v>
      </c>
      <c r="N9" s="17">
        <v>2147</v>
      </c>
      <c r="O9" s="17">
        <v>5.0480000000000002E-7</v>
      </c>
      <c r="P9" s="75">
        <v>4294967296</v>
      </c>
      <c r="Q9" t="s">
        <v>2660</v>
      </c>
      <c r="R9" t="s">
        <v>2660</v>
      </c>
    </row>
    <row r="10" spans="1:18" x14ac:dyDescent="0.25">
      <c r="A10" t="s">
        <v>2876</v>
      </c>
      <c r="B10" t="s">
        <v>2804</v>
      </c>
      <c r="C10" t="s">
        <v>2805</v>
      </c>
      <c r="D10" t="s">
        <v>2789</v>
      </c>
      <c r="E10" t="s">
        <v>2789</v>
      </c>
      <c r="F10" t="s">
        <v>35</v>
      </c>
      <c r="G10" t="s">
        <v>2806</v>
      </c>
      <c r="H10" s="8" t="s">
        <v>66</v>
      </c>
      <c r="J10" s="16" t="s">
        <v>2807</v>
      </c>
      <c r="K10" t="s">
        <v>14</v>
      </c>
      <c r="L10" t="s">
        <v>2659</v>
      </c>
      <c r="M10" s="17">
        <v>-21</v>
      </c>
      <c r="N10" s="17">
        <v>2147</v>
      </c>
      <c r="O10" s="17">
        <v>5.0480000000000002E-7</v>
      </c>
      <c r="P10" s="75">
        <v>4294967296</v>
      </c>
      <c r="Q10" t="s">
        <v>2660</v>
      </c>
      <c r="R10" t="s">
        <v>2660</v>
      </c>
    </row>
    <row r="11" spans="1:18" x14ac:dyDescent="0.25">
      <c r="A11" t="s">
        <v>2877</v>
      </c>
      <c r="B11" t="s">
        <v>2808</v>
      </c>
      <c r="C11" t="s">
        <v>2809</v>
      </c>
      <c r="D11" t="s">
        <v>2789</v>
      </c>
      <c r="E11" t="s">
        <v>2789</v>
      </c>
      <c r="F11" t="s">
        <v>35</v>
      </c>
      <c r="G11" t="s">
        <v>2698</v>
      </c>
      <c r="H11" s="8" t="s">
        <v>113</v>
      </c>
      <c r="J11" s="16" t="s">
        <v>2810</v>
      </c>
      <c r="K11" t="s">
        <v>14</v>
      </c>
      <c r="L11" t="s">
        <v>2659</v>
      </c>
      <c r="M11" s="17">
        <v>-21</v>
      </c>
      <c r="N11" s="17">
        <v>200000000</v>
      </c>
      <c r="O11" s="17">
        <v>4.65661335999999E-2</v>
      </c>
      <c r="P11" s="75">
        <v>4294967296</v>
      </c>
      <c r="Q11" t="s">
        <v>2660</v>
      </c>
      <c r="R11" t="s">
        <v>2660</v>
      </c>
    </row>
    <row r="12" spans="1:18" x14ac:dyDescent="0.25">
      <c r="A12" t="s">
        <v>2878</v>
      </c>
      <c r="B12" t="s">
        <v>2813</v>
      </c>
      <c r="C12" t="s">
        <v>2814</v>
      </c>
      <c r="D12" t="s">
        <v>2789</v>
      </c>
      <c r="E12" t="s">
        <v>2789</v>
      </c>
      <c r="F12" t="s">
        <v>35</v>
      </c>
      <c r="G12" t="s">
        <v>2700</v>
      </c>
      <c r="H12" s="8" t="s">
        <v>79</v>
      </c>
      <c r="J12" s="16" t="s">
        <v>2815</v>
      </c>
      <c r="K12" t="s">
        <v>14</v>
      </c>
      <c r="L12" t="s">
        <v>2659</v>
      </c>
      <c r="M12" s="17">
        <v>-21</v>
      </c>
      <c r="N12" s="17">
        <v>200</v>
      </c>
      <c r="O12" s="17">
        <v>5.1499999999999899E-8</v>
      </c>
      <c r="P12" s="75">
        <v>4294967296</v>
      </c>
      <c r="Q12" t="s">
        <v>2660</v>
      </c>
      <c r="R12" t="s">
        <v>2660</v>
      </c>
    </row>
    <row r="13" spans="1:18" x14ac:dyDescent="0.25">
      <c r="A13" t="s">
        <v>2879</v>
      </c>
      <c r="B13" t="s">
        <v>2816</v>
      </c>
      <c r="C13" t="s">
        <v>2817</v>
      </c>
      <c r="D13" t="s">
        <v>2789</v>
      </c>
      <c r="E13" t="s">
        <v>2789</v>
      </c>
      <c r="F13" t="s">
        <v>35</v>
      </c>
      <c r="G13" t="s">
        <v>2785</v>
      </c>
      <c r="H13" s="8" t="s">
        <v>2599</v>
      </c>
      <c r="J13" s="16" t="s">
        <v>2818</v>
      </c>
      <c r="K13" t="s">
        <v>14</v>
      </c>
      <c r="L13" t="s">
        <v>2659</v>
      </c>
      <c r="M13" s="17">
        <v>-21</v>
      </c>
      <c r="N13" s="17">
        <v>2147487</v>
      </c>
      <c r="O13" s="17">
        <v>5.000057E-4</v>
      </c>
      <c r="P13" s="75">
        <v>4294967296</v>
      </c>
      <c r="Q13" t="s">
        <v>2660</v>
      </c>
      <c r="R13" t="s">
        <v>2660</v>
      </c>
    </row>
    <row r="14" spans="1:18" x14ac:dyDescent="0.25">
      <c r="A14" t="s">
        <v>2880</v>
      </c>
      <c r="B14" t="s">
        <v>2819</v>
      </c>
      <c r="C14" t="s">
        <v>2820</v>
      </c>
      <c r="D14" t="s">
        <v>2789</v>
      </c>
      <c r="E14" t="s">
        <v>2789</v>
      </c>
      <c r="F14" t="s">
        <v>35</v>
      </c>
      <c r="G14" t="s">
        <v>2786</v>
      </c>
      <c r="H14" s="8" t="s">
        <v>96</v>
      </c>
      <c r="J14" s="16" t="s">
        <v>2821</v>
      </c>
      <c r="K14" t="s">
        <v>14</v>
      </c>
      <c r="L14" t="s">
        <v>2659</v>
      </c>
      <c r="M14" s="17">
        <v>-50</v>
      </c>
      <c r="N14" s="17">
        <v>257</v>
      </c>
      <c r="O14" s="17">
        <v>4.6844482E-3</v>
      </c>
      <c r="P14" s="75">
        <v>65536</v>
      </c>
      <c r="Q14" t="s">
        <v>2660</v>
      </c>
      <c r="R14" t="s">
        <v>2660</v>
      </c>
    </row>
    <row r="15" spans="1:18" x14ac:dyDescent="0.25">
      <c r="A15" t="s">
        <v>2881</v>
      </c>
      <c r="B15" t="s">
        <v>359</v>
      </c>
      <c r="C15" t="s">
        <v>359</v>
      </c>
      <c r="D15" t="s">
        <v>2789</v>
      </c>
      <c r="E15" t="s">
        <v>2789</v>
      </c>
      <c r="F15" t="s">
        <v>35</v>
      </c>
      <c r="G15" t="s">
        <v>2756</v>
      </c>
      <c r="H15" s="8" t="s">
        <v>1679</v>
      </c>
      <c r="J15" s="16" t="s">
        <v>2822</v>
      </c>
      <c r="K15" t="s">
        <v>14</v>
      </c>
      <c r="L15" t="s">
        <v>2659</v>
      </c>
      <c r="M15" s="17">
        <v>-1</v>
      </c>
      <c r="N15" s="17">
        <v>12</v>
      </c>
      <c r="O15" s="17">
        <v>5.078125E-2</v>
      </c>
      <c r="P15" s="75">
        <v>256</v>
      </c>
      <c r="Q15" t="s">
        <v>2660</v>
      </c>
      <c r="R15" t="s">
        <v>2660</v>
      </c>
    </row>
    <row r="16" spans="1:18" x14ac:dyDescent="0.25">
      <c r="A16" t="s">
        <v>2882</v>
      </c>
      <c r="B16" t="s">
        <v>1343</v>
      </c>
      <c r="C16" t="s">
        <v>1344</v>
      </c>
      <c r="D16" t="s">
        <v>2789</v>
      </c>
      <c r="E16" t="s">
        <v>2789</v>
      </c>
      <c r="F16" t="s">
        <v>35</v>
      </c>
      <c r="G16" t="s">
        <v>2698</v>
      </c>
      <c r="H16" s="8" t="s">
        <v>113</v>
      </c>
      <c r="J16" s="16" t="s">
        <v>2823</v>
      </c>
      <c r="K16" t="s">
        <v>14</v>
      </c>
      <c r="L16" t="s">
        <v>2659</v>
      </c>
      <c r="M16" s="17">
        <v>-1</v>
      </c>
      <c r="N16" s="17">
        <v>15</v>
      </c>
      <c r="O16" s="17">
        <v>6.25E-2</v>
      </c>
      <c r="P16" s="75">
        <v>256</v>
      </c>
      <c r="Q16" t="s">
        <v>2660</v>
      </c>
      <c r="R16" t="s">
        <v>2660</v>
      </c>
    </row>
    <row r="17" spans="1:18" x14ac:dyDescent="0.25">
      <c r="A17" t="s">
        <v>2883</v>
      </c>
      <c r="B17" t="s">
        <v>2824</v>
      </c>
      <c r="C17" t="s">
        <v>2825</v>
      </c>
      <c r="D17" t="s">
        <v>2789</v>
      </c>
      <c r="E17" t="s">
        <v>2789</v>
      </c>
      <c r="F17" t="s">
        <v>35</v>
      </c>
      <c r="G17" t="s">
        <v>2786</v>
      </c>
      <c r="H17" s="8" t="s">
        <v>96</v>
      </c>
      <c r="J17" s="16" t="s">
        <v>2826</v>
      </c>
      <c r="K17" t="s">
        <v>14</v>
      </c>
      <c r="L17" t="s">
        <v>2659</v>
      </c>
      <c r="M17" s="17">
        <v>-21</v>
      </c>
      <c r="N17" s="17">
        <v>2000</v>
      </c>
      <c r="O17" s="17">
        <v>4.7059999999999899E-7</v>
      </c>
      <c r="P17" s="75">
        <v>4294967296</v>
      </c>
      <c r="Q17" t="s">
        <v>2660</v>
      </c>
      <c r="R17" t="s">
        <v>2660</v>
      </c>
    </row>
    <row r="18" spans="1:18" x14ac:dyDescent="0.25">
      <c r="A18" t="s">
        <v>2859</v>
      </c>
      <c r="B18" t="s">
        <v>2859</v>
      </c>
      <c r="C18" t="s">
        <v>2860</v>
      </c>
      <c r="D18" t="s">
        <v>2856</v>
      </c>
      <c r="E18" t="s">
        <v>2858</v>
      </c>
      <c r="F18" t="s">
        <v>35</v>
      </c>
      <c r="G18" t="s">
        <v>2657</v>
      </c>
      <c r="H18" s="8" t="s">
        <v>3053</v>
      </c>
      <c r="J18" s="16" t="s">
        <v>3216</v>
      </c>
      <c r="K18" t="s">
        <v>14</v>
      </c>
      <c r="L18" t="s">
        <v>2659</v>
      </c>
      <c r="M18" s="17">
        <v>-1000</v>
      </c>
      <c r="N18" s="17">
        <v>1000</v>
      </c>
      <c r="O18" s="17">
        <v>4.6569999999999999E-7</v>
      </c>
      <c r="P18" s="75">
        <v>4294967296</v>
      </c>
      <c r="Q18" t="s">
        <v>2660</v>
      </c>
      <c r="R18" t="s">
        <v>2660</v>
      </c>
    </row>
    <row r="19" spans="1:18" x14ac:dyDescent="0.25">
      <c r="A19" t="s">
        <v>2861</v>
      </c>
      <c r="B19" t="s">
        <v>2862</v>
      </c>
      <c r="C19" t="s">
        <v>2863</v>
      </c>
      <c r="D19" t="s">
        <v>2856</v>
      </c>
      <c r="E19" t="s">
        <v>2858</v>
      </c>
      <c r="F19" t="s">
        <v>35</v>
      </c>
      <c r="G19" t="s">
        <v>2864</v>
      </c>
      <c r="H19" s="8" t="s">
        <v>113</v>
      </c>
      <c r="J19" s="16" t="s">
        <v>3217</v>
      </c>
      <c r="K19" t="s">
        <v>14</v>
      </c>
      <c r="L19" t="s">
        <v>2659</v>
      </c>
      <c r="M19" s="17">
        <v>-2147483648</v>
      </c>
      <c r="N19" s="17">
        <v>2147483647</v>
      </c>
      <c r="O19" s="17">
        <v>1</v>
      </c>
      <c r="P19" s="75">
        <v>4294967296</v>
      </c>
      <c r="Q19" t="s">
        <v>2660</v>
      </c>
      <c r="R19" t="s">
        <v>2660</v>
      </c>
    </row>
    <row r="20" spans="1:18" x14ac:dyDescent="0.25">
      <c r="A20" t="s">
        <v>2865</v>
      </c>
      <c r="B20" t="s">
        <v>2865</v>
      </c>
      <c r="C20" t="s">
        <v>2866</v>
      </c>
      <c r="D20" t="s">
        <v>2856</v>
      </c>
      <c r="E20" t="s">
        <v>2858</v>
      </c>
      <c r="F20" t="s">
        <v>35</v>
      </c>
      <c r="G20" t="s">
        <v>2864</v>
      </c>
      <c r="H20" s="8" t="s">
        <v>113</v>
      </c>
      <c r="J20" s="16" t="s">
        <v>3218</v>
      </c>
      <c r="K20" t="s">
        <v>14</v>
      </c>
      <c r="L20" t="s">
        <v>2659</v>
      </c>
      <c r="M20" s="17">
        <v>-2147483648</v>
      </c>
      <c r="N20" s="17">
        <v>2147483647</v>
      </c>
      <c r="O20" s="17">
        <v>1</v>
      </c>
      <c r="P20" s="75">
        <v>4294967296</v>
      </c>
      <c r="Q20" t="s">
        <v>2660</v>
      </c>
      <c r="R20" t="s">
        <v>2660</v>
      </c>
    </row>
    <row r="21" spans="1:18" x14ac:dyDescent="0.25">
      <c r="A21" t="s">
        <v>2867</v>
      </c>
      <c r="B21" t="s">
        <v>2867</v>
      </c>
      <c r="C21" t="s">
        <v>2868</v>
      </c>
      <c r="D21" t="s">
        <v>2856</v>
      </c>
      <c r="E21" t="s">
        <v>2858</v>
      </c>
      <c r="F21" t="s">
        <v>35</v>
      </c>
      <c r="G21" t="s">
        <v>2806</v>
      </c>
      <c r="H21" s="8" t="s">
        <v>66</v>
      </c>
      <c r="J21" s="16" t="s">
        <v>3219</v>
      </c>
      <c r="K21" t="s">
        <v>14</v>
      </c>
      <c r="L21" t="s">
        <v>2659</v>
      </c>
      <c r="M21" s="17">
        <v>0</v>
      </c>
      <c r="N21" s="17">
        <v>1000000</v>
      </c>
      <c r="O21" s="17">
        <v>2.3283059999999999E-4</v>
      </c>
      <c r="P21" s="75">
        <v>4294967296</v>
      </c>
      <c r="Q21" t="s">
        <v>2660</v>
      </c>
      <c r="R21" t="s">
        <v>2660</v>
      </c>
    </row>
    <row r="22" spans="1:18" x14ac:dyDescent="0.25">
      <c r="A22" t="s">
        <v>2884</v>
      </c>
      <c r="B22" t="s">
        <v>2885</v>
      </c>
      <c r="C22" t="s">
        <v>2886</v>
      </c>
      <c r="D22" t="s">
        <v>2791</v>
      </c>
      <c r="E22" t="s">
        <v>2792</v>
      </c>
      <c r="F22" t="s">
        <v>35</v>
      </c>
      <c r="G22" t="s">
        <v>2701</v>
      </c>
      <c r="H22" s="8" t="s">
        <v>113</v>
      </c>
      <c r="J22" s="16" t="s">
        <v>3220</v>
      </c>
      <c r="K22" t="s">
        <v>14</v>
      </c>
      <c r="L22" t="s">
        <v>2659</v>
      </c>
      <c r="M22" s="17">
        <v>0</v>
      </c>
      <c r="N22" s="17">
        <v>1</v>
      </c>
      <c r="O22" s="17">
        <v>2.0000000000000001E-10</v>
      </c>
      <c r="P22" s="75">
        <v>4294967296</v>
      </c>
      <c r="Q22" t="s">
        <v>2660</v>
      </c>
      <c r="R22" t="s">
        <v>2660</v>
      </c>
    </row>
    <row r="23" spans="1:18" x14ac:dyDescent="0.25">
      <c r="A23" t="s">
        <v>2888</v>
      </c>
      <c r="B23" t="s">
        <v>2889</v>
      </c>
      <c r="C23" t="s">
        <v>2890</v>
      </c>
      <c r="D23" t="s">
        <v>2791</v>
      </c>
      <c r="E23" t="s">
        <v>2792</v>
      </c>
      <c r="F23" t="s">
        <v>35</v>
      </c>
      <c r="G23" t="s">
        <v>2701</v>
      </c>
      <c r="H23" s="8" t="s">
        <v>113</v>
      </c>
      <c r="J23" s="16" t="s">
        <v>3221</v>
      </c>
      <c r="K23" t="s">
        <v>14</v>
      </c>
      <c r="L23" t="s">
        <v>2659</v>
      </c>
      <c r="M23" s="17">
        <v>0</v>
      </c>
      <c r="N23" s="17">
        <v>1</v>
      </c>
      <c r="O23" s="17">
        <v>2.0000000000000001E-10</v>
      </c>
      <c r="P23" s="75">
        <v>4294967296</v>
      </c>
      <c r="Q23" t="s">
        <v>2660</v>
      </c>
      <c r="R23" t="s">
        <v>2660</v>
      </c>
    </row>
    <row r="24" spans="1:18" x14ac:dyDescent="0.25">
      <c r="A24" t="s">
        <v>2891</v>
      </c>
      <c r="B24" t="s">
        <v>2885</v>
      </c>
      <c r="C24" t="s">
        <v>2886</v>
      </c>
      <c r="D24" t="s">
        <v>2791</v>
      </c>
      <c r="E24" t="s">
        <v>2792</v>
      </c>
      <c r="F24" t="s">
        <v>35</v>
      </c>
      <c r="G24" t="s">
        <v>2892</v>
      </c>
      <c r="H24" s="8" t="s">
        <v>2893</v>
      </c>
      <c r="J24" s="16" t="s">
        <v>3222</v>
      </c>
      <c r="K24" t="s">
        <v>14</v>
      </c>
      <c r="L24" t="s">
        <v>2659</v>
      </c>
      <c r="M24" s="17">
        <v>-100</v>
      </c>
      <c r="N24" s="17">
        <v>5000</v>
      </c>
      <c r="O24" s="17">
        <v>7.7819824199999998E-2</v>
      </c>
      <c r="P24" s="75">
        <v>65536</v>
      </c>
      <c r="Q24" t="s">
        <v>2660</v>
      </c>
      <c r="R24" t="s">
        <v>2660</v>
      </c>
    </row>
    <row r="25" spans="1:18" x14ac:dyDescent="0.25">
      <c r="A25" t="s">
        <v>2894</v>
      </c>
      <c r="B25" t="s">
        <v>2889</v>
      </c>
      <c r="C25" t="s">
        <v>2890</v>
      </c>
      <c r="D25" t="s">
        <v>2791</v>
      </c>
      <c r="E25" t="s">
        <v>2792</v>
      </c>
      <c r="F25" t="s">
        <v>35</v>
      </c>
      <c r="G25" t="s">
        <v>2892</v>
      </c>
      <c r="H25" s="8" t="s">
        <v>2893</v>
      </c>
      <c r="J25" s="16" t="s">
        <v>3223</v>
      </c>
      <c r="K25" t="s">
        <v>14</v>
      </c>
      <c r="L25" t="s">
        <v>2659</v>
      </c>
      <c r="M25" s="17">
        <v>-100</v>
      </c>
      <c r="N25" s="17">
        <v>5000</v>
      </c>
      <c r="O25" s="17">
        <v>7.7819824199999998E-2</v>
      </c>
      <c r="P25" s="75">
        <v>65536</v>
      </c>
      <c r="Q25" t="s">
        <v>2660</v>
      </c>
      <c r="R25" t="s">
        <v>2660</v>
      </c>
    </row>
    <row r="26" spans="1:18" x14ac:dyDescent="0.25">
      <c r="A26" t="s">
        <v>2895</v>
      </c>
      <c r="B26" t="s">
        <v>2896</v>
      </c>
      <c r="C26" t="s">
        <v>2897</v>
      </c>
      <c r="D26" t="s">
        <v>2791</v>
      </c>
      <c r="E26" t="s">
        <v>2792</v>
      </c>
      <c r="F26" t="s">
        <v>35</v>
      </c>
      <c r="G26" t="s">
        <v>2786</v>
      </c>
      <c r="H26" s="8" t="s">
        <v>96</v>
      </c>
      <c r="J26" s="16" t="s">
        <v>2898</v>
      </c>
      <c r="K26" t="s">
        <v>14</v>
      </c>
      <c r="L26" t="s">
        <v>2659</v>
      </c>
      <c r="M26" s="17">
        <v>-100</v>
      </c>
      <c r="N26" s="17">
        <v>1000</v>
      </c>
      <c r="O26" s="17">
        <v>1.6784667999999999E-2</v>
      </c>
      <c r="P26" s="75">
        <v>65536</v>
      </c>
      <c r="Q26" t="s">
        <v>2660</v>
      </c>
      <c r="R26" t="s">
        <v>2660</v>
      </c>
    </row>
    <row r="27" spans="1:18" x14ac:dyDescent="0.25">
      <c r="A27" t="s">
        <v>2899</v>
      </c>
      <c r="B27" t="s">
        <v>2900</v>
      </c>
      <c r="C27" t="s">
        <v>2901</v>
      </c>
      <c r="D27" t="s">
        <v>2791</v>
      </c>
      <c r="E27" t="s">
        <v>2792</v>
      </c>
      <c r="F27" t="s">
        <v>35</v>
      </c>
      <c r="G27" t="s">
        <v>2786</v>
      </c>
      <c r="H27" s="8" t="s">
        <v>96</v>
      </c>
      <c r="J27" s="16" t="s">
        <v>2902</v>
      </c>
      <c r="K27" t="s">
        <v>14</v>
      </c>
      <c r="L27" t="s">
        <v>2659</v>
      </c>
      <c r="M27" s="17">
        <v>-100</v>
      </c>
      <c r="N27" s="17">
        <v>1000</v>
      </c>
      <c r="O27" s="17">
        <v>1.6784667999999999E-2</v>
      </c>
      <c r="P27" s="75">
        <v>65536</v>
      </c>
      <c r="Q27" t="s">
        <v>2660</v>
      </c>
      <c r="R27" t="s">
        <v>2660</v>
      </c>
    </row>
    <row r="28" spans="1:18" x14ac:dyDescent="0.25">
      <c r="A28" t="s">
        <v>2903</v>
      </c>
      <c r="B28" t="s">
        <v>2904</v>
      </c>
      <c r="C28" t="s">
        <v>2905</v>
      </c>
      <c r="D28" t="s">
        <v>2791</v>
      </c>
      <c r="E28" t="s">
        <v>2792</v>
      </c>
      <c r="F28" t="s">
        <v>35</v>
      </c>
      <c r="G28" t="s">
        <v>2786</v>
      </c>
      <c r="H28" s="8" t="s">
        <v>96</v>
      </c>
      <c r="J28" s="16" t="s">
        <v>2906</v>
      </c>
      <c r="K28" t="s">
        <v>14</v>
      </c>
      <c r="L28" t="s">
        <v>2659</v>
      </c>
      <c r="M28" s="17">
        <v>-100</v>
      </c>
      <c r="N28" s="17">
        <v>1000</v>
      </c>
      <c r="O28" s="17">
        <v>1.6784667999999999E-2</v>
      </c>
      <c r="P28" s="75">
        <v>65536</v>
      </c>
      <c r="Q28" t="s">
        <v>2660</v>
      </c>
      <c r="R28" t="s">
        <v>2660</v>
      </c>
    </row>
    <row r="29" spans="1:18" x14ac:dyDescent="0.25">
      <c r="A29" t="s">
        <v>2907</v>
      </c>
      <c r="B29" t="s">
        <v>2908</v>
      </c>
      <c r="C29" t="s">
        <v>2909</v>
      </c>
      <c r="D29" t="s">
        <v>2791</v>
      </c>
      <c r="E29" t="s">
        <v>2792</v>
      </c>
      <c r="F29" t="s">
        <v>35</v>
      </c>
      <c r="G29" t="s">
        <v>2756</v>
      </c>
      <c r="H29" s="8" t="s">
        <v>1679</v>
      </c>
      <c r="J29" s="16" t="s">
        <v>3224</v>
      </c>
      <c r="K29" t="s">
        <v>14</v>
      </c>
      <c r="L29" t="s">
        <v>2659</v>
      </c>
      <c r="M29" s="17">
        <v>0</v>
      </c>
      <c r="N29" s="17">
        <v>500000</v>
      </c>
      <c r="O29" s="17">
        <v>1.164153E-4</v>
      </c>
      <c r="P29" s="75">
        <v>4294967296</v>
      </c>
      <c r="Q29" t="s">
        <v>2660</v>
      </c>
      <c r="R29" t="s">
        <v>2660</v>
      </c>
    </row>
    <row r="30" spans="1:18" x14ac:dyDescent="0.25">
      <c r="A30" t="s">
        <v>2910</v>
      </c>
      <c r="B30" t="s">
        <v>2911</v>
      </c>
      <c r="C30" t="s">
        <v>2912</v>
      </c>
      <c r="D30" t="s">
        <v>2791</v>
      </c>
      <c r="E30" t="s">
        <v>2792</v>
      </c>
      <c r="F30" t="s">
        <v>35</v>
      </c>
      <c r="G30" t="s">
        <v>2786</v>
      </c>
      <c r="H30" s="8" t="s">
        <v>96</v>
      </c>
      <c r="J30" s="16" t="s">
        <v>2913</v>
      </c>
      <c r="K30" t="s">
        <v>14</v>
      </c>
      <c r="L30" t="s">
        <v>2659</v>
      </c>
      <c r="M30" s="17">
        <v>-100</v>
      </c>
      <c r="N30" s="17">
        <v>1000</v>
      </c>
      <c r="O30" s="17">
        <v>1.6784667999999999E-2</v>
      </c>
      <c r="P30" s="75">
        <v>65536</v>
      </c>
      <c r="Q30" t="s">
        <v>2660</v>
      </c>
      <c r="R30" t="s">
        <v>2660</v>
      </c>
    </row>
    <row r="31" spans="1:18" x14ac:dyDescent="0.25">
      <c r="A31" t="s">
        <v>2935</v>
      </c>
      <c r="B31" t="s">
        <v>2475</v>
      </c>
      <c r="C31" t="s">
        <v>2476</v>
      </c>
      <c r="D31" t="s">
        <v>2696</v>
      </c>
      <c r="E31" t="s">
        <v>2697</v>
      </c>
      <c r="F31" t="s">
        <v>35</v>
      </c>
      <c r="G31" t="s">
        <v>2701</v>
      </c>
      <c r="H31" s="8" t="s">
        <v>113</v>
      </c>
      <c r="J31" s="16" t="s">
        <v>2936</v>
      </c>
      <c r="K31" t="s">
        <v>14</v>
      </c>
      <c r="L31" t="s">
        <v>2659</v>
      </c>
      <c r="M31" s="17">
        <v>0</v>
      </c>
      <c r="N31" s="17">
        <v>100</v>
      </c>
      <c r="O31" s="17">
        <v>2.33E-8</v>
      </c>
      <c r="P31" s="75">
        <v>4294967296</v>
      </c>
      <c r="Q31" t="s">
        <v>2660</v>
      </c>
      <c r="R31" t="s">
        <v>2660</v>
      </c>
    </row>
    <row r="32" spans="1:18" x14ac:dyDescent="0.25">
      <c r="A32" t="s">
        <v>2994</v>
      </c>
      <c r="B32" t="s">
        <v>2938</v>
      </c>
      <c r="C32" t="s">
        <v>2939</v>
      </c>
      <c r="D32" t="s">
        <v>2696</v>
      </c>
      <c r="E32" t="s">
        <v>2697</v>
      </c>
      <c r="F32" t="s">
        <v>35</v>
      </c>
      <c r="G32" t="s">
        <v>2698</v>
      </c>
      <c r="H32" s="8" t="s">
        <v>113</v>
      </c>
      <c r="J32" s="16" t="s">
        <v>2940</v>
      </c>
      <c r="K32" t="s">
        <v>14</v>
      </c>
      <c r="L32" t="s">
        <v>2659</v>
      </c>
      <c r="M32" s="17">
        <v>-100</v>
      </c>
      <c r="N32" s="17">
        <v>100</v>
      </c>
      <c r="O32" s="17">
        <v>4.66E-8</v>
      </c>
      <c r="P32" s="75">
        <v>4294967296</v>
      </c>
      <c r="Q32" t="s">
        <v>2660</v>
      </c>
      <c r="R32" t="s">
        <v>2660</v>
      </c>
    </row>
    <row r="33" spans="1:18" x14ac:dyDescent="0.25">
      <c r="A33" t="s">
        <v>2995</v>
      </c>
      <c r="B33" t="s">
        <v>2941</v>
      </c>
      <c r="C33" t="s">
        <v>2942</v>
      </c>
      <c r="D33" t="s">
        <v>2696</v>
      </c>
      <c r="E33" t="s">
        <v>2697</v>
      </c>
      <c r="F33" t="s">
        <v>35</v>
      </c>
      <c r="G33" t="s">
        <v>2698</v>
      </c>
      <c r="H33" s="8" t="s">
        <v>113</v>
      </c>
      <c r="J33" s="16" t="s">
        <v>2943</v>
      </c>
      <c r="K33" t="s">
        <v>14</v>
      </c>
      <c r="L33" t="s">
        <v>2659</v>
      </c>
      <c r="M33" s="17">
        <v>0</v>
      </c>
      <c r="N33" s="17">
        <v>100</v>
      </c>
      <c r="O33" s="17">
        <v>2.33E-8</v>
      </c>
      <c r="P33" s="75">
        <v>4294967296</v>
      </c>
      <c r="Q33" t="s">
        <v>2660</v>
      </c>
      <c r="R33" t="s">
        <v>2660</v>
      </c>
    </row>
    <row r="34" spans="1:18" x14ac:dyDescent="0.25">
      <c r="A34" t="s">
        <v>2996</v>
      </c>
      <c r="B34" t="s">
        <v>1070</v>
      </c>
      <c r="C34" t="s">
        <v>1070</v>
      </c>
      <c r="D34" t="s">
        <v>2696</v>
      </c>
      <c r="E34" t="s">
        <v>2697</v>
      </c>
      <c r="F34" t="s">
        <v>35</v>
      </c>
      <c r="G34" t="s">
        <v>2698</v>
      </c>
      <c r="H34" s="8" t="s">
        <v>113</v>
      </c>
      <c r="J34" s="16" t="s">
        <v>2944</v>
      </c>
      <c r="K34" t="s">
        <v>14</v>
      </c>
      <c r="L34" t="s">
        <v>2659</v>
      </c>
      <c r="M34" s="17">
        <v>0</v>
      </c>
      <c r="N34" s="17">
        <v>100</v>
      </c>
      <c r="O34" s="17">
        <v>2.33E-8</v>
      </c>
      <c r="P34" s="75">
        <v>4294967296</v>
      </c>
      <c r="Q34" t="s">
        <v>2660</v>
      </c>
      <c r="R34" t="s">
        <v>2660</v>
      </c>
    </row>
    <row r="35" spans="1:18" x14ac:dyDescent="0.25">
      <c r="A35" t="s">
        <v>2997</v>
      </c>
      <c r="B35" t="s">
        <v>2945</v>
      </c>
      <c r="C35" t="s">
        <v>2946</v>
      </c>
      <c r="D35" t="s">
        <v>2696</v>
      </c>
      <c r="E35" t="s">
        <v>2697</v>
      </c>
      <c r="F35" t="s">
        <v>35</v>
      </c>
      <c r="G35" t="s">
        <v>2700</v>
      </c>
      <c r="H35" s="8" t="s">
        <v>79</v>
      </c>
      <c r="J35" s="16" t="s">
        <v>3225</v>
      </c>
      <c r="K35" t="s">
        <v>14</v>
      </c>
      <c r="L35" t="s">
        <v>2659</v>
      </c>
      <c r="M35" s="17">
        <v>0</v>
      </c>
      <c r="N35" s="17">
        <v>150</v>
      </c>
      <c r="O35" s="17">
        <v>3.4900000000000001E-8</v>
      </c>
      <c r="P35" s="75">
        <v>4294967296</v>
      </c>
      <c r="Q35" t="s">
        <v>2660</v>
      </c>
      <c r="R35" t="s">
        <v>2660</v>
      </c>
    </row>
    <row r="36" spans="1:18" x14ac:dyDescent="0.25">
      <c r="A36" t="s">
        <v>2998</v>
      </c>
      <c r="B36" t="s">
        <v>2947</v>
      </c>
      <c r="C36" t="s">
        <v>2948</v>
      </c>
      <c r="D36" t="s">
        <v>2696</v>
      </c>
      <c r="E36" t="s">
        <v>2697</v>
      </c>
      <c r="F36" t="s">
        <v>35</v>
      </c>
      <c r="G36" t="s">
        <v>2702</v>
      </c>
      <c r="H36" s="8" t="s">
        <v>71</v>
      </c>
      <c r="J36" s="16" t="s">
        <v>3226</v>
      </c>
      <c r="K36" t="s">
        <v>14</v>
      </c>
      <c r="L36" t="s">
        <v>2659</v>
      </c>
      <c r="M36" s="17">
        <v>0</v>
      </c>
      <c r="N36" s="17">
        <v>10000</v>
      </c>
      <c r="O36" s="17">
        <v>2.3282999999999998E-6</v>
      </c>
      <c r="P36" s="75">
        <v>4294967296</v>
      </c>
      <c r="Q36" t="s">
        <v>2660</v>
      </c>
      <c r="R36" t="s">
        <v>2660</v>
      </c>
    </row>
    <row r="37" spans="1:18" x14ac:dyDescent="0.25">
      <c r="A37" t="s">
        <v>2999</v>
      </c>
      <c r="B37" t="s">
        <v>2949</v>
      </c>
      <c r="C37" t="s">
        <v>2950</v>
      </c>
      <c r="D37" t="s">
        <v>2696</v>
      </c>
      <c r="E37" t="s">
        <v>2697</v>
      </c>
      <c r="F37" t="s">
        <v>35</v>
      </c>
      <c r="G37" t="s">
        <v>2698</v>
      </c>
      <c r="H37" s="8" t="s">
        <v>113</v>
      </c>
      <c r="J37" s="16" t="s">
        <v>3227</v>
      </c>
      <c r="K37" t="s">
        <v>14</v>
      </c>
      <c r="L37" t="s">
        <v>2659</v>
      </c>
      <c r="M37" s="17">
        <v>0</v>
      </c>
      <c r="N37" s="17">
        <v>100</v>
      </c>
      <c r="O37" s="17">
        <v>2.33E-8</v>
      </c>
      <c r="P37" s="75">
        <v>4294967296</v>
      </c>
      <c r="Q37" t="s">
        <v>2660</v>
      </c>
      <c r="R37" t="s">
        <v>2660</v>
      </c>
    </row>
    <row r="38" spans="1:18" x14ac:dyDescent="0.25">
      <c r="A38" t="s">
        <v>3000</v>
      </c>
      <c r="B38" t="s">
        <v>2951</v>
      </c>
      <c r="C38" t="s">
        <v>2952</v>
      </c>
      <c r="D38" t="s">
        <v>2696</v>
      </c>
      <c r="E38" t="s">
        <v>2697</v>
      </c>
      <c r="F38" t="s">
        <v>35</v>
      </c>
      <c r="G38" t="s">
        <v>2700</v>
      </c>
      <c r="H38" s="8" t="s">
        <v>79</v>
      </c>
      <c r="J38" s="16" t="s">
        <v>2953</v>
      </c>
      <c r="K38" t="s">
        <v>14</v>
      </c>
      <c r="L38" t="s">
        <v>2659</v>
      </c>
      <c r="M38" s="17">
        <v>0</v>
      </c>
      <c r="N38" s="17">
        <v>150</v>
      </c>
      <c r="O38" s="17">
        <v>3.4900000000000001E-8</v>
      </c>
      <c r="P38" s="75">
        <v>4294967296</v>
      </c>
      <c r="Q38" t="s">
        <v>2660</v>
      </c>
      <c r="R38" t="s">
        <v>2660</v>
      </c>
    </row>
    <row r="39" spans="1:18" x14ac:dyDescent="0.25">
      <c r="A39" t="s">
        <v>3001</v>
      </c>
      <c r="B39" t="s">
        <v>2954</v>
      </c>
      <c r="C39" t="s">
        <v>2955</v>
      </c>
      <c r="D39" t="s">
        <v>2696</v>
      </c>
      <c r="E39" t="s">
        <v>2697</v>
      </c>
      <c r="F39" t="s">
        <v>35</v>
      </c>
      <c r="G39" t="s">
        <v>2701</v>
      </c>
      <c r="H39" s="8" t="s">
        <v>113</v>
      </c>
      <c r="J39" s="16" t="s">
        <v>2956</v>
      </c>
      <c r="K39" t="s">
        <v>14</v>
      </c>
      <c r="L39" t="s">
        <v>2659</v>
      </c>
      <c r="M39" s="17">
        <v>0</v>
      </c>
      <c r="N39" s="17">
        <v>100</v>
      </c>
      <c r="O39" s="17">
        <v>2.33E-8</v>
      </c>
      <c r="P39" s="75">
        <v>4294967296</v>
      </c>
      <c r="Q39" t="s">
        <v>2660</v>
      </c>
      <c r="R39" t="s">
        <v>2660</v>
      </c>
    </row>
    <row r="40" spans="1:18" x14ac:dyDescent="0.25">
      <c r="A40" t="s">
        <v>3002</v>
      </c>
      <c r="B40" t="s">
        <v>500</v>
      </c>
      <c r="C40" t="s">
        <v>501</v>
      </c>
      <c r="D40" t="s">
        <v>2696</v>
      </c>
      <c r="E40" t="s">
        <v>2697</v>
      </c>
      <c r="F40" t="s">
        <v>35</v>
      </c>
      <c r="G40" t="s">
        <v>2701</v>
      </c>
      <c r="H40" s="8" t="s">
        <v>113</v>
      </c>
      <c r="J40" s="16" t="s">
        <v>2703</v>
      </c>
      <c r="K40" t="s">
        <v>14</v>
      </c>
      <c r="L40" t="s">
        <v>2659</v>
      </c>
      <c r="M40" s="17">
        <v>0</v>
      </c>
      <c r="N40" s="17">
        <v>100</v>
      </c>
      <c r="O40" s="17">
        <v>2.33E-8</v>
      </c>
      <c r="P40" s="75">
        <v>4294967296</v>
      </c>
      <c r="Q40" t="s">
        <v>2660</v>
      </c>
      <c r="R40" t="s">
        <v>2660</v>
      </c>
    </row>
    <row r="41" spans="1:18" x14ac:dyDescent="0.25">
      <c r="A41" t="s">
        <v>3003</v>
      </c>
      <c r="B41" t="s">
        <v>2957</v>
      </c>
      <c r="C41" t="s">
        <v>2958</v>
      </c>
      <c r="D41" t="s">
        <v>2696</v>
      </c>
      <c r="E41" t="s">
        <v>2697</v>
      </c>
      <c r="F41" t="s">
        <v>35</v>
      </c>
      <c r="G41" t="s">
        <v>2701</v>
      </c>
      <c r="H41" s="8" t="s">
        <v>113</v>
      </c>
      <c r="J41" s="16" t="s">
        <v>2959</v>
      </c>
      <c r="K41" t="s">
        <v>14</v>
      </c>
      <c r="L41" t="s">
        <v>2659</v>
      </c>
      <c r="M41" s="17">
        <v>0</v>
      </c>
      <c r="N41" s="17">
        <v>100</v>
      </c>
      <c r="O41" s="17">
        <v>2.33E-8</v>
      </c>
      <c r="P41" s="75">
        <v>4294967296</v>
      </c>
      <c r="Q41" t="s">
        <v>2660</v>
      </c>
      <c r="R41" t="s">
        <v>2660</v>
      </c>
    </row>
    <row r="42" spans="1:18" x14ac:dyDescent="0.25">
      <c r="A42" t="s">
        <v>3004</v>
      </c>
      <c r="B42" t="s">
        <v>2960</v>
      </c>
      <c r="C42" t="s">
        <v>2961</v>
      </c>
      <c r="D42" t="s">
        <v>2696</v>
      </c>
      <c r="E42" t="s">
        <v>2697</v>
      </c>
      <c r="F42" t="s">
        <v>35</v>
      </c>
      <c r="G42" t="s">
        <v>2686</v>
      </c>
      <c r="H42" s="8" t="s">
        <v>100</v>
      </c>
      <c r="J42" s="16" t="s">
        <v>2962</v>
      </c>
      <c r="K42" t="s">
        <v>14</v>
      </c>
      <c r="L42" t="s">
        <v>2659</v>
      </c>
      <c r="M42" s="17">
        <v>-10000</v>
      </c>
      <c r="N42" s="17">
        <v>10000</v>
      </c>
      <c r="O42" s="17">
        <v>4.6565999999999996E-6</v>
      </c>
      <c r="P42" s="75">
        <v>4294967296</v>
      </c>
      <c r="Q42" t="s">
        <v>2660</v>
      </c>
      <c r="R42" t="s">
        <v>2660</v>
      </c>
    </row>
    <row r="43" spans="1:18" x14ac:dyDescent="0.25">
      <c r="A43" t="s">
        <v>3005</v>
      </c>
      <c r="B43" t="s">
        <v>500</v>
      </c>
      <c r="C43" t="s">
        <v>501</v>
      </c>
      <c r="D43" t="s">
        <v>2706</v>
      </c>
      <c r="E43" t="s">
        <v>2706</v>
      </c>
      <c r="F43" t="s">
        <v>35</v>
      </c>
      <c r="G43" t="s">
        <v>2686</v>
      </c>
      <c r="H43" s="8" t="s">
        <v>100</v>
      </c>
      <c r="J43" s="16" t="s">
        <v>2963</v>
      </c>
      <c r="K43" t="s">
        <v>14</v>
      </c>
      <c r="L43" t="s">
        <v>2659</v>
      </c>
      <c r="M43" s="17">
        <v>-1000000</v>
      </c>
      <c r="N43" s="17">
        <v>1000000</v>
      </c>
      <c r="O43" s="17">
        <v>4.6566130000000002E-4</v>
      </c>
      <c r="P43" s="75">
        <v>4294967296</v>
      </c>
      <c r="Q43" t="s">
        <v>2660</v>
      </c>
      <c r="R43" t="s">
        <v>2660</v>
      </c>
    </row>
    <row r="44" spans="1:18" x14ac:dyDescent="0.25">
      <c r="A44" t="s">
        <v>3006</v>
      </c>
      <c r="B44" t="s">
        <v>640</v>
      </c>
      <c r="C44" t="s">
        <v>641</v>
      </c>
      <c r="D44" t="s">
        <v>2706</v>
      </c>
      <c r="E44" t="s">
        <v>2706</v>
      </c>
      <c r="F44" t="s">
        <v>35</v>
      </c>
      <c r="G44" t="s">
        <v>2702</v>
      </c>
      <c r="H44" s="8" t="s">
        <v>71</v>
      </c>
      <c r="J44" s="16" t="s">
        <v>2710</v>
      </c>
      <c r="K44" t="s">
        <v>14</v>
      </c>
      <c r="L44" t="s">
        <v>2659</v>
      </c>
      <c r="M44" s="17">
        <v>-1000000</v>
      </c>
      <c r="N44" s="17">
        <v>1000000</v>
      </c>
      <c r="O44" s="17">
        <v>4.6566130000000002E-4</v>
      </c>
      <c r="P44" s="75">
        <v>4294967296</v>
      </c>
      <c r="Q44" t="s">
        <v>2660</v>
      </c>
      <c r="R44" t="s">
        <v>2660</v>
      </c>
    </row>
    <row r="45" spans="1:18" x14ac:dyDescent="0.25">
      <c r="A45" t="s">
        <v>3007</v>
      </c>
      <c r="B45" t="s">
        <v>2707</v>
      </c>
      <c r="C45" t="s">
        <v>2708</v>
      </c>
      <c r="D45" t="s">
        <v>2706</v>
      </c>
      <c r="E45" t="s">
        <v>2706</v>
      </c>
      <c r="F45" t="s">
        <v>35</v>
      </c>
      <c r="G45" t="s">
        <v>2686</v>
      </c>
      <c r="H45" s="8" t="s">
        <v>100</v>
      </c>
      <c r="J45" s="16" t="s">
        <v>2709</v>
      </c>
      <c r="K45" t="s">
        <v>14</v>
      </c>
      <c r="L45" t="s">
        <v>2659</v>
      </c>
      <c r="M45" s="17">
        <v>-1000000</v>
      </c>
      <c r="N45" s="17">
        <v>1000000</v>
      </c>
      <c r="O45" s="17">
        <v>4.6566130000000002E-4</v>
      </c>
      <c r="P45" s="75">
        <v>4294967296</v>
      </c>
      <c r="Q45" t="s">
        <v>2660</v>
      </c>
      <c r="R45" t="s">
        <v>2660</v>
      </c>
    </row>
    <row r="46" spans="1:18" x14ac:dyDescent="0.25">
      <c r="A46" t="s">
        <v>3008</v>
      </c>
      <c r="B46" t="s">
        <v>2712</v>
      </c>
      <c r="C46" t="s">
        <v>2713</v>
      </c>
      <c r="D46" t="s">
        <v>2706</v>
      </c>
      <c r="E46" t="s">
        <v>2706</v>
      </c>
      <c r="F46" t="s">
        <v>35</v>
      </c>
      <c r="G46" t="s">
        <v>2686</v>
      </c>
      <c r="H46" s="8" t="s">
        <v>100</v>
      </c>
      <c r="J46" s="16" t="s">
        <v>2964</v>
      </c>
      <c r="K46" t="s">
        <v>14</v>
      </c>
      <c r="L46" t="s">
        <v>2659</v>
      </c>
      <c r="M46" s="17">
        <v>-1000000</v>
      </c>
      <c r="N46" s="17">
        <v>1000000</v>
      </c>
      <c r="O46" s="17">
        <v>4.6566130000000002E-4</v>
      </c>
      <c r="P46" s="75">
        <v>4294967296</v>
      </c>
      <c r="Q46" t="s">
        <v>2660</v>
      </c>
      <c r="R46" t="s">
        <v>2660</v>
      </c>
    </row>
    <row r="47" spans="1:18" x14ac:dyDescent="0.25">
      <c r="A47" t="s">
        <v>3009</v>
      </c>
      <c r="B47" t="s">
        <v>2965</v>
      </c>
      <c r="C47" t="s">
        <v>2966</v>
      </c>
      <c r="D47" t="s">
        <v>2706</v>
      </c>
      <c r="E47" t="s">
        <v>2706</v>
      </c>
      <c r="F47" t="s">
        <v>35</v>
      </c>
      <c r="G47" t="s">
        <v>2686</v>
      </c>
      <c r="H47" s="8" t="s">
        <v>100</v>
      </c>
      <c r="J47" s="16" t="s">
        <v>2967</v>
      </c>
      <c r="K47" t="s">
        <v>14</v>
      </c>
      <c r="L47" t="s">
        <v>2659</v>
      </c>
      <c r="M47" s="17">
        <v>-1000000</v>
      </c>
      <c r="N47" s="17">
        <v>1000000</v>
      </c>
      <c r="O47" s="17">
        <v>4.6566130000000002E-4</v>
      </c>
      <c r="P47" s="75">
        <v>4294967296</v>
      </c>
      <c r="Q47" t="s">
        <v>2660</v>
      </c>
      <c r="R47" t="s">
        <v>2660</v>
      </c>
    </row>
    <row r="48" spans="1:18" x14ac:dyDescent="0.25">
      <c r="A48" t="s">
        <v>3010</v>
      </c>
      <c r="B48" t="s">
        <v>2704</v>
      </c>
      <c r="C48" t="s">
        <v>2705</v>
      </c>
      <c r="D48" t="s">
        <v>2706</v>
      </c>
      <c r="E48" t="s">
        <v>2706</v>
      </c>
      <c r="F48" t="s">
        <v>35</v>
      </c>
      <c r="G48" t="s">
        <v>2701</v>
      </c>
      <c r="H48" s="8" t="s">
        <v>113</v>
      </c>
      <c r="J48" s="16" t="s">
        <v>2968</v>
      </c>
      <c r="K48" t="s">
        <v>14</v>
      </c>
      <c r="L48" t="s">
        <v>2659</v>
      </c>
      <c r="M48" s="17">
        <v>-1000000</v>
      </c>
      <c r="N48" s="17">
        <v>1000000</v>
      </c>
      <c r="O48" s="17">
        <v>4.6566130000000002E-4</v>
      </c>
      <c r="P48" s="75">
        <v>4294967296</v>
      </c>
      <c r="Q48" t="s">
        <v>2660</v>
      </c>
      <c r="R48" t="s">
        <v>2660</v>
      </c>
    </row>
    <row r="49" spans="1:18" x14ac:dyDescent="0.25">
      <c r="A49" t="s">
        <v>3011</v>
      </c>
      <c r="B49" t="s">
        <v>2969</v>
      </c>
      <c r="C49" t="s">
        <v>2970</v>
      </c>
      <c r="D49" t="s">
        <v>2706</v>
      </c>
      <c r="E49" t="s">
        <v>2706</v>
      </c>
      <c r="F49" t="s">
        <v>35</v>
      </c>
      <c r="G49" t="s">
        <v>2702</v>
      </c>
      <c r="H49" s="8" t="s">
        <v>71</v>
      </c>
      <c r="J49" s="16" t="s">
        <v>2971</v>
      </c>
      <c r="K49" t="s">
        <v>14</v>
      </c>
      <c r="L49" t="s">
        <v>2659</v>
      </c>
      <c r="M49" s="17">
        <v>-1000000</v>
      </c>
      <c r="N49" s="17">
        <v>1000000</v>
      </c>
      <c r="O49" s="17">
        <v>4.6566130000000002E-4</v>
      </c>
      <c r="P49" s="75">
        <v>4294967296</v>
      </c>
      <c r="Q49" t="s">
        <v>2660</v>
      </c>
      <c r="R49" t="s">
        <v>2660</v>
      </c>
    </row>
    <row r="50" spans="1:18" x14ac:dyDescent="0.25">
      <c r="A50" t="s">
        <v>3012</v>
      </c>
      <c r="B50" t="s">
        <v>2969</v>
      </c>
      <c r="C50" t="s">
        <v>2970</v>
      </c>
      <c r="D50" t="s">
        <v>2706</v>
      </c>
      <c r="E50" t="s">
        <v>2706</v>
      </c>
      <c r="F50" t="s">
        <v>35</v>
      </c>
      <c r="G50" t="s">
        <v>2686</v>
      </c>
      <c r="H50" s="8" t="s">
        <v>100</v>
      </c>
      <c r="J50" s="16" t="s">
        <v>2972</v>
      </c>
      <c r="K50" t="s">
        <v>14</v>
      </c>
      <c r="L50" t="s">
        <v>2659</v>
      </c>
      <c r="M50" s="17">
        <v>-1000000</v>
      </c>
      <c r="N50" s="17">
        <v>1000000</v>
      </c>
      <c r="O50" s="17">
        <v>4.6566130000000002E-4</v>
      </c>
      <c r="P50" s="75">
        <v>4294967296</v>
      </c>
      <c r="Q50" t="s">
        <v>2660</v>
      </c>
      <c r="R50" t="s">
        <v>2660</v>
      </c>
    </row>
    <row r="51" spans="1:18" x14ac:dyDescent="0.25">
      <c r="A51" t="s">
        <v>3013</v>
      </c>
      <c r="B51" t="s">
        <v>2974</v>
      </c>
      <c r="C51" t="s">
        <v>2975</v>
      </c>
      <c r="D51" t="s">
        <v>2706</v>
      </c>
      <c r="E51" t="s">
        <v>2706</v>
      </c>
      <c r="F51" t="s">
        <v>35</v>
      </c>
      <c r="G51" t="s">
        <v>2892</v>
      </c>
      <c r="H51" s="8" t="s">
        <v>2893</v>
      </c>
      <c r="J51" s="16" t="s">
        <v>2976</v>
      </c>
      <c r="K51" t="s">
        <v>14</v>
      </c>
      <c r="L51" t="s">
        <v>2659</v>
      </c>
      <c r="M51" s="17">
        <v>-1000000</v>
      </c>
      <c r="N51" s="17">
        <v>1000000</v>
      </c>
      <c r="O51" s="17">
        <v>4.6566130000000002E-4</v>
      </c>
      <c r="P51" s="75">
        <v>4294967296</v>
      </c>
      <c r="Q51" t="s">
        <v>2660</v>
      </c>
      <c r="R51" t="s">
        <v>2660</v>
      </c>
    </row>
    <row r="52" spans="1:18" x14ac:dyDescent="0.25">
      <c r="A52" t="s">
        <v>3014</v>
      </c>
      <c r="B52" t="s">
        <v>2974</v>
      </c>
      <c r="C52" t="s">
        <v>2975</v>
      </c>
      <c r="D52" t="s">
        <v>2706</v>
      </c>
      <c r="E52" t="s">
        <v>2706</v>
      </c>
      <c r="F52" t="s">
        <v>35</v>
      </c>
      <c r="G52" t="s">
        <v>2711</v>
      </c>
      <c r="H52" s="8" t="s">
        <v>2605</v>
      </c>
      <c r="J52" s="16" t="s">
        <v>2977</v>
      </c>
      <c r="K52" t="s">
        <v>14</v>
      </c>
      <c r="L52" t="s">
        <v>2659</v>
      </c>
      <c r="M52" s="17">
        <v>-1000000</v>
      </c>
      <c r="N52" s="17">
        <v>1000000</v>
      </c>
      <c r="O52" s="17">
        <v>4.6566130000000002E-4</v>
      </c>
      <c r="P52" s="75">
        <v>4294967296</v>
      </c>
      <c r="Q52" t="s">
        <v>2660</v>
      </c>
      <c r="R52" t="s">
        <v>2660</v>
      </c>
    </row>
    <row r="53" spans="1:18" x14ac:dyDescent="0.25">
      <c r="A53" t="s">
        <v>3015</v>
      </c>
      <c r="B53" t="s">
        <v>2978</v>
      </c>
      <c r="C53" t="s">
        <v>2979</v>
      </c>
      <c r="D53" t="s">
        <v>2706</v>
      </c>
      <c r="E53" t="s">
        <v>2706</v>
      </c>
      <c r="F53" t="s">
        <v>35</v>
      </c>
      <c r="G53" t="s">
        <v>2686</v>
      </c>
      <c r="H53" s="8" t="s">
        <v>100</v>
      </c>
      <c r="J53" s="16" t="s">
        <v>2980</v>
      </c>
      <c r="K53" t="s">
        <v>14</v>
      </c>
      <c r="L53" t="s">
        <v>2659</v>
      </c>
      <c r="M53" s="17">
        <v>-1000000</v>
      </c>
      <c r="N53" s="17">
        <v>1000000</v>
      </c>
      <c r="O53" s="17">
        <v>4.6566130000000002E-4</v>
      </c>
      <c r="P53" s="75">
        <v>4294967296</v>
      </c>
      <c r="Q53" t="s">
        <v>2660</v>
      </c>
      <c r="R53" t="s">
        <v>2660</v>
      </c>
    </row>
    <row r="54" spans="1:18" x14ac:dyDescent="0.25">
      <c r="A54" t="s">
        <v>3016</v>
      </c>
      <c r="B54" t="s">
        <v>2981</v>
      </c>
      <c r="C54" t="s">
        <v>2982</v>
      </c>
      <c r="D54" t="s">
        <v>2706</v>
      </c>
      <c r="E54" t="s">
        <v>2706</v>
      </c>
      <c r="F54" t="s">
        <v>35</v>
      </c>
      <c r="G54" t="s">
        <v>2686</v>
      </c>
      <c r="H54" s="8" t="s">
        <v>100</v>
      </c>
      <c r="J54" s="16" t="s">
        <v>2983</v>
      </c>
      <c r="K54" t="s">
        <v>14</v>
      </c>
      <c r="L54" t="s">
        <v>2659</v>
      </c>
      <c r="M54" s="17">
        <v>-1000000</v>
      </c>
      <c r="N54" s="17">
        <v>1000000</v>
      </c>
      <c r="O54" s="17">
        <v>4.6566130000000002E-4</v>
      </c>
      <c r="P54" s="75">
        <v>4294967296</v>
      </c>
      <c r="Q54" t="s">
        <v>2660</v>
      </c>
      <c r="R54" t="s">
        <v>2660</v>
      </c>
    </row>
    <row r="55" spans="1:18" x14ac:dyDescent="0.25">
      <c r="A55" t="s">
        <v>3017</v>
      </c>
      <c r="B55" t="s">
        <v>763</v>
      </c>
      <c r="C55" t="s">
        <v>764</v>
      </c>
      <c r="D55" t="s">
        <v>2706</v>
      </c>
      <c r="E55" t="s">
        <v>2706</v>
      </c>
      <c r="F55" t="s">
        <v>35</v>
      </c>
      <c r="G55" t="s">
        <v>2892</v>
      </c>
      <c r="H55" s="8" t="s">
        <v>2893</v>
      </c>
      <c r="J55" s="16" t="s">
        <v>2984</v>
      </c>
      <c r="K55" t="s">
        <v>14</v>
      </c>
      <c r="L55" t="s">
        <v>2659</v>
      </c>
      <c r="M55" s="17">
        <v>-1000000</v>
      </c>
      <c r="N55" s="17">
        <v>1000000</v>
      </c>
      <c r="O55" s="17">
        <v>4.6566130000000002E-4</v>
      </c>
      <c r="P55" s="75">
        <v>4294967296</v>
      </c>
      <c r="Q55" t="s">
        <v>2660</v>
      </c>
      <c r="R55" t="s">
        <v>2660</v>
      </c>
    </row>
    <row r="56" spans="1:18" x14ac:dyDescent="0.25">
      <c r="A56" t="s">
        <v>3018</v>
      </c>
      <c r="B56" t="s">
        <v>763</v>
      </c>
      <c r="C56" t="s">
        <v>764</v>
      </c>
      <c r="D56" t="s">
        <v>2706</v>
      </c>
      <c r="E56" t="s">
        <v>2706</v>
      </c>
      <c r="F56" t="s">
        <v>35</v>
      </c>
      <c r="G56" t="s">
        <v>2711</v>
      </c>
      <c r="H56" s="8" t="s">
        <v>2605</v>
      </c>
      <c r="J56" s="16" t="s">
        <v>2985</v>
      </c>
      <c r="K56" t="s">
        <v>14</v>
      </c>
      <c r="L56" t="s">
        <v>2659</v>
      </c>
      <c r="M56" s="17">
        <v>-1000000</v>
      </c>
      <c r="N56" s="17">
        <v>1000000</v>
      </c>
      <c r="O56" s="17">
        <v>4.6566130000000002E-4</v>
      </c>
      <c r="P56" s="75">
        <v>4294967296</v>
      </c>
      <c r="Q56" t="s">
        <v>2660</v>
      </c>
      <c r="R56" t="s">
        <v>2660</v>
      </c>
    </row>
    <row r="57" spans="1:18" x14ac:dyDescent="0.25">
      <c r="A57" t="s">
        <v>3019</v>
      </c>
      <c r="B57" t="s">
        <v>2988</v>
      </c>
      <c r="C57" t="s">
        <v>2989</v>
      </c>
      <c r="D57" t="s">
        <v>2706</v>
      </c>
      <c r="E57" t="s">
        <v>2706</v>
      </c>
      <c r="F57" t="s">
        <v>35</v>
      </c>
      <c r="G57" t="s">
        <v>2686</v>
      </c>
      <c r="H57" s="8" t="s">
        <v>100</v>
      </c>
      <c r="J57" s="16" t="s">
        <v>2990</v>
      </c>
      <c r="K57" t="s">
        <v>14</v>
      </c>
      <c r="L57" t="s">
        <v>2659</v>
      </c>
      <c r="M57" s="17">
        <v>-1000000</v>
      </c>
      <c r="N57" s="17">
        <v>1000000</v>
      </c>
      <c r="O57" s="17">
        <v>4.6566130000000002E-4</v>
      </c>
      <c r="P57" s="75">
        <v>4294967296</v>
      </c>
      <c r="Q57" t="s">
        <v>2660</v>
      </c>
      <c r="R57" t="s">
        <v>2660</v>
      </c>
    </row>
    <row r="58" spans="1:18" x14ac:dyDescent="0.25">
      <c r="A58" t="s">
        <v>3020</v>
      </c>
      <c r="B58" t="s">
        <v>2991</v>
      </c>
      <c r="C58" t="s">
        <v>2992</v>
      </c>
      <c r="D58" t="s">
        <v>2706</v>
      </c>
      <c r="E58" t="s">
        <v>2706</v>
      </c>
      <c r="F58" t="s">
        <v>35</v>
      </c>
      <c r="G58" t="s">
        <v>2686</v>
      </c>
      <c r="H58" s="8" t="s">
        <v>100</v>
      </c>
      <c r="J58" s="16" t="s">
        <v>2993</v>
      </c>
      <c r="K58" t="s">
        <v>14</v>
      </c>
      <c r="L58" t="s">
        <v>2659</v>
      </c>
      <c r="M58" s="17">
        <v>-1000000</v>
      </c>
      <c r="N58" s="17">
        <v>1000000</v>
      </c>
      <c r="O58" s="17">
        <v>4.6566130000000002E-4</v>
      </c>
      <c r="P58" s="75">
        <v>4294967296</v>
      </c>
      <c r="Q58" t="s">
        <v>2660</v>
      </c>
      <c r="R58" t="s">
        <v>2660</v>
      </c>
    </row>
    <row r="59" spans="1:18" x14ac:dyDescent="0.25">
      <c r="A59" t="s">
        <v>3021</v>
      </c>
      <c r="B59" t="s">
        <v>2712</v>
      </c>
      <c r="C59" t="s">
        <v>2713</v>
      </c>
      <c r="D59" t="s">
        <v>2706</v>
      </c>
      <c r="E59" t="s">
        <v>2706</v>
      </c>
      <c r="F59" t="s">
        <v>35</v>
      </c>
      <c r="G59" t="s">
        <v>2702</v>
      </c>
      <c r="H59" s="8" t="s">
        <v>71</v>
      </c>
      <c r="J59" s="16" t="s">
        <v>2714</v>
      </c>
      <c r="K59" t="s">
        <v>14</v>
      </c>
      <c r="L59" t="s">
        <v>2659</v>
      </c>
      <c r="M59" s="17">
        <v>-1000000</v>
      </c>
      <c r="N59" s="17">
        <v>1000000</v>
      </c>
      <c r="O59" s="17">
        <v>4.6566130000000002E-4</v>
      </c>
      <c r="P59" s="75">
        <v>4294967296</v>
      </c>
      <c r="Q59" t="s">
        <v>2660</v>
      </c>
      <c r="R59" t="s">
        <v>2660</v>
      </c>
    </row>
    <row r="60" spans="1:18" x14ac:dyDescent="0.25">
      <c r="A60" t="s">
        <v>3054</v>
      </c>
      <c r="B60" t="s">
        <v>640</v>
      </c>
      <c r="C60" t="s">
        <v>641</v>
      </c>
      <c r="D60" t="s">
        <v>2706</v>
      </c>
      <c r="E60" t="s">
        <v>2706</v>
      </c>
      <c r="F60" t="s">
        <v>35</v>
      </c>
      <c r="G60" t="s">
        <v>3061</v>
      </c>
      <c r="H60" s="8" t="s">
        <v>3059</v>
      </c>
      <c r="J60" s="16" t="s">
        <v>3062</v>
      </c>
      <c r="K60" t="s">
        <v>14</v>
      </c>
      <c r="L60" t="s">
        <v>2659</v>
      </c>
      <c r="M60" s="17">
        <v>-1000000</v>
      </c>
      <c r="N60" s="17">
        <v>1000000</v>
      </c>
      <c r="O60" s="17">
        <v>4.6566130000000002E-4</v>
      </c>
      <c r="P60" s="75">
        <v>4294967296</v>
      </c>
      <c r="Q60" t="s">
        <v>2660</v>
      </c>
      <c r="R60" t="s">
        <v>2660</v>
      </c>
    </row>
    <row r="61" spans="1:18" x14ac:dyDescent="0.25">
      <c r="A61" t="s">
        <v>3069</v>
      </c>
      <c r="B61" t="s">
        <v>3070</v>
      </c>
      <c r="C61" t="s">
        <v>3071</v>
      </c>
      <c r="D61" t="s">
        <v>2789</v>
      </c>
      <c r="E61" t="s">
        <v>2789</v>
      </c>
      <c r="F61" t="s">
        <v>35</v>
      </c>
      <c r="G61" t="s">
        <v>3072</v>
      </c>
      <c r="H61" s="8" t="s">
        <v>82</v>
      </c>
      <c r="J61" s="16" t="s">
        <v>3073</v>
      </c>
      <c r="K61" t="s">
        <v>14</v>
      </c>
      <c r="L61" t="s">
        <v>2659</v>
      </c>
      <c r="M61" s="17">
        <v>-32768</v>
      </c>
      <c r="N61" s="17">
        <v>32767</v>
      </c>
      <c r="O61" s="17">
        <v>0.99998474120000003</v>
      </c>
      <c r="P61" s="75">
        <v>65536</v>
      </c>
      <c r="Q61" t="s">
        <v>2660</v>
      </c>
      <c r="R61" t="s">
        <v>2660</v>
      </c>
    </row>
    <row r="62" spans="1:18" x14ac:dyDescent="0.25">
      <c r="A62" t="s">
        <v>3074</v>
      </c>
      <c r="B62" t="s">
        <v>3075</v>
      </c>
      <c r="C62" t="s">
        <v>3076</v>
      </c>
      <c r="D62" t="s">
        <v>2789</v>
      </c>
      <c r="E62" t="s">
        <v>2789</v>
      </c>
      <c r="F62" t="s">
        <v>35</v>
      </c>
      <c r="G62" t="s">
        <v>3072</v>
      </c>
      <c r="H62" s="8" t="s">
        <v>82</v>
      </c>
      <c r="J62" s="16" t="s">
        <v>3077</v>
      </c>
      <c r="K62" t="s">
        <v>14</v>
      </c>
      <c r="L62" t="s">
        <v>2659</v>
      </c>
      <c r="M62" s="17">
        <v>-32768</v>
      </c>
      <c r="N62" s="17">
        <v>32767</v>
      </c>
      <c r="O62" s="17">
        <v>0.99998474120000003</v>
      </c>
      <c r="P62" s="75">
        <v>65536</v>
      </c>
      <c r="Q62" t="s">
        <v>2660</v>
      </c>
      <c r="R62" t="s">
        <v>2660</v>
      </c>
    </row>
    <row r="63" spans="1:18" x14ac:dyDescent="0.25">
      <c r="A63" t="s">
        <v>3078</v>
      </c>
      <c r="B63" t="s">
        <v>3079</v>
      </c>
      <c r="C63" t="s">
        <v>3080</v>
      </c>
      <c r="D63" t="s">
        <v>2789</v>
      </c>
      <c r="E63" t="s">
        <v>2789</v>
      </c>
      <c r="F63" t="s">
        <v>35</v>
      </c>
      <c r="G63" t="s">
        <v>3072</v>
      </c>
      <c r="H63" s="8" t="s">
        <v>82</v>
      </c>
      <c r="J63" s="16" t="s">
        <v>3081</v>
      </c>
      <c r="K63" t="s">
        <v>14</v>
      </c>
      <c r="L63" t="s">
        <v>2659</v>
      </c>
      <c r="M63" s="17">
        <v>-2147483648</v>
      </c>
      <c r="N63" s="17">
        <v>2147483647</v>
      </c>
      <c r="O63" s="17">
        <v>0.99999999979999998</v>
      </c>
      <c r="P63" s="75">
        <v>4294967296</v>
      </c>
      <c r="Q63" t="s">
        <v>2660</v>
      </c>
      <c r="R63" t="s">
        <v>2660</v>
      </c>
    </row>
    <row r="64" spans="1:18" x14ac:dyDescent="0.25">
      <c r="A64" t="s">
        <v>3082</v>
      </c>
      <c r="B64" t="s">
        <v>3082</v>
      </c>
      <c r="C64" t="s">
        <v>3083</v>
      </c>
      <c r="D64" t="s">
        <v>2789</v>
      </c>
      <c r="E64" t="s">
        <v>2789</v>
      </c>
      <c r="F64" t="s">
        <v>35</v>
      </c>
      <c r="G64" t="s">
        <v>3084</v>
      </c>
      <c r="H64" s="8" t="s">
        <v>93</v>
      </c>
      <c r="J64" s="16" t="s">
        <v>3235</v>
      </c>
      <c r="K64" t="s">
        <v>14</v>
      </c>
      <c r="L64" t="s">
        <v>2659</v>
      </c>
      <c r="M64" s="17">
        <v>-214</v>
      </c>
      <c r="N64" s="17">
        <v>2147</v>
      </c>
      <c r="O64" s="17">
        <v>5.4970000000000001E-7</v>
      </c>
      <c r="P64" s="75">
        <v>4294967296</v>
      </c>
      <c r="Q64" t="s">
        <v>2660</v>
      </c>
      <c r="R64" t="s">
        <v>2660</v>
      </c>
    </row>
    <row r="65" spans="1:18" x14ac:dyDescent="0.25">
      <c r="A65" t="s">
        <v>3085</v>
      </c>
      <c r="B65" t="s">
        <v>3086</v>
      </c>
      <c r="C65" t="s">
        <v>3087</v>
      </c>
      <c r="D65" t="s">
        <v>2789</v>
      </c>
      <c r="E65" t="s">
        <v>2789</v>
      </c>
      <c r="F65" t="s">
        <v>35</v>
      </c>
      <c r="G65" t="s">
        <v>2686</v>
      </c>
      <c r="H65" s="8" t="s">
        <v>100</v>
      </c>
      <c r="J65" s="16" t="s">
        <v>3088</v>
      </c>
      <c r="K65" t="s">
        <v>14</v>
      </c>
      <c r="L65" t="s">
        <v>2659</v>
      </c>
      <c r="M65" s="17">
        <v>-21470</v>
      </c>
      <c r="N65" s="17">
        <v>214748</v>
      </c>
      <c r="O65" s="17">
        <v>5.4998799999999999E-5</v>
      </c>
      <c r="P65" s="75">
        <v>4294967296</v>
      </c>
      <c r="Q65" t="s">
        <v>2660</v>
      </c>
      <c r="R65" t="s">
        <v>2660</v>
      </c>
    </row>
    <row r="66" spans="1:18" x14ac:dyDescent="0.25">
      <c r="A66" t="s">
        <v>3089</v>
      </c>
      <c r="B66" t="s">
        <v>3090</v>
      </c>
      <c r="C66" t="s">
        <v>3091</v>
      </c>
      <c r="D66" t="s">
        <v>2789</v>
      </c>
      <c r="E66" t="s">
        <v>2789</v>
      </c>
      <c r="F66" t="s">
        <v>35</v>
      </c>
      <c r="G66" t="s">
        <v>2702</v>
      </c>
      <c r="H66" s="8" t="s">
        <v>71</v>
      </c>
      <c r="J66" s="16" t="s">
        <v>3092</v>
      </c>
      <c r="K66" t="s">
        <v>14</v>
      </c>
      <c r="L66" t="s">
        <v>2659</v>
      </c>
      <c r="M66" s="17">
        <v>-21470</v>
      </c>
      <c r="N66" s="17">
        <v>21474</v>
      </c>
      <c r="O66" s="17">
        <v>9.9986999999999997E-6</v>
      </c>
      <c r="P66" s="75">
        <v>4294967296</v>
      </c>
      <c r="Q66" t="s">
        <v>2660</v>
      </c>
      <c r="R66" t="s">
        <v>2660</v>
      </c>
    </row>
    <row r="67" spans="1:18" x14ac:dyDescent="0.25">
      <c r="A67" t="s">
        <v>3093</v>
      </c>
      <c r="B67" t="s">
        <v>2796</v>
      </c>
      <c r="C67" t="s">
        <v>2797</v>
      </c>
      <c r="D67" t="s">
        <v>2789</v>
      </c>
      <c r="E67" t="s">
        <v>2789</v>
      </c>
      <c r="F67" t="s">
        <v>35</v>
      </c>
      <c r="G67" t="s">
        <v>2892</v>
      </c>
      <c r="H67" s="8" t="s">
        <v>2893</v>
      </c>
      <c r="J67" s="16" t="s">
        <v>3094</v>
      </c>
      <c r="K67" t="s">
        <v>14</v>
      </c>
      <c r="L67" t="s">
        <v>2659</v>
      </c>
      <c r="M67" s="17">
        <v>-21</v>
      </c>
      <c r="N67" s="17">
        <v>214700</v>
      </c>
      <c r="O67" s="17">
        <v>4.9993600000000002E-5</v>
      </c>
      <c r="P67" s="75">
        <v>4294967296</v>
      </c>
      <c r="Q67" t="s">
        <v>2660</v>
      </c>
      <c r="R67" t="s">
        <v>2660</v>
      </c>
    </row>
    <row r="68" spans="1:18" x14ac:dyDescent="0.25">
      <c r="A68" t="s">
        <v>3095</v>
      </c>
      <c r="B68" t="s">
        <v>2798</v>
      </c>
      <c r="C68" t="s">
        <v>2799</v>
      </c>
      <c r="D68" t="s">
        <v>2789</v>
      </c>
      <c r="E68" t="s">
        <v>2789</v>
      </c>
      <c r="F68" t="s">
        <v>35</v>
      </c>
      <c r="G68" t="s">
        <v>2892</v>
      </c>
      <c r="H68" s="8" t="s">
        <v>2893</v>
      </c>
      <c r="J68" s="16" t="s">
        <v>3096</v>
      </c>
      <c r="K68" t="s">
        <v>14</v>
      </c>
      <c r="L68" t="s">
        <v>2659</v>
      </c>
      <c r="M68" s="17">
        <v>-21</v>
      </c>
      <c r="N68" s="17">
        <v>214700</v>
      </c>
      <c r="O68" s="17">
        <v>4.9993600000000002E-5</v>
      </c>
      <c r="P68" s="75">
        <v>4294967296</v>
      </c>
      <c r="Q68" t="s">
        <v>2660</v>
      </c>
      <c r="R68" t="s">
        <v>2660</v>
      </c>
    </row>
    <row r="69" spans="1:18" x14ac:dyDescent="0.25">
      <c r="A69" t="s">
        <v>3097</v>
      </c>
      <c r="B69" t="s">
        <v>2800</v>
      </c>
      <c r="C69" t="s">
        <v>2801</v>
      </c>
      <c r="D69" t="s">
        <v>2789</v>
      </c>
      <c r="E69" t="s">
        <v>2789</v>
      </c>
      <c r="F69" t="s">
        <v>35</v>
      </c>
      <c r="G69" t="s">
        <v>2892</v>
      </c>
      <c r="H69" s="8" t="s">
        <v>2893</v>
      </c>
      <c r="J69" s="16" t="s">
        <v>3098</v>
      </c>
      <c r="K69" t="s">
        <v>14</v>
      </c>
      <c r="L69" t="s">
        <v>2659</v>
      </c>
      <c r="M69" s="17">
        <v>-21</v>
      </c>
      <c r="N69" s="17">
        <v>214700</v>
      </c>
      <c r="O69" s="17">
        <v>4.9993600000000002E-5</v>
      </c>
      <c r="P69" s="75">
        <v>4294967296</v>
      </c>
      <c r="Q69" t="s">
        <v>2660</v>
      </c>
      <c r="R69" t="s">
        <v>2660</v>
      </c>
    </row>
    <row r="70" spans="1:18" x14ac:dyDescent="0.25">
      <c r="A70" t="s">
        <v>3099</v>
      </c>
      <c r="B70" t="s">
        <v>2802</v>
      </c>
      <c r="C70" t="s">
        <v>2803</v>
      </c>
      <c r="D70" t="s">
        <v>2789</v>
      </c>
      <c r="E70" t="s">
        <v>2789</v>
      </c>
      <c r="F70" t="s">
        <v>35</v>
      </c>
      <c r="G70" t="s">
        <v>2892</v>
      </c>
      <c r="H70" s="8" t="s">
        <v>2893</v>
      </c>
      <c r="J70" s="16" t="s">
        <v>3100</v>
      </c>
      <c r="K70" t="s">
        <v>14</v>
      </c>
      <c r="L70" t="s">
        <v>2659</v>
      </c>
      <c r="M70" s="17">
        <v>-21</v>
      </c>
      <c r="N70" s="17">
        <v>214700</v>
      </c>
      <c r="O70" s="17">
        <v>4.9993600000000002E-5</v>
      </c>
      <c r="P70" s="75">
        <v>4294967296</v>
      </c>
      <c r="Q70" t="s">
        <v>2660</v>
      </c>
      <c r="R70" t="s">
        <v>2660</v>
      </c>
    </row>
    <row r="71" spans="1:18" x14ac:dyDescent="0.25">
      <c r="A71" t="s">
        <v>3101</v>
      </c>
      <c r="B71" t="s">
        <v>2811</v>
      </c>
      <c r="C71" t="s">
        <v>2812</v>
      </c>
      <c r="D71" t="s">
        <v>2789</v>
      </c>
      <c r="E71" t="s">
        <v>2789</v>
      </c>
      <c r="F71" t="s">
        <v>35</v>
      </c>
      <c r="G71" t="s">
        <v>2892</v>
      </c>
      <c r="H71" s="8" t="s">
        <v>2893</v>
      </c>
      <c r="J71" s="16" t="s">
        <v>3102</v>
      </c>
      <c r="K71" t="s">
        <v>14</v>
      </c>
      <c r="L71" t="s">
        <v>2659</v>
      </c>
      <c r="M71" s="17">
        <v>-21</v>
      </c>
      <c r="N71" s="17">
        <v>20000000</v>
      </c>
      <c r="O71" s="17">
        <v>4.6566178000000003E-3</v>
      </c>
      <c r="P71" s="75">
        <v>4294967296</v>
      </c>
      <c r="Q71" t="s">
        <v>2660</v>
      </c>
      <c r="R71" t="s">
        <v>2660</v>
      </c>
    </row>
    <row r="72" spans="1:18" x14ac:dyDescent="0.25">
      <c r="A72" t="s">
        <v>3103</v>
      </c>
      <c r="B72" t="s">
        <v>3103</v>
      </c>
      <c r="C72" t="s">
        <v>3104</v>
      </c>
      <c r="D72" t="s">
        <v>2789</v>
      </c>
      <c r="E72" t="s">
        <v>2789</v>
      </c>
      <c r="F72" t="s">
        <v>35</v>
      </c>
      <c r="G72" t="s">
        <v>2892</v>
      </c>
      <c r="H72" s="8" t="s">
        <v>2893</v>
      </c>
      <c r="J72" s="16" t="s">
        <v>3105</v>
      </c>
      <c r="K72" t="s">
        <v>14</v>
      </c>
      <c r="L72" t="s">
        <v>2659</v>
      </c>
      <c r="M72" s="17">
        <v>0</v>
      </c>
      <c r="N72" s="17">
        <v>10000000</v>
      </c>
      <c r="O72" s="17">
        <v>2.3283064000000002E-3</v>
      </c>
      <c r="P72" s="75">
        <v>4294967296</v>
      </c>
      <c r="Q72" t="s">
        <v>2660</v>
      </c>
      <c r="R72" t="s">
        <v>2660</v>
      </c>
    </row>
    <row r="73" spans="1:18" x14ac:dyDescent="0.25">
      <c r="A73" t="s">
        <v>3106</v>
      </c>
      <c r="B73" t="s">
        <v>3107</v>
      </c>
      <c r="C73" t="s">
        <v>3108</v>
      </c>
      <c r="D73" t="s">
        <v>2625</v>
      </c>
      <c r="E73" t="s">
        <v>3109</v>
      </c>
      <c r="F73" t="s">
        <v>35</v>
      </c>
      <c r="G73" t="s">
        <v>2686</v>
      </c>
      <c r="H73" s="8" t="s">
        <v>100</v>
      </c>
      <c r="J73" s="16" t="s">
        <v>3110</v>
      </c>
      <c r="K73" t="s">
        <v>14</v>
      </c>
      <c r="L73" t="s">
        <v>2659</v>
      </c>
      <c r="M73" s="17">
        <v>0</v>
      </c>
      <c r="N73" s="17">
        <v>1000</v>
      </c>
      <c r="O73" s="17">
        <v>2.3279999999999999E-7</v>
      </c>
      <c r="P73" s="75">
        <v>4294967296</v>
      </c>
      <c r="Q73" t="s">
        <v>2660</v>
      </c>
      <c r="R73" t="s">
        <v>2660</v>
      </c>
    </row>
    <row r="74" spans="1:18" x14ac:dyDescent="0.25">
      <c r="A74" t="s">
        <v>3111</v>
      </c>
      <c r="B74" t="s">
        <v>3112</v>
      </c>
      <c r="C74" t="s">
        <v>3113</v>
      </c>
      <c r="D74" t="s">
        <v>2625</v>
      </c>
      <c r="E74" t="s">
        <v>3114</v>
      </c>
      <c r="F74" t="s">
        <v>35</v>
      </c>
      <c r="G74" t="s">
        <v>2786</v>
      </c>
      <c r="H74" s="8" t="s">
        <v>96</v>
      </c>
      <c r="J74" s="16" t="s">
        <v>3115</v>
      </c>
      <c r="K74" t="s">
        <v>14</v>
      </c>
      <c r="L74" t="s">
        <v>2659</v>
      </c>
      <c r="M74" s="17">
        <v>-273.14999999999998</v>
      </c>
      <c r="N74" s="17">
        <v>1500</v>
      </c>
      <c r="O74" s="17">
        <v>6.7089999999999996E-6</v>
      </c>
      <c r="P74" s="75">
        <v>4294967296</v>
      </c>
      <c r="Q74" t="s">
        <v>2660</v>
      </c>
      <c r="R74" t="s">
        <v>2660</v>
      </c>
    </row>
    <row r="75" spans="1:18" x14ac:dyDescent="0.25">
      <c r="A75" t="s">
        <v>3116</v>
      </c>
      <c r="B75" t="s">
        <v>3117</v>
      </c>
      <c r="C75" t="s">
        <v>3118</v>
      </c>
      <c r="D75" t="s">
        <v>2625</v>
      </c>
      <c r="E75" t="s">
        <v>3114</v>
      </c>
      <c r="F75" t="s">
        <v>35</v>
      </c>
      <c r="G75" t="s">
        <v>2786</v>
      </c>
      <c r="H75" s="8" t="s">
        <v>96</v>
      </c>
      <c r="J75" s="16" t="s">
        <v>3119</v>
      </c>
      <c r="K75" t="s">
        <v>14</v>
      </c>
      <c r="L75" t="s">
        <v>2659</v>
      </c>
      <c r="M75" s="17">
        <v>-273.14999999999998</v>
      </c>
      <c r="N75" s="17">
        <v>1500</v>
      </c>
      <c r="O75" s="17">
        <v>6.7089999999999996E-6</v>
      </c>
      <c r="P75" s="75">
        <v>4294967296</v>
      </c>
      <c r="Q75" t="s">
        <v>2660</v>
      </c>
      <c r="R75" t="s">
        <v>2660</v>
      </c>
    </row>
    <row r="76" spans="1:18" x14ac:dyDescent="0.25">
      <c r="A76" t="s">
        <v>3123</v>
      </c>
      <c r="B76" t="s">
        <v>3124</v>
      </c>
      <c r="C76" t="s">
        <v>3125</v>
      </c>
      <c r="D76" t="s">
        <v>2625</v>
      </c>
      <c r="E76" t="s">
        <v>3114</v>
      </c>
      <c r="F76" t="s">
        <v>34</v>
      </c>
      <c r="G76" t="s">
        <v>2701</v>
      </c>
      <c r="H76" s="8" t="s">
        <v>113</v>
      </c>
      <c r="J76" s="16" t="s">
        <v>3126</v>
      </c>
      <c r="K76" t="s">
        <v>14</v>
      </c>
      <c r="L76" t="s">
        <v>2659</v>
      </c>
      <c r="M76" s="17">
        <v>0</v>
      </c>
      <c r="N76" s="17">
        <v>1</v>
      </c>
      <c r="O76" s="17">
        <v>2.0000000000000001E-10</v>
      </c>
      <c r="P76" s="75">
        <v>4294967296</v>
      </c>
      <c r="Q76" t="s">
        <v>2660</v>
      </c>
      <c r="R76" t="s">
        <v>2660</v>
      </c>
    </row>
    <row r="77" spans="1:18" x14ac:dyDescent="0.25">
      <c r="A77" t="s">
        <v>3127</v>
      </c>
      <c r="B77" t="s">
        <v>3128</v>
      </c>
      <c r="C77" t="s">
        <v>3129</v>
      </c>
      <c r="D77" t="s">
        <v>2625</v>
      </c>
      <c r="E77" t="s">
        <v>3128</v>
      </c>
      <c r="F77" t="s">
        <v>35</v>
      </c>
      <c r="G77" t="s">
        <v>2702</v>
      </c>
      <c r="H77" s="8" t="s">
        <v>71</v>
      </c>
      <c r="J77" s="16" t="s">
        <v>3130</v>
      </c>
      <c r="K77" t="s">
        <v>14</v>
      </c>
      <c r="L77" t="s">
        <v>2659</v>
      </c>
      <c r="M77" s="17">
        <v>0</v>
      </c>
      <c r="N77" s="17">
        <v>50000</v>
      </c>
      <c r="O77" s="17">
        <v>1.16415E-5</v>
      </c>
      <c r="P77" s="75">
        <v>4294967296</v>
      </c>
      <c r="Q77" t="s">
        <v>2660</v>
      </c>
      <c r="R77" t="s">
        <v>2660</v>
      </c>
    </row>
    <row r="78" spans="1:18" x14ac:dyDescent="0.25">
      <c r="A78" t="s">
        <v>3131</v>
      </c>
      <c r="B78" t="s">
        <v>3132</v>
      </c>
      <c r="C78" t="s">
        <v>3133</v>
      </c>
      <c r="D78" t="s">
        <v>2625</v>
      </c>
      <c r="E78" t="s">
        <v>3128</v>
      </c>
      <c r="F78" t="s">
        <v>35</v>
      </c>
      <c r="G78" t="s">
        <v>2686</v>
      </c>
      <c r="H78" s="8" t="s">
        <v>100</v>
      </c>
      <c r="J78" s="16" t="s">
        <v>3134</v>
      </c>
      <c r="K78" t="s">
        <v>14</v>
      </c>
      <c r="L78" t="s">
        <v>2659</v>
      </c>
      <c r="M78" s="17">
        <v>0</v>
      </c>
      <c r="N78" s="17">
        <v>50000</v>
      </c>
      <c r="O78" s="17">
        <v>1.16415E-5</v>
      </c>
      <c r="P78" s="75">
        <v>4294967296</v>
      </c>
      <c r="Q78" t="s">
        <v>2660</v>
      </c>
      <c r="R78" t="s">
        <v>2660</v>
      </c>
    </row>
    <row r="79" spans="1:18" x14ac:dyDescent="0.25">
      <c r="A79" t="s">
        <v>3135</v>
      </c>
      <c r="B79" t="s">
        <v>3136</v>
      </c>
      <c r="C79" t="s">
        <v>3137</v>
      </c>
      <c r="D79" t="s">
        <v>2625</v>
      </c>
      <c r="E79" t="s">
        <v>3128</v>
      </c>
      <c r="F79" t="s">
        <v>34</v>
      </c>
      <c r="G79" t="s">
        <v>2701</v>
      </c>
      <c r="H79" s="8" t="s">
        <v>113</v>
      </c>
      <c r="J79" s="16" t="s">
        <v>3138</v>
      </c>
      <c r="K79" t="s">
        <v>14</v>
      </c>
      <c r="L79" t="s">
        <v>2659</v>
      </c>
      <c r="M79" s="17">
        <v>0</v>
      </c>
      <c r="N79" s="17">
        <v>1</v>
      </c>
      <c r="O79" s="17">
        <v>2.0000000000000001E-10</v>
      </c>
      <c r="P79" s="75">
        <v>4294967296</v>
      </c>
      <c r="Q79" t="s">
        <v>2660</v>
      </c>
      <c r="R79" t="s">
        <v>2660</v>
      </c>
    </row>
    <row r="80" spans="1:18" x14ac:dyDescent="0.25">
      <c r="A80" t="s">
        <v>3139</v>
      </c>
      <c r="B80" t="s">
        <v>3140</v>
      </c>
      <c r="C80" t="s">
        <v>3141</v>
      </c>
      <c r="D80" t="s">
        <v>2625</v>
      </c>
      <c r="E80" t="s">
        <v>3128</v>
      </c>
      <c r="F80" t="s">
        <v>34</v>
      </c>
      <c r="G80" t="s">
        <v>2785</v>
      </c>
      <c r="H80" s="8" t="s">
        <v>2599</v>
      </c>
      <c r="J80" s="16" t="s">
        <v>3142</v>
      </c>
      <c r="K80" t="s">
        <v>14</v>
      </c>
      <c r="L80" t="s">
        <v>2659</v>
      </c>
      <c r="M80" s="17">
        <v>0</v>
      </c>
      <c r="N80" s="17">
        <v>500000</v>
      </c>
      <c r="O80" s="17">
        <v>1.164153E-4</v>
      </c>
      <c r="P80" s="75">
        <v>4294967296</v>
      </c>
      <c r="Q80" t="s">
        <v>2660</v>
      </c>
      <c r="R80" t="s">
        <v>2660</v>
      </c>
    </row>
    <row r="81" spans="1:18" x14ac:dyDescent="0.25">
      <c r="A81" t="s">
        <v>3143</v>
      </c>
      <c r="B81" t="s">
        <v>3144</v>
      </c>
      <c r="C81" t="s">
        <v>3145</v>
      </c>
      <c r="D81" t="s">
        <v>2625</v>
      </c>
      <c r="E81" t="s">
        <v>3146</v>
      </c>
      <c r="F81" t="s">
        <v>34</v>
      </c>
      <c r="G81" t="s">
        <v>2785</v>
      </c>
      <c r="H81" s="8" t="s">
        <v>2599</v>
      </c>
      <c r="J81" s="16" t="s">
        <v>3147</v>
      </c>
      <c r="K81" t="s">
        <v>14</v>
      </c>
      <c r="L81" t="s">
        <v>2659</v>
      </c>
      <c r="M81" s="17">
        <v>0</v>
      </c>
      <c r="N81" s="17">
        <v>500000</v>
      </c>
      <c r="O81" s="17">
        <v>1.164153E-4</v>
      </c>
      <c r="P81" s="75">
        <v>4294967296</v>
      </c>
      <c r="Q81" t="s">
        <v>2660</v>
      </c>
      <c r="R81" t="s">
        <v>2660</v>
      </c>
    </row>
    <row r="82" spans="1:18" x14ac:dyDescent="0.25">
      <c r="A82" t="s">
        <v>3150</v>
      </c>
      <c r="B82" t="s">
        <v>3146</v>
      </c>
      <c r="C82" t="s">
        <v>3149</v>
      </c>
      <c r="D82" t="s">
        <v>2625</v>
      </c>
      <c r="E82" t="s">
        <v>3146</v>
      </c>
      <c r="F82" t="s">
        <v>35</v>
      </c>
      <c r="G82" t="s">
        <v>2702</v>
      </c>
      <c r="H82" s="8" t="s">
        <v>71</v>
      </c>
      <c r="J82" s="16" t="s">
        <v>3151</v>
      </c>
      <c r="K82" t="s">
        <v>14</v>
      </c>
      <c r="L82" t="s">
        <v>2659</v>
      </c>
      <c r="M82" s="17">
        <v>0</v>
      </c>
      <c r="N82" s="17">
        <v>50000</v>
      </c>
      <c r="O82" s="17">
        <v>1.16415E-5</v>
      </c>
      <c r="P82" s="75">
        <v>4294967296</v>
      </c>
      <c r="Q82" t="s">
        <v>2660</v>
      </c>
      <c r="R82" t="s">
        <v>2660</v>
      </c>
    </row>
    <row r="83" spans="1:18" x14ac:dyDescent="0.25">
      <c r="A83" t="s">
        <v>3159</v>
      </c>
      <c r="B83" t="s">
        <v>3155</v>
      </c>
      <c r="C83" t="s">
        <v>3160</v>
      </c>
      <c r="D83" t="s">
        <v>2625</v>
      </c>
      <c r="E83" t="s">
        <v>3155</v>
      </c>
      <c r="F83" t="s">
        <v>35</v>
      </c>
      <c r="G83" t="s">
        <v>2702</v>
      </c>
      <c r="H83" s="8" t="s">
        <v>71</v>
      </c>
      <c r="J83" s="16" t="s">
        <v>3161</v>
      </c>
      <c r="K83" t="s">
        <v>14</v>
      </c>
      <c r="L83" t="s">
        <v>2659</v>
      </c>
      <c r="M83" s="17">
        <v>0</v>
      </c>
      <c r="N83" s="17">
        <v>50000</v>
      </c>
      <c r="O83" s="17">
        <v>1.16415E-5</v>
      </c>
      <c r="P83" s="75">
        <v>4294967296</v>
      </c>
      <c r="Q83" t="s">
        <v>2660</v>
      </c>
      <c r="R83" t="s">
        <v>2660</v>
      </c>
    </row>
    <row r="84" spans="1:18" x14ac:dyDescent="0.25">
      <c r="A84" t="s">
        <v>3163</v>
      </c>
      <c r="B84" t="s">
        <v>3164</v>
      </c>
      <c r="C84" t="s">
        <v>3165</v>
      </c>
      <c r="D84" t="s">
        <v>2625</v>
      </c>
      <c r="E84" t="s">
        <v>3109</v>
      </c>
      <c r="F84" t="s">
        <v>35</v>
      </c>
      <c r="G84" t="s">
        <v>3072</v>
      </c>
      <c r="H84" s="8" t="s">
        <v>82</v>
      </c>
      <c r="J84" s="16" t="s">
        <v>3166</v>
      </c>
      <c r="K84" t="s">
        <v>14</v>
      </c>
      <c r="L84" t="s">
        <v>2659</v>
      </c>
      <c r="M84" s="17">
        <v>-2147483648</v>
      </c>
      <c r="N84" s="17">
        <v>2147483647</v>
      </c>
      <c r="O84" s="17">
        <v>1</v>
      </c>
      <c r="P84" s="75">
        <v>4294967296</v>
      </c>
      <c r="Q84" t="s">
        <v>2660</v>
      </c>
      <c r="R84" t="s">
        <v>2660</v>
      </c>
    </row>
    <row r="85" spans="1:18" x14ac:dyDescent="0.25">
      <c r="A85" t="s">
        <v>3167</v>
      </c>
      <c r="B85" t="s">
        <v>3168</v>
      </c>
      <c r="C85" t="s">
        <v>3169</v>
      </c>
      <c r="D85" t="s">
        <v>2625</v>
      </c>
      <c r="E85" t="s">
        <v>3109</v>
      </c>
      <c r="F85" t="s">
        <v>35</v>
      </c>
      <c r="G85" t="s">
        <v>3170</v>
      </c>
      <c r="H85" s="8" t="s">
        <v>2606</v>
      </c>
      <c r="J85" s="16" t="s">
        <v>3171</v>
      </c>
      <c r="K85" t="s">
        <v>14</v>
      </c>
      <c r="L85" t="s">
        <v>2659</v>
      </c>
      <c r="M85" s="17">
        <v>-2147483648</v>
      </c>
      <c r="N85" s="17">
        <v>2147483647</v>
      </c>
      <c r="O85" s="17">
        <v>1</v>
      </c>
      <c r="P85" s="75">
        <v>4294967296</v>
      </c>
      <c r="Q85" t="s">
        <v>2660</v>
      </c>
      <c r="R85" t="s">
        <v>2660</v>
      </c>
    </row>
    <row r="86" spans="1:18" x14ac:dyDescent="0.25">
      <c r="A86" t="s">
        <v>3172</v>
      </c>
      <c r="B86" t="s">
        <v>3173</v>
      </c>
      <c r="C86" t="s">
        <v>3174</v>
      </c>
      <c r="D86" t="s">
        <v>2625</v>
      </c>
      <c r="E86" t="s">
        <v>3109</v>
      </c>
      <c r="F86" t="s">
        <v>35</v>
      </c>
      <c r="G86" t="s">
        <v>3175</v>
      </c>
      <c r="H86" s="8" t="s">
        <v>2636</v>
      </c>
      <c r="J86" s="16" t="s">
        <v>3176</v>
      </c>
      <c r="K86" t="s">
        <v>14</v>
      </c>
      <c r="L86" t="s">
        <v>2659</v>
      </c>
      <c r="M86" s="17">
        <v>-2147483648</v>
      </c>
      <c r="N86" s="17">
        <v>2147483647</v>
      </c>
      <c r="O86" s="17">
        <v>1</v>
      </c>
      <c r="P86" s="75">
        <v>4294967296</v>
      </c>
      <c r="Q86" t="s">
        <v>2660</v>
      </c>
      <c r="R86" t="s">
        <v>2660</v>
      </c>
    </row>
    <row r="87" spans="1:18" x14ac:dyDescent="0.25">
      <c r="A87" t="s">
        <v>3177</v>
      </c>
      <c r="B87" t="s">
        <v>3178</v>
      </c>
      <c r="C87" t="s">
        <v>3179</v>
      </c>
      <c r="D87" t="s">
        <v>2625</v>
      </c>
      <c r="E87" t="s">
        <v>3109</v>
      </c>
      <c r="F87" t="s">
        <v>35</v>
      </c>
      <c r="G87" t="s">
        <v>3175</v>
      </c>
      <c r="H87" s="8" t="s">
        <v>2636</v>
      </c>
      <c r="J87" s="16" t="s">
        <v>3180</v>
      </c>
      <c r="K87" t="s">
        <v>14</v>
      </c>
      <c r="L87" t="s">
        <v>2659</v>
      </c>
      <c r="M87" s="17">
        <v>-2147483648</v>
      </c>
      <c r="N87" s="17">
        <v>2147483647</v>
      </c>
      <c r="O87" s="17">
        <v>1</v>
      </c>
      <c r="P87" s="75">
        <v>4294967296</v>
      </c>
      <c r="Q87" t="s">
        <v>2660</v>
      </c>
      <c r="R87" t="s">
        <v>2660</v>
      </c>
    </row>
    <row r="88" spans="1:18" x14ac:dyDescent="0.25">
      <c r="A88" t="s">
        <v>3181</v>
      </c>
      <c r="B88" t="s">
        <v>3182</v>
      </c>
      <c r="C88" t="s">
        <v>3183</v>
      </c>
      <c r="D88" t="s">
        <v>2625</v>
      </c>
      <c r="E88" t="s">
        <v>3109</v>
      </c>
      <c r="F88" t="s">
        <v>35</v>
      </c>
      <c r="G88" t="s">
        <v>3175</v>
      </c>
      <c r="H88" s="8" t="s">
        <v>2636</v>
      </c>
      <c r="J88" s="16" t="s">
        <v>3184</v>
      </c>
      <c r="K88" t="s">
        <v>14</v>
      </c>
      <c r="L88" t="s">
        <v>2659</v>
      </c>
      <c r="M88" s="17">
        <v>-2147483648</v>
      </c>
      <c r="N88" s="17">
        <v>2147483647</v>
      </c>
      <c r="O88" s="17">
        <v>1</v>
      </c>
      <c r="P88" s="75">
        <v>4294967296</v>
      </c>
      <c r="Q88" t="s">
        <v>2660</v>
      </c>
      <c r="R88" t="s">
        <v>2660</v>
      </c>
    </row>
    <row r="89" spans="1:18" x14ac:dyDescent="0.25">
      <c r="A89" t="s">
        <v>3185</v>
      </c>
      <c r="B89" t="s">
        <v>3186</v>
      </c>
      <c r="C89" t="s">
        <v>3187</v>
      </c>
      <c r="D89" t="s">
        <v>2625</v>
      </c>
      <c r="E89" t="s">
        <v>3109</v>
      </c>
      <c r="F89" t="s">
        <v>35</v>
      </c>
      <c r="G89" t="s">
        <v>3175</v>
      </c>
      <c r="H89" s="8" t="s">
        <v>2636</v>
      </c>
      <c r="J89" s="16" t="s">
        <v>3188</v>
      </c>
      <c r="K89" t="s">
        <v>14</v>
      </c>
      <c r="L89" t="s">
        <v>2659</v>
      </c>
      <c r="M89" s="17">
        <v>-2147483648</v>
      </c>
      <c r="N89" s="17">
        <v>2147483647</v>
      </c>
      <c r="O89" s="17">
        <v>1</v>
      </c>
      <c r="P89" s="75">
        <v>4294967296</v>
      </c>
      <c r="Q89" t="s">
        <v>2660</v>
      </c>
      <c r="R89" t="s">
        <v>2660</v>
      </c>
    </row>
    <row r="90" spans="1:18" x14ac:dyDescent="0.25">
      <c r="A90" t="s">
        <v>3189</v>
      </c>
      <c r="B90" t="s">
        <v>3190</v>
      </c>
      <c r="C90" t="s">
        <v>3191</v>
      </c>
      <c r="D90" t="s">
        <v>2625</v>
      </c>
      <c r="E90" t="s">
        <v>3109</v>
      </c>
      <c r="F90" t="s">
        <v>35</v>
      </c>
      <c r="G90" t="s">
        <v>3175</v>
      </c>
      <c r="H90" s="8" t="s">
        <v>2636</v>
      </c>
      <c r="J90" s="16" t="s">
        <v>3192</v>
      </c>
      <c r="K90" t="s">
        <v>14</v>
      </c>
      <c r="L90" t="s">
        <v>2659</v>
      </c>
      <c r="M90" s="17">
        <v>-2147483648</v>
      </c>
      <c r="N90" s="17">
        <v>2147483647</v>
      </c>
      <c r="O90" s="17">
        <v>1</v>
      </c>
      <c r="P90" s="75">
        <v>4294967296</v>
      </c>
      <c r="Q90" t="s">
        <v>2660</v>
      </c>
      <c r="R90" t="s">
        <v>2660</v>
      </c>
    </row>
    <row r="91" spans="1:18" x14ac:dyDescent="0.25">
      <c r="A91" t="s">
        <v>3193</v>
      </c>
      <c r="B91" t="s">
        <v>3194</v>
      </c>
      <c r="C91" t="s">
        <v>3195</v>
      </c>
      <c r="D91" t="s">
        <v>2625</v>
      </c>
      <c r="E91" t="s">
        <v>3109</v>
      </c>
      <c r="F91" t="s">
        <v>35</v>
      </c>
      <c r="G91" t="s">
        <v>2756</v>
      </c>
      <c r="H91" s="8" t="s">
        <v>1679</v>
      </c>
      <c r="J91" s="16" t="s">
        <v>3196</v>
      </c>
      <c r="K91" t="s">
        <v>14</v>
      </c>
      <c r="L91" t="s">
        <v>2659</v>
      </c>
      <c r="M91" s="17">
        <v>-2147483648</v>
      </c>
      <c r="N91" s="17">
        <v>2147483647</v>
      </c>
      <c r="O91" s="17">
        <v>1</v>
      </c>
      <c r="P91" s="75">
        <v>4294967296</v>
      </c>
      <c r="Q91" t="s">
        <v>2660</v>
      </c>
      <c r="R91" t="s">
        <v>2660</v>
      </c>
    </row>
    <row r="92" spans="1:18" x14ac:dyDescent="0.25">
      <c r="A92" t="s">
        <v>3202</v>
      </c>
      <c r="B92" t="s">
        <v>3107</v>
      </c>
      <c r="C92" t="s">
        <v>3108</v>
      </c>
      <c r="D92" t="s">
        <v>2625</v>
      </c>
      <c r="E92" t="s">
        <v>3109</v>
      </c>
      <c r="F92" t="s">
        <v>35</v>
      </c>
      <c r="G92" t="s">
        <v>2702</v>
      </c>
      <c r="H92" s="8" t="s">
        <v>71</v>
      </c>
      <c r="J92" s="16" t="s">
        <v>3203</v>
      </c>
      <c r="K92" t="s">
        <v>14</v>
      </c>
      <c r="L92" t="s">
        <v>2659</v>
      </c>
      <c r="M92" s="17">
        <v>-2147483648</v>
      </c>
      <c r="N92" s="17">
        <v>2147483647</v>
      </c>
      <c r="O92" s="17">
        <v>1</v>
      </c>
      <c r="P92" s="75">
        <v>4294967296</v>
      </c>
      <c r="Q92" t="s">
        <v>2660</v>
      </c>
      <c r="R92" t="s">
        <v>2660</v>
      </c>
    </row>
    <row r="93" spans="1:18" x14ac:dyDescent="0.25">
      <c r="A93" t="s">
        <v>3116</v>
      </c>
      <c r="B93" t="s">
        <v>3117</v>
      </c>
      <c r="C93" t="s">
        <v>3118</v>
      </c>
      <c r="D93" t="s">
        <v>2625</v>
      </c>
      <c r="E93" t="s">
        <v>3114</v>
      </c>
      <c r="F93" t="s">
        <v>34</v>
      </c>
      <c r="G93" t="s">
        <v>2786</v>
      </c>
      <c r="H93" s="8" t="s">
        <v>96</v>
      </c>
      <c r="J93" s="16" t="s">
        <v>3204</v>
      </c>
      <c r="K93" t="s">
        <v>14</v>
      </c>
      <c r="L93" t="s">
        <v>2659</v>
      </c>
      <c r="M93" s="17">
        <v>-273.14999999999998</v>
      </c>
      <c r="N93" s="17">
        <v>1500</v>
      </c>
      <c r="O93" s="17">
        <v>6.7089999999999996E-6</v>
      </c>
      <c r="P93" s="75">
        <v>4294967296</v>
      </c>
      <c r="Q93" t="s">
        <v>2660</v>
      </c>
      <c r="R93" t="s">
        <v>2660</v>
      </c>
    </row>
    <row r="94" spans="1:18" x14ac:dyDescent="0.25">
      <c r="A94" t="s">
        <v>3248</v>
      </c>
      <c r="B94" t="s">
        <v>3248</v>
      </c>
      <c r="C94" t="s">
        <v>3249</v>
      </c>
      <c r="D94" t="s">
        <v>2664</v>
      </c>
      <c r="E94" t="s">
        <v>2664</v>
      </c>
      <c r="F94" t="s">
        <v>35</v>
      </c>
      <c r="G94" t="s">
        <v>2700</v>
      </c>
      <c r="H94" s="8" t="s">
        <v>79</v>
      </c>
      <c r="J94" s="16" t="s">
        <v>3250</v>
      </c>
      <c r="K94" t="s">
        <v>14</v>
      </c>
      <c r="L94" t="s">
        <v>2659</v>
      </c>
      <c r="M94" s="17">
        <v>0</v>
      </c>
      <c r="N94" s="17">
        <v>100</v>
      </c>
      <c r="O94" s="17">
        <v>2.33E-8</v>
      </c>
      <c r="P94" s="75">
        <v>4294967296</v>
      </c>
      <c r="Q94" t="s">
        <v>2660</v>
      </c>
      <c r="R94" t="s">
        <v>2660</v>
      </c>
    </row>
    <row r="95" spans="1:18" x14ac:dyDescent="0.25">
      <c r="A95" t="s">
        <v>2666</v>
      </c>
      <c r="B95" t="s">
        <v>2666</v>
      </c>
      <c r="C95" t="s">
        <v>2667</v>
      </c>
      <c r="D95" t="s">
        <v>2664</v>
      </c>
      <c r="E95" t="s">
        <v>2664</v>
      </c>
      <c r="F95" t="s">
        <v>35</v>
      </c>
      <c r="G95" t="s">
        <v>2700</v>
      </c>
      <c r="H95" s="8" t="s">
        <v>79</v>
      </c>
      <c r="J95" s="16" t="s">
        <v>3251</v>
      </c>
      <c r="K95" t="s">
        <v>14</v>
      </c>
      <c r="L95" t="s">
        <v>2659</v>
      </c>
      <c r="M95" s="17">
        <v>0</v>
      </c>
      <c r="N95" s="17">
        <v>100</v>
      </c>
      <c r="O95" s="17">
        <v>2.33E-8</v>
      </c>
      <c r="P95" s="75">
        <v>4294967296</v>
      </c>
      <c r="Q95" t="s">
        <v>2660</v>
      </c>
      <c r="R95" t="s">
        <v>2660</v>
      </c>
    </row>
    <row r="96" spans="1:18" x14ac:dyDescent="0.25">
      <c r="A96" t="s">
        <v>3252</v>
      </c>
      <c r="B96" t="s">
        <v>3253</v>
      </c>
      <c r="C96" t="s">
        <v>3254</v>
      </c>
      <c r="D96" t="s">
        <v>2664</v>
      </c>
      <c r="E96" t="s">
        <v>2664</v>
      </c>
      <c r="F96" t="s">
        <v>35</v>
      </c>
      <c r="G96" t="s">
        <v>2669</v>
      </c>
      <c r="H96" s="8" t="s">
        <v>113</v>
      </c>
      <c r="J96" s="16" t="s">
        <v>3255</v>
      </c>
      <c r="K96" t="s">
        <v>14</v>
      </c>
      <c r="L96" t="s">
        <v>2659</v>
      </c>
      <c r="M96" s="17">
        <v>0</v>
      </c>
      <c r="N96" s="17">
        <v>1</v>
      </c>
      <c r="O96" s="17">
        <v>2.0000000000000001E-10</v>
      </c>
      <c r="P96" s="75">
        <v>4294967296</v>
      </c>
      <c r="Q96" t="s">
        <v>2660</v>
      </c>
      <c r="R96" t="s">
        <v>2660</v>
      </c>
    </row>
    <row r="97" spans="1:18" x14ac:dyDescent="0.25">
      <c r="A97" t="s">
        <v>3256</v>
      </c>
      <c r="B97" t="s">
        <v>3257</v>
      </c>
      <c r="C97" t="s">
        <v>3258</v>
      </c>
      <c r="D97" t="s">
        <v>2664</v>
      </c>
      <c r="E97" t="s">
        <v>2664</v>
      </c>
      <c r="F97" t="s">
        <v>35</v>
      </c>
      <c r="G97" t="s">
        <v>2669</v>
      </c>
      <c r="H97" s="8" t="s">
        <v>113</v>
      </c>
      <c r="J97" s="16" t="s">
        <v>3259</v>
      </c>
      <c r="K97" t="s">
        <v>14</v>
      </c>
      <c r="L97" t="s">
        <v>2659</v>
      </c>
      <c r="M97" s="17">
        <v>0</v>
      </c>
      <c r="N97" s="17">
        <v>1</v>
      </c>
      <c r="O97" s="17">
        <v>2.0000000000000001E-10</v>
      </c>
      <c r="P97" s="75">
        <v>4294967296</v>
      </c>
      <c r="Q97" t="s">
        <v>2660</v>
      </c>
      <c r="R97" t="s">
        <v>2660</v>
      </c>
    </row>
    <row r="98" spans="1:18" x14ac:dyDescent="0.25">
      <c r="A98" t="s">
        <v>2668</v>
      </c>
      <c r="B98" t="s">
        <v>3237</v>
      </c>
      <c r="C98" t="s">
        <v>3238</v>
      </c>
      <c r="D98" t="s">
        <v>2664</v>
      </c>
      <c r="E98" t="s">
        <v>2664</v>
      </c>
      <c r="F98" t="s">
        <v>35</v>
      </c>
      <c r="G98" t="s">
        <v>2669</v>
      </c>
      <c r="H98" s="8" t="s">
        <v>113</v>
      </c>
      <c r="J98" s="16" t="s">
        <v>3260</v>
      </c>
      <c r="K98" t="s">
        <v>14</v>
      </c>
      <c r="L98" t="s">
        <v>2659</v>
      </c>
      <c r="M98" s="17">
        <v>0</v>
      </c>
      <c r="N98" s="17">
        <v>1</v>
      </c>
      <c r="O98" s="17">
        <v>2.0000000000000001E-10</v>
      </c>
      <c r="P98" s="75">
        <v>4294967296</v>
      </c>
      <c r="Q98" t="s">
        <v>2660</v>
      </c>
      <c r="R98" t="s">
        <v>2660</v>
      </c>
    </row>
    <row r="99" spans="1:18" x14ac:dyDescent="0.25">
      <c r="A99" t="s">
        <v>3261</v>
      </c>
      <c r="B99" t="s">
        <v>3262</v>
      </c>
      <c r="C99" t="s">
        <v>3263</v>
      </c>
      <c r="D99" t="s">
        <v>2664</v>
      </c>
      <c r="E99" t="s">
        <v>2664</v>
      </c>
      <c r="F99" t="s">
        <v>35</v>
      </c>
      <c r="G99" t="s">
        <v>2657</v>
      </c>
      <c r="H99" s="8" t="s">
        <v>3053</v>
      </c>
      <c r="J99" s="16" t="s">
        <v>3264</v>
      </c>
      <c r="K99" t="s">
        <v>14</v>
      </c>
      <c r="L99" t="s">
        <v>2659</v>
      </c>
      <c r="M99" s="17">
        <v>0</v>
      </c>
      <c r="N99" s="17">
        <v>250</v>
      </c>
      <c r="O99" s="17">
        <v>5.8199999999999998E-8</v>
      </c>
      <c r="P99" s="75">
        <v>4294967296</v>
      </c>
      <c r="Q99" t="s">
        <v>2660</v>
      </c>
      <c r="R99" t="s">
        <v>2660</v>
      </c>
    </row>
    <row r="100" spans="1:18" x14ac:dyDescent="0.25">
      <c r="A100" t="s">
        <v>3265</v>
      </c>
      <c r="B100" t="s">
        <v>3266</v>
      </c>
      <c r="C100" t="s">
        <v>3267</v>
      </c>
      <c r="D100" t="s">
        <v>2664</v>
      </c>
      <c r="E100" t="s">
        <v>2664</v>
      </c>
      <c r="F100" t="s">
        <v>35</v>
      </c>
      <c r="G100" t="s">
        <v>2669</v>
      </c>
      <c r="H100" s="8" t="s">
        <v>113</v>
      </c>
      <c r="J100" s="16" t="s">
        <v>3268</v>
      </c>
      <c r="K100" t="s">
        <v>14</v>
      </c>
      <c r="L100" t="s">
        <v>2659</v>
      </c>
      <c r="M100" s="17">
        <v>0</v>
      </c>
      <c r="N100" s="17">
        <v>1</v>
      </c>
      <c r="O100" s="17">
        <v>2.0000000000000001E-10</v>
      </c>
      <c r="P100" s="75">
        <v>4294967296</v>
      </c>
      <c r="Q100" t="s">
        <v>2660</v>
      </c>
      <c r="R100" t="s">
        <v>2660</v>
      </c>
    </row>
    <row r="101" spans="1:18" x14ac:dyDescent="0.25">
      <c r="A101" t="s">
        <v>3269</v>
      </c>
      <c r="B101" t="s">
        <v>3270</v>
      </c>
      <c r="C101" t="s">
        <v>3271</v>
      </c>
      <c r="D101" t="s">
        <v>2664</v>
      </c>
      <c r="E101" t="s">
        <v>2664</v>
      </c>
      <c r="F101" t="s">
        <v>35</v>
      </c>
      <c r="G101" t="s">
        <v>2657</v>
      </c>
      <c r="H101" s="8" t="s">
        <v>3053</v>
      </c>
      <c r="J101" s="16" t="s">
        <v>3272</v>
      </c>
      <c r="K101" t="s">
        <v>14</v>
      </c>
      <c r="L101" t="s">
        <v>2659</v>
      </c>
      <c r="M101" s="17">
        <v>0</v>
      </c>
      <c r="N101" s="17">
        <v>250</v>
      </c>
      <c r="O101" s="17">
        <v>5.8199999999999998E-8</v>
      </c>
      <c r="P101" s="75">
        <v>4294967296</v>
      </c>
      <c r="Q101" t="s">
        <v>2660</v>
      </c>
      <c r="R101" t="s">
        <v>2660</v>
      </c>
    </row>
    <row r="102" spans="1:18" x14ac:dyDescent="0.25">
      <c r="A102" t="s">
        <v>3273</v>
      </c>
      <c r="B102" t="s">
        <v>2615</v>
      </c>
      <c r="C102" t="s">
        <v>2616</v>
      </c>
      <c r="D102" t="s">
        <v>2674</v>
      </c>
      <c r="E102" t="s">
        <v>2674</v>
      </c>
      <c r="F102" t="s">
        <v>35</v>
      </c>
      <c r="G102" t="s">
        <v>2756</v>
      </c>
      <c r="H102" s="8" t="s">
        <v>1679</v>
      </c>
      <c r="J102" s="16" t="s">
        <v>3274</v>
      </c>
      <c r="K102" t="s">
        <v>14</v>
      </c>
      <c r="L102" t="s">
        <v>2659</v>
      </c>
      <c r="M102" s="17">
        <v>0</v>
      </c>
      <c r="N102" s="17">
        <v>500000</v>
      </c>
      <c r="O102" s="17">
        <v>1.164153E-4</v>
      </c>
      <c r="P102" s="75">
        <v>4294967296</v>
      </c>
      <c r="Q102" t="s">
        <v>2660</v>
      </c>
      <c r="R102" t="s">
        <v>2660</v>
      </c>
    </row>
    <row r="103" spans="1:18" x14ac:dyDescent="0.25">
      <c r="A103" t="s">
        <v>3275</v>
      </c>
      <c r="B103" t="s">
        <v>2615</v>
      </c>
      <c r="C103" t="s">
        <v>2616</v>
      </c>
      <c r="D103" t="s">
        <v>2674</v>
      </c>
      <c r="E103" t="s">
        <v>2674</v>
      </c>
      <c r="F103" t="s">
        <v>35</v>
      </c>
      <c r="G103" t="s">
        <v>2786</v>
      </c>
      <c r="H103" s="8" t="s">
        <v>96</v>
      </c>
      <c r="J103" s="16" t="s">
        <v>3276</v>
      </c>
      <c r="K103" t="s">
        <v>14</v>
      </c>
      <c r="L103" t="s">
        <v>2659</v>
      </c>
      <c r="M103" s="17">
        <v>-500</v>
      </c>
      <c r="N103" s="17">
        <v>500</v>
      </c>
      <c r="O103" s="17">
        <v>2.3279999999999999E-7</v>
      </c>
      <c r="P103" s="75">
        <v>4294967296</v>
      </c>
      <c r="Q103" t="s">
        <v>2660</v>
      </c>
      <c r="R103" t="s">
        <v>2660</v>
      </c>
    </row>
    <row r="104" spans="1:18" x14ac:dyDescent="0.25">
      <c r="A104" t="s">
        <v>3283</v>
      </c>
      <c r="B104" t="s">
        <v>3277</v>
      </c>
      <c r="C104" t="s">
        <v>3278</v>
      </c>
      <c r="D104" t="s">
        <v>2789</v>
      </c>
      <c r="E104" t="s">
        <v>2789</v>
      </c>
      <c r="F104" t="s">
        <v>35</v>
      </c>
      <c r="G104" t="s">
        <v>2756</v>
      </c>
      <c r="H104" s="8" t="s">
        <v>1679</v>
      </c>
      <c r="J104" s="16" t="s">
        <v>3279</v>
      </c>
      <c r="K104" t="s">
        <v>14</v>
      </c>
      <c r="L104" t="s">
        <v>2659</v>
      </c>
      <c r="M104" s="17">
        <v>0</v>
      </c>
      <c r="N104" s="17">
        <v>1000000</v>
      </c>
      <c r="O104" s="17">
        <v>2.3283059999999999E-4</v>
      </c>
      <c r="P104" s="75">
        <v>4294967296</v>
      </c>
      <c r="Q104" t="s">
        <v>2660</v>
      </c>
      <c r="R104" t="s">
        <v>2660</v>
      </c>
    </row>
    <row r="105" spans="1:18" x14ac:dyDescent="0.25">
      <c r="A105" t="s">
        <v>3284</v>
      </c>
      <c r="B105" t="s">
        <v>3280</v>
      </c>
      <c r="C105" t="s">
        <v>3281</v>
      </c>
      <c r="D105" t="s">
        <v>2789</v>
      </c>
      <c r="E105" t="s">
        <v>2789</v>
      </c>
      <c r="F105" t="s">
        <v>35</v>
      </c>
      <c r="G105" t="s">
        <v>2756</v>
      </c>
      <c r="H105" s="8" t="s">
        <v>1679</v>
      </c>
      <c r="J105" s="16" t="s">
        <v>3282</v>
      </c>
      <c r="K105" t="s">
        <v>14</v>
      </c>
      <c r="L105" t="s">
        <v>2659</v>
      </c>
      <c r="M105" s="17">
        <v>0</v>
      </c>
      <c r="N105" s="17">
        <v>1000000</v>
      </c>
      <c r="O105" s="17">
        <v>2.3283059999999999E-4</v>
      </c>
      <c r="P105" s="75">
        <v>4294967296</v>
      </c>
      <c r="Q105" t="s">
        <v>2660</v>
      </c>
      <c r="R105" t="s">
        <v>2660</v>
      </c>
    </row>
    <row r="106" spans="1:18" x14ac:dyDescent="0.25">
      <c r="A106" t="s">
        <v>3285</v>
      </c>
      <c r="B106" t="s">
        <v>3286</v>
      </c>
      <c r="C106" t="s">
        <v>3287</v>
      </c>
      <c r="D106" t="s">
        <v>2789</v>
      </c>
      <c r="E106" t="s">
        <v>2789</v>
      </c>
      <c r="F106" t="s">
        <v>35</v>
      </c>
      <c r="G106" t="s">
        <v>2756</v>
      </c>
      <c r="H106" s="8" t="s">
        <v>1679</v>
      </c>
      <c r="J106" s="16" t="s">
        <v>3288</v>
      </c>
      <c r="K106" t="s">
        <v>14</v>
      </c>
      <c r="L106" t="s">
        <v>2659</v>
      </c>
      <c r="M106" s="17">
        <v>0</v>
      </c>
      <c r="N106" s="17">
        <v>1000000</v>
      </c>
      <c r="O106" s="17">
        <v>2.3283059999999999E-4</v>
      </c>
      <c r="P106" s="75">
        <v>4294967296</v>
      </c>
      <c r="Q106" t="s">
        <v>2660</v>
      </c>
      <c r="R106" t="s">
        <v>2660</v>
      </c>
    </row>
    <row r="107" spans="1:18" x14ac:dyDescent="0.25">
      <c r="A107" t="s">
        <v>3289</v>
      </c>
      <c r="B107" t="s">
        <v>3286</v>
      </c>
      <c r="C107" t="s">
        <v>3287</v>
      </c>
      <c r="D107" t="s">
        <v>2789</v>
      </c>
      <c r="E107" t="s">
        <v>2789</v>
      </c>
      <c r="F107" t="s">
        <v>35</v>
      </c>
      <c r="G107" t="s">
        <v>2786</v>
      </c>
      <c r="H107" s="8" t="s">
        <v>96</v>
      </c>
      <c r="J107" s="16" t="s">
        <v>3290</v>
      </c>
      <c r="K107" t="s">
        <v>14</v>
      </c>
      <c r="L107" t="s">
        <v>2659</v>
      </c>
      <c r="M107" s="17">
        <v>-250</v>
      </c>
      <c r="N107" s="17">
        <v>1000</v>
      </c>
      <c r="O107" s="17">
        <v>2.91E-7</v>
      </c>
      <c r="P107" s="75">
        <v>4294967296</v>
      </c>
      <c r="Q107" t="s">
        <v>2660</v>
      </c>
      <c r="R107" t="s">
        <v>2660</v>
      </c>
    </row>
    <row r="108" spans="1:18" x14ac:dyDescent="0.25">
      <c r="A108" t="s">
        <v>3291</v>
      </c>
      <c r="B108" t="s">
        <v>3292</v>
      </c>
      <c r="C108" t="s">
        <v>3293</v>
      </c>
      <c r="D108" t="s">
        <v>2789</v>
      </c>
      <c r="E108" t="s">
        <v>2789</v>
      </c>
      <c r="F108" t="s">
        <v>35</v>
      </c>
      <c r="G108" t="s">
        <v>2786</v>
      </c>
      <c r="H108" s="8" t="s">
        <v>96</v>
      </c>
      <c r="J108" s="16" t="s">
        <v>3294</v>
      </c>
      <c r="K108" t="s">
        <v>14</v>
      </c>
      <c r="L108" t="s">
        <v>2659</v>
      </c>
      <c r="M108" s="17">
        <v>-250</v>
      </c>
      <c r="N108" s="17">
        <v>1000</v>
      </c>
      <c r="O108" s="17">
        <v>2.91E-7</v>
      </c>
      <c r="P108" s="75">
        <v>4294967296</v>
      </c>
      <c r="Q108" t="s">
        <v>2660</v>
      </c>
      <c r="R108" t="s">
        <v>2660</v>
      </c>
    </row>
    <row r="109" spans="1:18" x14ac:dyDescent="0.25">
      <c r="A109" t="s">
        <v>3295</v>
      </c>
      <c r="B109" t="s">
        <v>1056</v>
      </c>
      <c r="C109" t="s">
        <v>1057</v>
      </c>
      <c r="D109" t="s">
        <v>2789</v>
      </c>
      <c r="E109" t="s">
        <v>2789</v>
      </c>
      <c r="F109" t="s">
        <v>35</v>
      </c>
      <c r="G109" t="s">
        <v>2786</v>
      </c>
      <c r="H109" s="8" t="s">
        <v>96</v>
      </c>
      <c r="J109" s="16" t="s">
        <v>3296</v>
      </c>
      <c r="K109" t="s">
        <v>14</v>
      </c>
      <c r="L109" t="s">
        <v>2659</v>
      </c>
      <c r="M109" s="17">
        <v>-250</v>
      </c>
      <c r="N109" s="17">
        <v>1000</v>
      </c>
      <c r="O109" s="17">
        <v>2.91E-7</v>
      </c>
      <c r="P109" s="75">
        <v>4294967296</v>
      </c>
      <c r="Q109" t="s">
        <v>2660</v>
      </c>
      <c r="R109" t="s">
        <v>2660</v>
      </c>
    </row>
    <row r="110" spans="1:18" x14ac:dyDescent="0.25">
      <c r="A110" t="s">
        <v>3297</v>
      </c>
      <c r="B110" t="s">
        <v>1614</v>
      </c>
      <c r="C110" t="s">
        <v>1614</v>
      </c>
      <c r="D110" t="s">
        <v>2789</v>
      </c>
      <c r="E110" t="s">
        <v>2789</v>
      </c>
      <c r="F110" t="s">
        <v>35</v>
      </c>
      <c r="G110" t="s">
        <v>2786</v>
      </c>
      <c r="H110" s="8" t="s">
        <v>96</v>
      </c>
      <c r="J110" s="16" t="s">
        <v>3298</v>
      </c>
      <c r="K110" t="s">
        <v>14</v>
      </c>
      <c r="L110" t="s">
        <v>2659</v>
      </c>
      <c r="M110" s="17">
        <v>-250</v>
      </c>
      <c r="N110" s="17">
        <v>1000</v>
      </c>
      <c r="O110" s="17">
        <v>2.91E-7</v>
      </c>
      <c r="P110" s="75">
        <v>4294967296</v>
      </c>
      <c r="Q110" t="s">
        <v>2660</v>
      </c>
      <c r="R110" t="s">
        <v>2660</v>
      </c>
    </row>
    <row r="111" spans="1:18" x14ac:dyDescent="0.25">
      <c r="A111" t="s">
        <v>3299</v>
      </c>
      <c r="B111" t="s">
        <v>3300</v>
      </c>
      <c r="C111" t="s">
        <v>2476</v>
      </c>
      <c r="D111" t="s">
        <v>2682</v>
      </c>
      <c r="E111" t="s">
        <v>2683</v>
      </c>
      <c r="F111" t="s">
        <v>35</v>
      </c>
      <c r="G111" t="s">
        <v>3301</v>
      </c>
      <c r="H111" s="8" t="s">
        <v>2602</v>
      </c>
      <c r="J111" s="16" t="s">
        <v>3302</v>
      </c>
      <c r="K111" t="s">
        <v>14</v>
      </c>
      <c r="L111" t="s">
        <v>2659</v>
      </c>
      <c r="M111" s="17">
        <v>-2000</v>
      </c>
      <c r="N111" s="17">
        <v>2000</v>
      </c>
      <c r="O111" s="17">
        <v>9.3129999999999998E-7</v>
      </c>
      <c r="P111" s="75">
        <v>4294967296</v>
      </c>
      <c r="Q111" t="s">
        <v>2660</v>
      </c>
      <c r="R111" t="s">
        <v>2660</v>
      </c>
    </row>
    <row r="112" spans="1:18" x14ac:dyDescent="0.25">
      <c r="A112" t="s">
        <v>3303</v>
      </c>
      <c r="B112" t="s">
        <v>3304</v>
      </c>
      <c r="C112" t="s">
        <v>3305</v>
      </c>
      <c r="D112" t="s">
        <v>2682</v>
      </c>
      <c r="E112" t="s">
        <v>2683</v>
      </c>
      <c r="F112" t="s">
        <v>35</v>
      </c>
      <c r="G112" t="s">
        <v>2806</v>
      </c>
      <c r="H112" s="8" t="s">
        <v>66</v>
      </c>
      <c r="J112" s="16" t="s">
        <v>3306</v>
      </c>
      <c r="K112" t="s">
        <v>14</v>
      </c>
      <c r="L112" t="s">
        <v>2659</v>
      </c>
      <c r="M112" s="17">
        <v>0</v>
      </c>
      <c r="N112" s="17">
        <v>100000</v>
      </c>
      <c r="O112" s="17">
        <v>2.3283100000000001E-5</v>
      </c>
      <c r="P112" s="75">
        <v>4294967296</v>
      </c>
      <c r="Q112" t="s">
        <v>2660</v>
      </c>
      <c r="R112" t="s">
        <v>2660</v>
      </c>
    </row>
    <row r="113" spans="1:18" x14ac:dyDescent="0.25">
      <c r="A113" t="s">
        <v>3307</v>
      </c>
      <c r="B113" t="s">
        <v>3308</v>
      </c>
      <c r="C113" t="s">
        <v>3309</v>
      </c>
      <c r="D113" t="s">
        <v>2682</v>
      </c>
      <c r="E113" t="s">
        <v>2683</v>
      </c>
      <c r="F113" t="s">
        <v>35</v>
      </c>
      <c r="G113" t="s">
        <v>2686</v>
      </c>
      <c r="H113" s="8" t="s">
        <v>100</v>
      </c>
      <c r="J113" s="16" t="s">
        <v>3310</v>
      </c>
      <c r="K113" t="s">
        <v>14</v>
      </c>
      <c r="L113" t="s">
        <v>2659</v>
      </c>
      <c r="M113" s="17">
        <v>-9999999</v>
      </c>
      <c r="N113" s="17">
        <v>9999999</v>
      </c>
      <c r="O113" s="17">
        <v>4.6566124000000002E-3</v>
      </c>
      <c r="P113" s="75">
        <v>4294967296</v>
      </c>
      <c r="Q113" t="s">
        <v>2660</v>
      </c>
      <c r="R113" t="s">
        <v>2660</v>
      </c>
    </row>
    <row r="114" spans="1:18" x14ac:dyDescent="0.25">
      <c r="A114" t="s">
        <v>3311</v>
      </c>
      <c r="B114" t="s">
        <v>3312</v>
      </c>
      <c r="C114" t="s">
        <v>3313</v>
      </c>
      <c r="D114" t="s">
        <v>2682</v>
      </c>
      <c r="E114" t="s">
        <v>2683</v>
      </c>
      <c r="F114" t="s">
        <v>35</v>
      </c>
      <c r="G114" t="s">
        <v>2711</v>
      </c>
      <c r="H114" s="8" t="s">
        <v>2605</v>
      </c>
      <c r="J114" s="16" t="s">
        <v>3314</v>
      </c>
      <c r="K114" t="s">
        <v>14</v>
      </c>
      <c r="L114" t="s">
        <v>2659</v>
      </c>
      <c r="M114" s="17">
        <v>0</v>
      </c>
      <c r="N114" s="17">
        <v>100000</v>
      </c>
      <c r="O114" s="17">
        <v>2.3283100000000001E-5</v>
      </c>
      <c r="P114" s="75">
        <v>4294967296</v>
      </c>
      <c r="Q114" t="s">
        <v>2660</v>
      </c>
      <c r="R114" t="s">
        <v>2660</v>
      </c>
    </row>
    <row r="115" spans="1:18" x14ac:dyDescent="0.25">
      <c r="A115" t="s">
        <v>3315</v>
      </c>
      <c r="B115" t="s">
        <v>3316</v>
      </c>
      <c r="C115" t="s">
        <v>3317</v>
      </c>
      <c r="D115" t="s">
        <v>2682</v>
      </c>
      <c r="E115" t="s">
        <v>2683</v>
      </c>
      <c r="F115" t="s">
        <v>35</v>
      </c>
      <c r="G115" t="s">
        <v>2694</v>
      </c>
      <c r="H115" s="8" t="s">
        <v>64</v>
      </c>
      <c r="J115" s="16" t="s">
        <v>3318</v>
      </c>
      <c r="K115" t="s">
        <v>14</v>
      </c>
      <c r="L115" t="s">
        <v>2659</v>
      </c>
      <c r="M115" s="17">
        <v>0</v>
      </c>
      <c r="N115" s="17">
        <v>100</v>
      </c>
      <c r="O115" s="17">
        <v>2.33E-8</v>
      </c>
      <c r="P115" s="75">
        <v>4294967296</v>
      </c>
      <c r="Q115" t="s">
        <v>2660</v>
      </c>
      <c r="R115" t="s">
        <v>2660</v>
      </c>
    </row>
    <row r="116" spans="1:18" x14ac:dyDescent="0.25">
      <c r="A116" t="s">
        <v>3321</v>
      </c>
      <c r="B116" t="s">
        <v>3322</v>
      </c>
      <c r="C116" t="s">
        <v>3323</v>
      </c>
      <c r="D116" t="s">
        <v>2789</v>
      </c>
      <c r="E116" t="s">
        <v>2789</v>
      </c>
      <c r="F116" t="s">
        <v>35</v>
      </c>
      <c r="G116" t="s">
        <v>2785</v>
      </c>
      <c r="H116" s="8" t="s">
        <v>2599</v>
      </c>
      <c r="J116" s="16" t="s">
        <v>3324</v>
      </c>
      <c r="K116" t="s">
        <v>14</v>
      </c>
      <c r="L116" t="s">
        <v>2659</v>
      </c>
      <c r="M116" s="17">
        <v>0</v>
      </c>
      <c r="N116" s="17">
        <v>1000</v>
      </c>
      <c r="O116" s="17">
        <v>2.3279999999999999E-7</v>
      </c>
      <c r="P116" s="75">
        <v>4294967296</v>
      </c>
      <c r="Q116" t="s">
        <v>2660</v>
      </c>
      <c r="R116" t="s">
        <v>2660</v>
      </c>
    </row>
    <row r="117" spans="1:18" x14ac:dyDescent="0.25">
      <c r="A117" t="s">
        <v>3325</v>
      </c>
      <c r="B117" t="s">
        <v>1056</v>
      </c>
      <c r="C117" t="s">
        <v>1057</v>
      </c>
      <c r="D117" t="s">
        <v>2789</v>
      </c>
      <c r="E117" t="s">
        <v>2789</v>
      </c>
      <c r="F117" t="s">
        <v>35</v>
      </c>
      <c r="G117" t="s">
        <v>2785</v>
      </c>
      <c r="H117" s="8" t="s">
        <v>2599</v>
      </c>
      <c r="J117" s="16" t="s">
        <v>3326</v>
      </c>
      <c r="K117" t="s">
        <v>14</v>
      </c>
      <c r="L117" t="s">
        <v>2659</v>
      </c>
      <c r="M117" s="17">
        <v>0</v>
      </c>
      <c r="N117" s="17">
        <v>1000</v>
      </c>
      <c r="O117" s="17">
        <v>2.3279999999999999E-7</v>
      </c>
      <c r="P117" s="75">
        <v>4294967296</v>
      </c>
      <c r="Q117" t="s">
        <v>2660</v>
      </c>
      <c r="R117" t="s">
        <v>2660</v>
      </c>
    </row>
    <row r="118" spans="1:18" x14ac:dyDescent="0.25">
      <c r="A118" t="s">
        <v>3327</v>
      </c>
      <c r="B118" t="s">
        <v>2804</v>
      </c>
      <c r="C118" t="s">
        <v>2805</v>
      </c>
      <c r="D118" t="s">
        <v>2789</v>
      </c>
      <c r="E118" t="s">
        <v>2789</v>
      </c>
      <c r="F118" t="s">
        <v>35</v>
      </c>
      <c r="G118" t="s">
        <v>2892</v>
      </c>
      <c r="H118" s="8" t="s">
        <v>2893</v>
      </c>
      <c r="J118" s="16" t="s">
        <v>3328</v>
      </c>
      <c r="K118" t="s">
        <v>14</v>
      </c>
      <c r="L118" t="s">
        <v>2659</v>
      </c>
      <c r="M118" s="17">
        <v>0</v>
      </c>
      <c r="N118" s="17">
        <v>1000000</v>
      </c>
      <c r="O118" s="17">
        <v>2.3283059999999999E-4</v>
      </c>
      <c r="P118" s="75">
        <v>4294967296</v>
      </c>
      <c r="Q118" t="s">
        <v>2660</v>
      </c>
      <c r="R118" t="s">
        <v>2660</v>
      </c>
    </row>
    <row r="119" spans="1:18" x14ac:dyDescent="0.25">
      <c r="A119" t="s">
        <v>3329</v>
      </c>
      <c r="B119" t="s">
        <v>210</v>
      </c>
      <c r="C119" t="s">
        <v>210</v>
      </c>
      <c r="D119" t="s">
        <v>2674</v>
      </c>
      <c r="E119" t="s">
        <v>2674</v>
      </c>
      <c r="F119" t="s">
        <v>35</v>
      </c>
      <c r="G119" t="s">
        <v>3330</v>
      </c>
      <c r="H119" s="8" t="s">
        <v>2604</v>
      </c>
      <c r="J119" s="16" t="s">
        <v>3331</v>
      </c>
      <c r="K119" t="s">
        <v>14</v>
      </c>
      <c r="L119" t="s">
        <v>2659</v>
      </c>
      <c r="M119" s="17">
        <v>0</v>
      </c>
      <c r="N119" s="17">
        <v>10000</v>
      </c>
      <c r="O119" s="17">
        <v>2.3282999999999998E-6</v>
      </c>
      <c r="P119" s="75">
        <v>4294967296</v>
      </c>
      <c r="Q119" t="s">
        <v>2660</v>
      </c>
      <c r="R119" t="s">
        <v>2660</v>
      </c>
    </row>
    <row r="120" spans="1:18" x14ac:dyDescent="0.25">
      <c r="A120" t="s">
        <v>1099</v>
      </c>
      <c r="B120" t="s">
        <v>1099</v>
      </c>
      <c r="C120" t="s">
        <v>1100</v>
      </c>
      <c r="D120" t="s">
        <v>2674</v>
      </c>
      <c r="E120" t="s">
        <v>2674</v>
      </c>
      <c r="F120" t="s">
        <v>35</v>
      </c>
      <c r="G120" t="s">
        <v>3301</v>
      </c>
      <c r="H120" s="8" t="s">
        <v>2602</v>
      </c>
      <c r="J120" s="16" t="s">
        <v>3332</v>
      </c>
      <c r="K120" t="s">
        <v>14</v>
      </c>
      <c r="L120" t="s">
        <v>2659</v>
      </c>
      <c r="M120" s="17">
        <v>0</v>
      </c>
      <c r="N120" s="17">
        <v>100</v>
      </c>
      <c r="O120" s="17">
        <v>2.33E-8</v>
      </c>
      <c r="P120" s="75">
        <v>4294967296</v>
      </c>
      <c r="Q120" t="s">
        <v>2660</v>
      </c>
      <c r="R120" t="s">
        <v>2660</v>
      </c>
    </row>
    <row r="121" spans="1:18" x14ac:dyDescent="0.25">
      <c r="A121" t="s">
        <v>2653</v>
      </c>
      <c r="B121" t="s">
        <v>2654</v>
      </c>
      <c r="C121" t="s">
        <v>2655</v>
      </c>
      <c r="D121" t="s">
        <v>2656</v>
      </c>
      <c r="E121" t="s">
        <v>2656</v>
      </c>
      <c r="F121" t="s">
        <v>37</v>
      </c>
      <c r="G121" t="s">
        <v>2657</v>
      </c>
      <c r="H121" s="8" t="s">
        <v>3053</v>
      </c>
      <c r="J121" s="16" t="s">
        <v>2658</v>
      </c>
      <c r="K121" t="s">
        <v>14</v>
      </c>
      <c r="L121" t="s">
        <v>2659</v>
      </c>
      <c r="M121" s="17">
        <v>-1000</v>
      </c>
      <c r="N121" s="17">
        <v>1000</v>
      </c>
      <c r="O121" s="17">
        <v>4.6569999999999999E-7</v>
      </c>
      <c r="P121" s="75">
        <v>4294967296</v>
      </c>
      <c r="Q121" t="s">
        <v>2660</v>
      </c>
      <c r="R121" t="s">
        <v>2660</v>
      </c>
    </row>
    <row r="122" spans="1:18" x14ac:dyDescent="0.25">
      <c r="A122" t="s">
        <v>3533</v>
      </c>
      <c r="B122" t="s">
        <v>3333</v>
      </c>
      <c r="C122" t="s">
        <v>3334</v>
      </c>
      <c r="D122" t="s">
        <v>2789</v>
      </c>
      <c r="E122" t="s">
        <v>2789</v>
      </c>
      <c r="F122" t="s">
        <v>35</v>
      </c>
      <c r="G122" t="s">
        <v>2786</v>
      </c>
      <c r="H122" s="8" t="s">
        <v>96</v>
      </c>
      <c r="J122" s="16" t="s">
        <v>3335</v>
      </c>
      <c r="K122" t="s">
        <v>14</v>
      </c>
      <c r="L122" t="s">
        <v>2659</v>
      </c>
      <c r="M122" s="17">
        <v>0</v>
      </c>
      <c r="N122" s="17">
        <v>2100</v>
      </c>
      <c r="O122" s="17">
        <v>4.8889999999999999E-7</v>
      </c>
      <c r="P122" s="75">
        <v>4294967296</v>
      </c>
      <c r="Q122" t="s">
        <v>2660</v>
      </c>
      <c r="R122" t="s">
        <v>2660</v>
      </c>
    </row>
    <row r="123" spans="1:18" x14ac:dyDescent="0.25">
      <c r="A123" t="s">
        <v>3336</v>
      </c>
      <c r="B123" t="s">
        <v>3337</v>
      </c>
      <c r="C123" t="s">
        <v>3338</v>
      </c>
      <c r="D123" t="s">
        <v>2789</v>
      </c>
      <c r="E123" t="s">
        <v>2789</v>
      </c>
      <c r="F123" t="s">
        <v>35</v>
      </c>
      <c r="G123" t="s">
        <v>2786</v>
      </c>
      <c r="H123" s="8" t="s">
        <v>96</v>
      </c>
      <c r="J123" s="16" t="s">
        <v>3339</v>
      </c>
      <c r="K123" t="s">
        <v>14</v>
      </c>
      <c r="L123" t="s">
        <v>2659</v>
      </c>
      <c r="M123" s="17">
        <v>-100</v>
      </c>
      <c r="N123" s="17">
        <v>2000</v>
      </c>
      <c r="O123" s="17">
        <v>4.8889999999999999E-7</v>
      </c>
      <c r="P123" s="75">
        <v>4294967296</v>
      </c>
      <c r="Q123" t="s">
        <v>2660</v>
      </c>
      <c r="R123" t="s">
        <v>2660</v>
      </c>
    </row>
    <row r="124" spans="1:18" x14ac:dyDescent="0.25">
      <c r="A124" t="s">
        <v>3354</v>
      </c>
      <c r="B124" t="s">
        <v>3355</v>
      </c>
      <c r="C124" t="s">
        <v>3356</v>
      </c>
      <c r="D124" t="s">
        <v>2674</v>
      </c>
      <c r="E124" t="s">
        <v>2674</v>
      </c>
      <c r="F124" t="s">
        <v>35</v>
      </c>
      <c r="G124" t="s">
        <v>3357</v>
      </c>
      <c r="H124" s="8" t="s">
        <v>3351</v>
      </c>
      <c r="J124" s="16" t="s">
        <v>3358</v>
      </c>
      <c r="K124" t="s">
        <v>14</v>
      </c>
      <c r="L124" t="s">
        <v>2659</v>
      </c>
      <c r="M124" s="17">
        <v>-1000</v>
      </c>
      <c r="N124" s="17">
        <v>1000</v>
      </c>
      <c r="O124" s="17">
        <v>4.6569999999999999E-7</v>
      </c>
      <c r="P124" s="75">
        <v>4294967296</v>
      </c>
      <c r="Q124" t="s">
        <v>2660</v>
      </c>
      <c r="R124" t="s">
        <v>2660</v>
      </c>
    </row>
    <row r="125" spans="1:18" x14ac:dyDescent="0.25">
      <c r="A125" t="s">
        <v>3359</v>
      </c>
      <c r="B125" t="s">
        <v>3360</v>
      </c>
      <c r="C125" t="s">
        <v>3361</v>
      </c>
      <c r="D125" t="s">
        <v>2625</v>
      </c>
      <c r="E125" t="s">
        <v>3162</v>
      </c>
      <c r="F125" t="s">
        <v>35</v>
      </c>
      <c r="G125" t="s">
        <v>2701</v>
      </c>
      <c r="H125" s="8" t="s">
        <v>113</v>
      </c>
      <c r="J125" s="16" t="s">
        <v>3362</v>
      </c>
      <c r="K125" t="s">
        <v>14</v>
      </c>
      <c r="L125" t="s">
        <v>2659</v>
      </c>
      <c r="M125" s="17">
        <v>-100</v>
      </c>
      <c r="N125" s="17">
        <v>100</v>
      </c>
      <c r="O125" s="17">
        <v>4.66E-8</v>
      </c>
      <c r="P125" s="75">
        <v>4294967296</v>
      </c>
      <c r="Q125" t="s">
        <v>2660</v>
      </c>
      <c r="R125" t="s">
        <v>2660</v>
      </c>
    </row>
    <row r="126" spans="1:18" x14ac:dyDescent="0.25">
      <c r="A126" t="s">
        <v>3364</v>
      </c>
      <c r="B126" t="s">
        <v>1075</v>
      </c>
      <c r="C126" t="s">
        <v>1076</v>
      </c>
      <c r="D126" t="s">
        <v>2625</v>
      </c>
      <c r="E126" t="s">
        <v>3162</v>
      </c>
      <c r="F126" t="s">
        <v>35</v>
      </c>
      <c r="G126" t="s">
        <v>2702</v>
      </c>
      <c r="H126" s="8" t="s">
        <v>71</v>
      </c>
      <c r="J126" s="16" t="s">
        <v>3365</v>
      </c>
      <c r="K126" t="s">
        <v>14</v>
      </c>
      <c r="L126" t="s">
        <v>2659</v>
      </c>
      <c r="M126" s="17">
        <v>-5000</v>
      </c>
      <c r="N126" s="17">
        <v>5000</v>
      </c>
      <c r="O126" s="17">
        <v>2.3282999999999998E-6</v>
      </c>
      <c r="P126" s="75">
        <v>4294967296</v>
      </c>
      <c r="Q126" t="s">
        <v>2660</v>
      </c>
      <c r="R126" t="s">
        <v>2660</v>
      </c>
    </row>
    <row r="127" spans="1:18" x14ac:dyDescent="0.25">
      <c r="A127" t="s">
        <v>3366</v>
      </c>
      <c r="B127" t="s">
        <v>3367</v>
      </c>
      <c r="C127" t="s">
        <v>3368</v>
      </c>
      <c r="D127" t="s">
        <v>2625</v>
      </c>
      <c r="E127" t="s">
        <v>3155</v>
      </c>
      <c r="F127" t="s">
        <v>35</v>
      </c>
      <c r="G127" t="s">
        <v>3072</v>
      </c>
      <c r="H127" s="8" t="s">
        <v>82</v>
      </c>
      <c r="J127" s="16" t="s">
        <v>3370</v>
      </c>
      <c r="K127" t="s">
        <v>14</v>
      </c>
      <c r="L127" t="s">
        <v>2659</v>
      </c>
      <c r="M127" s="17">
        <v>0</v>
      </c>
      <c r="N127" s="17">
        <v>50000</v>
      </c>
      <c r="O127" s="17">
        <v>1.16415E-5</v>
      </c>
      <c r="P127" s="75">
        <v>4294967296</v>
      </c>
      <c r="Q127" t="s">
        <v>2660</v>
      </c>
      <c r="R127" t="s">
        <v>2660</v>
      </c>
    </row>
    <row r="128" spans="1:18" x14ac:dyDescent="0.25">
      <c r="A128" t="s">
        <v>3380</v>
      </c>
      <c r="B128" t="s">
        <v>3378</v>
      </c>
      <c r="C128" t="s">
        <v>3379</v>
      </c>
      <c r="D128" t="s">
        <v>2625</v>
      </c>
      <c r="E128" t="s">
        <v>3378</v>
      </c>
      <c r="F128" t="s">
        <v>35</v>
      </c>
      <c r="G128" t="s">
        <v>2686</v>
      </c>
      <c r="H128" s="8" t="s">
        <v>100</v>
      </c>
      <c r="J128" s="16" t="s">
        <v>3381</v>
      </c>
      <c r="K128" t="s">
        <v>14</v>
      </c>
      <c r="L128" t="s">
        <v>2659</v>
      </c>
      <c r="M128" s="17">
        <v>-2500</v>
      </c>
      <c r="N128" s="17">
        <v>2500</v>
      </c>
      <c r="O128" s="17">
        <v>1.1642E-6</v>
      </c>
      <c r="P128" s="75">
        <v>4294967296</v>
      </c>
      <c r="Q128" t="s">
        <v>2660</v>
      </c>
      <c r="R128" t="s">
        <v>2660</v>
      </c>
    </row>
    <row r="129" spans="1:18" x14ac:dyDescent="0.25">
      <c r="A129" t="s">
        <v>3382</v>
      </c>
      <c r="B129" t="s">
        <v>3383</v>
      </c>
      <c r="C129" t="s">
        <v>3384</v>
      </c>
      <c r="D129" t="s">
        <v>2625</v>
      </c>
      <c r="E129" t="s">
        <v>3378</v>
      </c>
      <c r="F129" t="s">
        <v>35</v>
      </c>
      <c r="G129" t="s">
        <v>2711</v>
      </c>
      <c r="H129" s="8" t="s">
        <v>2605</v>
      </c>
      <c r="J129" s="16" t="s">
        <v>3385</v>
      </c>
      <c r="K129" t="s">
        <v>14</v>
      </c>
      <c r="L129" t="s">
        <v>2659</v>
      </c>
      <c r="M129" s="17">
        <v>-2500</v>
      </c>
      <c r="N129" s="17">
        <v>2500</v>
      </c>
      <c r="O129" s="17">
        <v>1.1642E-6</v>
      </c>
      <c r="P129" s="75">
        <v>4294967296</v>
      </c>
      <c r="Q129" t="s">
        <v>2660</v>
      </c>
      <c r="R129" t="s">
        <v>2660</v>
      </c>
    </row>
    <row r="130" spans="1:18" x14ac:dyDescent="0.25">
      <c r="A130" t="s">
        <v>3386</v>
      </c>
      <c r="B130" t="s">
        <v>3387</v>
      </c>
      <c r="C130" t="s">
        <v>3388</v>
      </c>
      <c r="D130" t="s">
        <v>2625</v>
      </c>
      <c r="E130" t="s">
        <v>3128</v>
      </c>
      <c r="F130" t="s">
        <v>34</v>
      </c>
      <c r="G130" t="s">
        <v>2711</v>
      </c>
      <c r="H130" s="8" t="s">
        <v>2605</v>
      </c>
      <c r="J130" s="16" t="s">
        <v>3389</v>
      </c>
      <c r="K130" t="s">
        <v>14</v>
      </c>
      <c r="L130" t="s">
        <v>2659</v>
      </c>
      <c r="M130" s="17">
        <v>-2500</v>
      </c>
      <c r="N130" s="17">
        <v>2500</v>
      </c>
      <c r="O130" s="17">
        <v>1.1642E-6</v>
      </c>
      <c r="P130" s="75">
        <v>4294967296</v>
      </c>
      <c r="Q130" t="s">
        <v>2660</v>
      </c>
      <c r="R130" t="s">
        <v>2660</v>
      </c>
    </row>
    <row r="131" spans="1:18" x14ac:dyDescent="0.25">
      <c r="A131" t="s">
        <v>3390</v>
      </c>
      <c r="B131" t="s">
        <v>3391</v>
      </c>
      <c r="C131" t="s">
        <v>3392</v>
      </c>
      <c r="D131" t="s">
        <v>2625</v>
      </c>
      <c r="E131" t="s">
        <v>3162</v>
      </c>
      <c r="F131" t="s">
        <v>34</v>
      </c>
      <c r="G131" t="s">
        <v>2711</v>
      </c>
      <c r="H131" s="8" t="s">
        <v>2605</v>
      </c>
      <c r="J131" s="16" t="s">
        <v>3393</v>
      </c>
      <c r="K131" t="s">
        <v>14</v>
      </c>
      <c r="L131" t="s">
        <v>2659</v>
      </c>
      <c r="M131" s="17">
        <v>-2500</v>
      </c>
      <c r="N131" s="17">
        <v>2500</v>
      </c>
      <c r="O131" s="17">
        <v>1.1642E-6</v>
      </c>
      <c r="P131" s="75">
        <v>4294967296</v>
      </c>
      <c r="Q131" t="s">
        <v>2660</v>
      </c>
      <c r="R131" t="s">
        <v>2660</v>
      </c>
    </row>
    <row r="132" spans="1:18" x14ac:dyDescent="0.25">
      <c r="A132" t="s">
        <v>3394</v>
      </c>
      <c r="B132" t="s">
        <v>3395</v>
      </c>
      <c r="C132" t="s">
        <v>3396</v>
      </c>
      <c r="D132" t="s">
        <v>2625</v>
      </c>
      <c r="E132" t="s">
        <v>3162</v>
      </c>
      <c r="F132" t="s">
        <v>34</v>
      </c>
      <c r="G132" t="s">
        <v>2686</v>
      </c>
      <c r="H132" s="8" t="s">
        <v>100</v>
      </c>
      <c r="J132" s="16" t="s">
        <v>3397</v>
      </c>
      <c r="K132" t="s">
        <v>14</v>
      </c>
      <c r="L132" t="s">
        <v>2659</v>
      </c>
      <c r="M132" s="17">
        <v>-2500</v>
      </c>
      <c r="N132" s="17">
        <v>2500</v>
      </c>
      <c r="O132" s="17">
        <v>1.1642E-6</v>
      </c>
      <c r="P132" s="75">
        <v>4294967296</v>
      </c>
      <c r="Q132" t="s">
        <v>2660</v>
      </c>
      <c r="R132" t="s">
        <v>2660</v>
      </c>
    </row>
    <row r="133" spans="1:18" x14ac:dyDescent="0.25">
      <c r="A133" t="s">
        <v>3398</v>
      </c>
      <c r="B133" t="s">
        <v>3399</v>
      </c>
      <c r="C133" t="s">
        <v>3400</v>
      </c>
      <c r="D133" t="s">
        <v>2625</v>
      </c>
      <c r="E133" t="s">
        <v>3128</v>
      </c>
      <c r="F133" t="s">
        <v>34</v>
      </c>
      <c r="G133" t="s">
        <v>2686</v>
      </c>
      <c r="H133" s="8" t="s">
        <v>100</v>
      </c>
      <c r="J133" s="16" t="s">
        <v>3401</v>
      </c>
      <c r="K133" t="s">
        <v>14</v>
      </c>
      <c r="L133" t="s">
        <v>2659</v>
      </c>
      <c r="M133" s="17">
        <v>-2500</v>
      </c>
      <c r="N133" s="17">
        <v>2500</v>
      </c>
      <c r="O133" s="17">
        <v>1.1642E-6</v>
      </c>
      <c r="P133" s="75">
        <v>4294967296</v>
      </c>
      <c r="Q133" t="s">
        <v>2660</v>
      </c>
      <c r="R133" t="s">
        <v>2660</v>
      </c>
    </row>
    <row r="134" spans="1:18" x14ac:dyDescent="0.25">
      <c r="A134" t="s">
        <v>3402</v>
      </c>
      <c r="B134" t="s">
        <v>3403</v>
      </c>
      <c r="C134" t="s">
        <v>3404</v>
      </c>
      <c r="D134" t="s">
        <v>2625</v>
      </c>
      <c r="E134" t="s">
        <v>3109</v>
      </c>
      <c r="F134" t="s">
        <v>34</v>
      </c>
      <c r="G134" t="s">
        <v>2711</v>
      </c>
      <c r="H134" s="8" t="s">
        <v>2605</v>
      </c>
      <c r="J134" s="16" t="s">
        <v>3405</v>
      </c>
      <c r="K134" t="s">
        <v>14</v>
      </c>
      <c r="L134" t="s">
        <v>2659</v>
      </c>
      <c r="M134" s="17">
        <v>-2500</v>
      </c>
      <c r="N134" s="17">
        <v>2500</v>
      </c>
      <c r="O134" s="17">
        <v>1.1642E-6</v>
      </c>
      <c r="P134" s="75">
        <v>4294967296</v>
      </c>
      <c r="Q134" t="s">
        <v>2660</v>
      </c>
      <c r="R134" t="s">
        <v>2660</v>
      </c>
    </row>
    <row r="135" spans="1:18" x14ac:dyDescent="0.25">
      <c r="A135" t="s">
        <v>3406</v>
      </c>
      <c r="B135" t="s">
        <v>3407</v>
      </c>
      <c r="C135" t="s">
        <v>3408</v>
      </c>
      <c r="D135" t="s">
        <v>2625</v>
      </c>
      <c r="E135" t="s">
        <v>3109</v>
      </c>
      <c r="F135" t="s">
        <v>34</v>
      </c>
      <c r="G135" t="s">
        <v>2686</v>
      </c>
      <c r="H135" s="8" t="s">
        <v>100</v>
      </c>
      <c r="J135" s="16" t="s">
        <v>3409</v>
      </c>
      <c r="K135" t="s">
        <v>14</v>
      </c>
      <c r="L135" t="s">
        <v>2659</v>
      </c>
      <c r="M135" s="17">
        <v>0</v>
      </c>
      <c r="N135" s="17">
        <v>1000</v>
      </c>
      <c r="O135" s="17">
        <v>2.3279999999999999E-7</v>
      </c>
      <c r="P135" s="75">
        <v>4294967296</v>
      </c>
      <c r="Q135" t="s">
        <v>2660</v>
      </c>
      <c r="R135" t="s">
        <v>2660</v>
      </c>
    </row>
    <row r="136" spans="1:18" x14ac:dyDescent="0.25">
      <c r="A136" t="s">
        <v>3156</v>
      </c>
      <c r="B136" t="s">
        <v>3157</v>
      </c>
      <c r="C136" t="s">
        <v>3158</v>
      </c>
      <c r="D136" t="s">
        <v>2625</v>
      </c>
      <c r="E136" t="s">
        <v>3155</v>
      </c>
      <c r="F136" t="s">
        <v>34</v>
      </c>
      <c r="G136" t="s">
        <v>2686</v>
      </c>
      <c r="H136" s="8" t="s">
        <v>100</v>
      </c>
      <c r="J136" s="16" t="s">
        <v>3410</v>
      </c>
      <c r="K136" t="s">
        <v>14</v>
      </c>
      <c r="L136" t="s">
        <v>2659</v>
      </c>
      <c r="M136" s="17">
        <v>0</v>
      </c>
      <c r="N136" s="17">
        <v>1000</v>
      </c>
      <c r="O136" s="17">
        <v>2.3279999999999999E-7</v>
      </c>
      <c r="P136" s="75">
        <v>4294967296</v>
      </c>
      <c r="Q136" t="s">
        <v>2660</v>
      </c>
      <c r="R136" t="s">
        <v>2660</v>
      </c>
    </row>
    <row r="137" spans="1:18" x14ac:dyDescent="0.25">
      <c r="A137" t="s">
        <v>3152</v>
      </c>
      <c r="B137" t="s">
        <v>3153</v>
      </c>
      <c r="C137" t="s">
        <v>3154</v>
      </c>
      <c r="D137" t="s">
        <v>2625</v>
      </c>
      <c r="E137" t="s">
        <v>3155</v>
      </c>
      <c r="F137" t="s">
        <v>34</v>
      </c>
      <c r="G137" t="s">
        <v>2711</v>
      </c>
      <c r="H137" s="8" t="s">
        <v>2605</v>
      </c>
      <c r="J137" s="16" t="s">
        <v>3411</v>
      </c>
      <c r="K137" t="s">
        <v>14</v>
      </c>
      <c r="L137" t="s">
        <v>2659</v>
      </c>
      <c r="M137" s="17">
        <v>0</v>
      </c>
      <c r="N137" s="17">
        <v>1000</v>
      </c>
      <c r="O137" s="17">
        <v>2.3279999999999999E-7</v>
      </c>
      <c r="P137" s="75">
        <v>4294967296</v>
      </c>
      <c r="Q137" t="s">
        <v>2660</v>
      </c>
      <c r="R137" t="s">
        <v>2660</v>
      </c>
    </row>
    <row r="138" spans="1:18" x14ac:dyDescent="0.25">
      <c r="A138" t="s">
        <v>3412</v>
      </c>
      <c r="B138" t="s">
        <v>3413</v>
      </c>
      <c r="C138" t="s">
        <v>3414</v>
      </c>
      <c r="D138" t="s">
        <v>2625</v>
      </c>
      <c r="E138" t="s">
        <v>3146</v>
      </c>
      <c r="F138" t="s">
        <v>34</v>
      </c>
      <c r="G138" t="s">
        <v>2686</v>
      </c>
      <c r="H138" s="8" t="s">
        <v>100</v>
      </c>
      <c r="J138" s="16" t="s">
        <v>3415</v>
      </c>
      <c r="K138" t="s">
        <v>14</v>
      </c>
      <c r="L138" t="s">
        <v>2659</v>
      </c>
      <c r="M138" s="17">
        <v>0</v>
      </c>
      <c r="N138" s="17">
        <v>2500</v>
      </c>
      <c r="O138" s="17">
        <v>5.821E-7</v>
      </c>
      <c r="P138" s="75">
        <v>4294967296</v>
      </c>
      <c r="Q138" t="s">
        <v>2660</v>
      </c>
      <c r="R138" t="s">
        <v>2660</v>
      </c>
    </row>
    <row r="139" spans="1:18" x14ac:dyDescent="0.25">
      <c r="A139" t="s">
        <v>3416</v>
      </c>
      <c r="B139" t="s">
        <v>3417</v>
      </c>
      <c r="C139" t="s">
        <v>3418</v>
      </c>
      <c r="D139" t="s">
        <v>2625</v>
      </c>
      <c r="E139" t="s">
        <v>3146</v>
      </c>
      <c r="F139" t="s">
        <v>34</v>
      </c>
      <c r="G139" t="s">
        <v>2711</v>
      </c>
      <c r="H139" s="8" t="s">
        <v>2605</v>
      </c>
      <c r="J139" s="16" t="s">
        <v>3419</v>
      </c>
      <c r="K139" t="s">
        <v>14</v>
      </c>
      <c r="L139" t="s">
        <v>2659</v>
      </c>
      <c r="M139" s="17">
        <v>0</v>
      </c>
      <c r="N139" s="17">
        <v>2500</v>
      </c>
      <c r="O139" s="17">
        <v>5.821E-7</v>
      </c>
      <c r="P139" s="75">
        <v>4294967296</v>
      </c>
      <c r="Q139" t="s">
        <v>2660</v>
      </c>
      <c r="R139" t="s">
        <v>2660</v>
      </c>
    </row>
    <row r="140" spans="1:18" x14ac:dyDescent="0.25">
      <c r="A140" t="s">
        <v>3148</v>
      </c>
      <c r="B140" t="s">
        <v>3146</v>
      </c>
      <c r="C140" t="s">
        <v>3149</v>
      </c>
      <c r="D140" t="s">
        <v>2625</v>
      </c>
      <c r="E140" t="s">
        <v>3146</v>
      </c>
      <c r="F140" t="s">
        <v>35</v>
      </c>
      <c r="G140" t="s">
        <v>2686</v>
      </c>
      <c r="H140" s="8" t="s">
        <v>100</v>
      </c>
      <c r="J140" s="16" t="s">
        <v>3420</v>
      </c>
      <c r="K140" t="s">
        <v>14</v>
      </c>
      <c r="L140" t="s">
        <v>2659</v>
      </c>
      <c r="M140" s="17">
        <v>0</v>
      </c>
      <c r="N140" s="17">
        <v>2500</v>
      </c>
      <c r="O140" s="17">
        <v>5.821E-7</v>
      </c>
      <c r="P140" s="75">
        <v>4294967296</v>
      </c>
      <c r="Q140" t="s">
        <v>2660</v>
      </c>
      <c r="R140" t="s">
        <v>2660</v>
      </c>
    </row>
    <row r="141" spans="1:18" x14ac:dyDescent="0.25">
      <c r="A141" t="s">
        <v>3421</v>
      </c>
      <c r="B141" t="s">
        <v>3422</v>
      </c>
      <c r="C141" t="s">
        <v>3423</v>
      </c>
      <c r="D141" t="s">
        <v>2625</v>
      </c>
      <c r="E141" t="s">
        <v>3162</v>
      </c>
      <c r="F141" t="s">
        <v>35</v>
      </c>
      <c r="G141" t="s">
        <v>3072</v>
      </c>
      <c r="H141" s="8" t="s">
        <v>82</v>
      </c>
      <c r="J141" s="16" t="s">
        <v>3424</v>
      </c>
      <c r="K141" t="s">
        <v>14</v>
      </c>
      <c r="L141" t="s">
        <v>2659</v>
      </c>
      <c r="M141" s="17">
        <v>-50000</v>
      </c>
      <c r="N141" s="17">
        <v>50000</v>
      </c>
      <c r="O141" s="17">
        <v>2.3283100000000001E-5</v>
      </c>
      <c r="P141" s="75">
        <v>4294967296</v>
      </c>
      <c r="Q141" t="s">
        <v>2660</v>
      </c>
      <c r="R141" t="s">
        <v>2660</v>
      </c>
    </row>
    <row r="142" spans="1:18" x14ac:dyDescent="0.25">
      <c r="A142" t="s">
        <v>3425</v>
      </c>
      <c r="B142" t="s">
        <v>3426</v>
      </c>
      <c r="C142" t="s">
        <v>3427</v>
      </c>
      <c r="D142" t="s">
        <v>2625</v>
      </c>
      <c r="E142" t="s">
        <v>3162</v>
      </c>
      <c r="F142" t="s">
        <v>35</v>
      </c>
      <c r="G142" t="s">
        <v>3428</v>
      </c>
      <c r="H142" s="8" t="s">
        <v>103</v>
      </c>
      <c r="J142" s="16" t="s">
        <v>3429</v>
      </c>
      <c r="K142" t="s">
        <v>14</v>
      </c>
      <c r="L142" t="s">
        <v>2659</v>
      </c>
      <c r="M142" s="17">
        <v>-1000</v>
      </c>
      <c r="N142" s="17">
        <v>1000</v>
      </c>
      <c r="O142" s="17">
        <v>4.6569999999999999E-7</v>
      </c>
      <c r="P142" s="75">
        <v>4294967296</v>
      </c>
      <c r="Q142" t="s">
        <v>2660</v>
      </c>
      <c r="R142" t="s">
        <v>2660</v>
      </c>
    </row>
    <row r="143" spans="1:18" x14ac:dyDescent="0.25">
      <c r="A143" t="s">
        <v>3432</v>
      </c>
      <c r="B143" t="s">
        <v>3433</v>
      </c>
      <c r="C143" t="s">
        <v>3434</v>
      </c>
      <c r="D143" t="s">
        <v>2625</v>
      </c>
      <c r="E143" t="s">
        <v>3162</v>
      </c>
      <c r="F143" t="s">
        <v>35</v>
      </c>
      <c r="G143" t="s">
        <v>3435</v>
      </c>
      <c r="H143" s="8" t="s">
        <v>3430</v>
      </c>
      <c r="J143" s="16" t="s">
        <v>3436</v>
      </c>
      <c r="K143" t="s">
        <v>14</v>
      </c>
      <c r="L143" t="s">
        <v>2659</v>
      </c>
      <c r="M143" s="17">
        <v>0</v>
      </c>
      <c r="N143" s="17">
        <v>100000</v>
      </c>
      <c r="O143" s="17">
        <v>2.3283100000000001E-5</v>
      </c>
      <c r="P143" s="75">
        <v>4294967296</v>
      </c>
      <c r="Q143" t="s">
        <v>2660</v>
      </c>
      <c r="R143" t="s">
        <v>2660</v>
      </c>
    </row>
    <row r="144" spans="1:18" x14ac:dyDescent="0.25">
      <c r="A144" t="s">
        <v>3437</v>
      </c>
      <c r="B144" t="s">
        <v>3438</v>
      </c>
      <c r="C144" t="s">
        <v>3439</v>
      </c>
      <c r="D144" t="s">
        <v>2625</v>
      </c>
      <c r="E144" t="s">
        <v>3162</v>
      </c>
      <c r="F144" t="s">
        <v>35</v>
      </c>
      <c r="G144" t="s">
        <v>2786</v>
      </c>
      <c r="H144" s="8" t="s">
        <v>96</v>
      </c>
      <c r="J144" s="16" t="s">
        <v>3440</v>
      </c>
      <c r="K144" t="s">
        <v>14</v>
      </c>
      <c r="L144" t="s">
        <v>2659</v>
      </c>
      <c r="M144" s="17">
        <v>-50</v>
      </c>
      <c r="N144" s="17">
        <v>100</v>
      </c>
      <c r="O144" s="17">
        <v>3.4900000000000001E-8</v>
      </c>
      <c r="P144" s="75">
        <v>4294967296</v>
      </c>
      <c r="Q144" t="s">
        <v>2660</v>
      </c>
      <c r="R144" t="s">
        <v>2660</v>
      </c>
    </row>
    <row r="145" spans="1:18" x14ac:dyDescent="0.25">
      <c r="A145" t="s">
        <v>3441</v>
      </c>
      <c r="B145" t="s">
        <v>3442</v>
      </c>
      <c r="C145" t="s">
        <v>3443</v>
      </c>
      <c r="D145" t="s">
        <v>2625</v>
      </c>
      <c r="E145" t="s">
        <v>3162</v>
      </c>
      <c r="F145" t="s">
        <v>35</v>
      </c>
      <c r="G145" t="s">
        <v>3072</v>
      </c>
      <c r="H145" s="8" t="s">
        <v>82</v>
      </c>
      <c r="J145" s="16" t="s">
        <v>3444</v>
      </c>
      <c r="K145" t="s">
        <v>14</v>
      </c>
      <c r="L145" t="s">
        <v>2659</v>
      </c>
      <c r="M145" s="17">
        <v>0</v>
      </c>
      <c r="N145" s="17">
        <v>500000</v>
      </c>
      <c r="O145" s="17">
        <v>1.164153E-4</v>
      </c>
      <c r="P145" s="75">
        <v>4294967296</v>
      </c>
      <c r="Q145" t="s">
        <v>2660</v>
      </c>
      <c r="R145" t="s">
        <v>2660</v>
      </c>
    </row>
    <row r="146" spans="1:18" x14ac:dyDescent="0.25">
      <c r="A146" t="s">
        <v>3445</v>
      </c>
      <c r="B146" t="s">
        <v>3446</v>
      </c>
      <c r="C146" t="s">
        <v>3447</v>
      </c>
      <c r="D146" t="s">
        <v>2625</v>
      </c>
      <c r="E146" t="s">
        <v>3162</v>
      </c>
      <c r="F146" t="s">
        <v>35</v>
      </c>
      <c r="G146" t="s">
        <v>3072</v>
      </c>
      <c r="H146" s="8" t="s">
        <v>82</v>
      </c>
      <c r="J146" s="16" t="s">
        <v>3448</v>
      </c>
      <c r="K146" t="s">
        <v>14</v>
      </c>
      <c r="L146" t="s">
        <v>2659</v>
      </c>
      <c r="M146" s="17">
        <v>-500000</v>
      </c>
      <c r="N146" s="17">
        <v>0</v>
      </c>
      <c r="O146" s="17">
        <v>1.164153E-4</v>
      </c>
      <c r="P146" s="75">
        <v>4294967296</v>
      </c>
      <c r="Q146" t="s">
        <v>2660</v>
      </c>
      <c r="R146" t="s">
        <v>2660</v>
      </c>
    </row>
    <row r="147" spans="1:18" x14ac:dyDescent="0.25">
      <c r="A147" t="s">
        <v>3449</v>
      </c>
      <c r="B147" t="s">
        <v>3450</v>
      </c>
      <c r="C147" t="s">
        <v>3451</v>
      </c>
      <c r="D147" t="s">
        <v>2625</v>
      </c>
      <c r="E147" t="s">
        <v>3162</v>
      </c>
      <c r="F147" t="s">
        <v>35</v>
      </c>
      <c r="G147" t="s">
        <v>3072</v>
      </c>
      <c r="H147" s="8" t="s">
        <v>82</v>
      </c>
      <c r="J147" s="16" t="s">
        <v>3452</v>
      </c>
      <c r="K147" t="s">
        <v>14</v>
      </c>
      <c r="L147" t="s">
        <v>2659</v>
      </c>
      <c r="M147" s="17">
        <v>0</v>
      </c>
      <c r="N147" s="17">
        <v>500000</v>
      </c>
      <c r="O147" s="17">
        <v>1.164153E-4</v>
      </c>
      <c r="P147" s="75">
        <v>4294967296</v>
      </c>
      <c r="Q147" t="s">
        <v>2660</v>
      </c>
      <c r="R147" t="s">
        <v>2660</v>
      </c>
    </row>
    <row r="148" spans="1:18" x14ac:dyDescent="0.25">
      <c r="A148" t="s">
        <v>3453</v>
      </c>
      <c r="B148" t="s">
        <v>3454</v>
      </c>
      <c r="C148" t="s">
        <v>3455</v>
      </c>
      <c r="D148" t="s">
        <v>2625</v>
      </c>
      <c r="E148" t="s">
        <v>3162</v>
      </c>
      <c r="F148" t="s">
        <v>35</v>
      </c>
      <c r="G148" t="s">
        <v>3072</v>
      </c>
      <c r="H148" s="8" t="s">
        <v>82</v>
      </c>
      <c r="J148" s="16" t="s">
        <v>3456</v>
      </c>
      <c r="K148" t="s">
        <v>14</v>
      </c>
      <c r="L148" t="s">
        <v>2659</v>
      </c>
      <c r="M148" s="17">
        <v>-500000</v>
      </c>
      <c r="N148" s="17">
        <v>0</v>
      </c>
      <c r="O148" s="17">
        <v>1.164153E-4</v>
      </c>
      <c r="P148" s="75">
        <v>4294967296</v>
      </c>
      <c r="Q148" t="s">
        <v>2660</v>
      </c>
      <c r="R148" t="s">
        <v>2660</v>
      </c>
    </row>
    <row r="149" spans="1:18" x14ac:dyDescent="0.25">
      <c r="A149" t="s">
        <v>3363</v>
      </c>
      <c r="B149" t="s">
        <v>3458</v>
      </c>
      <c r="C149" t="s">
        <v>3459</v>
      </c>
      <c r="D149" t="s">
        <v>2625</v>
      </c>
      <c r="E149" t="s">
        <v>3162</v>
      </c>
      <c r="F149" t="s">
        <v>35</v>
      </c>
      <c r="G149" t="s">
        <v>2686</v>
      </c>
      <c r="H149" s="8" t="s">
        <v>100</v>
      </c>
      <c r="J149" s="16" t="s">
        <v>3460</v>
      </c>
      <c r="K149" t="s">
        <v>14</v>
      </c>
      <c r="L149" t="s">
        <v>2659</v>
      </c>
      <c r="M149" s="17">
        <v>-100</v>
      </c>
      <c r="N149" s="17">
        <v>100</v>
      </c>
      <c r="O149" s="17">
        <v>4.66E-8</v>
      </c>
      <c r="P149" s="75">
        <v>4294967296</v>
      </c>
      <c r="Q149" t="s">
        <v>2660</v>
      </c>
      <c r="R149" t="s">
        <v>2660</v>
      </c>
    </row>
    <row r="150" spans="1:18" x14ac:dyDescent="0.25">
      <c r="A150" t="s">
        <v>3461</v>
      </c>
      <c r="B150" t="s">
        <v>3462</v>
      </c>
      <c r="C150" t="s">
        <v>3463</v>
      </c>
      <c r="D150" t="s">
        <v>2625</v>
      </c>
      <c r="E150" t="s">
        <v>3162</v>
      </c>
      <c r="F150" t="s">
        <v>35</v>
      </c>
      <c r="G150" t="s">
        <v>3072</v>
      </c>
      <c r="H150" s="8" t="s">
        <v>82</v>
      </c>
      <c r="J150" s="16" t="s">
        <v>3464</v>
      </c>
      <c r="K150" t="s">
        <v>14</v>
      </c>
      <c r="L150" t="s">
        <v>2659</v>
      </c>
      <c r="M150" s="17">
        <v>-500000</v>
      </c>
      <c r="N150" s="17">
        <v>500000</v>
      </c>
      <c r="O150" s="17">
        <v>2.3283059999999999E-4</v>
      </c>
      <c r="P150" s="75">
        <v>4294967296</v>
      </c>
      <c r="Q150" t="s">
        <v>2660</v>
      </c>
      <c r="R150" t="s">
        <v>2660</v>
      </c>
    </row>
    <row r="151" spans="1:18" x14ac:dyDescent="0.25">
      <c r="A151" t="s">
        <v>3150</v>
      </c>
      <c r="B151" t="s">
        <v>3146</v>
      </c>
      <c r="C151" t="s">
        <v>3149</v>
      </c>
      <c r="D151" t="s">
        <v>2625</v>
      </c>
      <c r="E151" t="s">
        <v>3146</v>
      </c>
      <c r="F151" t="s">
        <v>34</v>
      </c>
      <c r="G151" t="s">
        <v>2702</v>
      </c>
      <c r="H151" s="8" t="s">
        <v>71</v>
      </c>
      <c r="J151" s="16" t="s">
        <v>3465</v>
      </c>
      <c r="K151" t="s">
        <v>14</v>
      </c>
      <c r="L151" t="s">
        <v>2659</v>
      </c>
      <c r="M151" s="17">
        <v>0</v>
      </c>
      <c r="N151" s="17">
        <v>50000</v>
      </c>
      <c r="O151" s="17">
        <v>1.16415E-5</v>
      </c>
      <c r="P151" s="75">
        <v>4294967296</v>
      </c>
      <c r="Q151" t="s">
        <v>2660</v>
      </c>
      <c r="R151" t="s">
        <v>2660</v>
      </c>
    </row>
    <row r="152" spans="1:18" x14ac:dyDescent="0.25">
      <c r="A152" t="s">
        <v>3475</v>
      </c>
      <c r="B152" t="s">
        <v>3476</v>
      </c>
      <c r="C152" t="s">
        <v>3477</v>
      </c>
      <c r="D152" t="s">
        <v>2664</v>
      </c>
      <c r="E152" t="s">
        <v>2664</v>
      </c>
      <c r="F152" t="s">
        <v>35</v>
      </c>
      <c r="G152" t="s">
        <v>2686</v>
      </c>
      <c r="H152" s="8" t="s">
        <v>100</v>
      </c>
      <c r="J152" s="16" t="s">
        <v>3478</v>
      </c>
      <c r="K152" t="s">
        <v>14</v>
      </c>
      <c r="L152" t="s">
        <v>2659</v>
      </c>
      <c r="M152" s="17">
        <v>-5000</v>
      </c>
      <c r="N152" s="17">
        <v>5000</v>
      </c>
      <c r="O152" s="17">
        <v>2.3282999999999998E-6</v>
      </c>
      <c r="P152" s="75">
        <v>4294967296</v>
      </c>
      <c r="Q152" t="s">
        <v>2660</v>
      </c>
      <c r="R152" t="s">
        <v>2660</v>
      </c>
    </row>
    <row r="153" spans="1:18" x14ac:dyDescent="0.25">
      <c r="A153" t="s">
        <v>3479</v>
      </c>
      <c r="B153" t="s">
        <v>3480</v>
      </c>
      <c r="C153" t="s">
        <v>3481</v>
      </c>
      <c r="D153" t="s">
        <v>2674</v>
      </c>
      <c r="E153" t="s">
        <v>3482</v>
      </c>
      <c r="F153" t="s">
        <v>35</v>
      </c>
      <c r="G153" t="s">
        <v>2669</v>
      </c>
      <c r="H153" s="8" t="s">
        <v>113</v>
      </c>
      <c r="J153" s="16" t="s">
        <v>3483</v>
      </c>
      <c r="K153" t="s">
        <v>14</v>
      </c>
      <c r="L153" t="s">
        <v>2659</v>
      </c>
      <c r="M153" s="17">
        <v>0</v>
      </c>
      <c r="N153" s="17">
        <v>1</v>
      </c>
      <c r="O153" s="17">
        <v>2.0000000000000001E-10</v>
      </c>
      <c r="P153" s="75">
        <v>4294967296</v>
      </c>
      <c r="Q153" t="s">
        <v>2660</v>
      </c>
      <c r="R153" t="s">
        <v>2660</v>
      </c>
    </row>
    <row r="154" spans="1:18" x14ac:dyDescent="0.25">
      <c r="A154" t="s">
        <v>3484</v>
      </c>
      <c r="B154" t="s">
        <v>3485</v>
      </c>
      <c r="C154" t="s">
        <v>3486</v>
      </c>
      <c r="D154" t="s">
        <v>2674</v>
      </c>
      <c r="E154" t="s">
        <v>3482</v>
      </c>
      <c r="F154" t="s">
        <v>35</v>
      </c>
      <c r="G154" t="s">
        <v>2698</v>
      </c>
      <c r="H154" s="8" t="s">
        <v>113</v>
      </c>
      <c r="J154" s="16" t="s">
        <v>3487</v>
      </c>
      <c r="K154" t="s">
        <v>14</v>
      </c>
      <c r="L154" t="s">
        <v>2659</v>
      </c>
      <c r="M154" s="17">
        <v>1</v>
      </c>
      <c r="N154" s="17">
        <v>2</v>
      </c>
      <c r="O154" s="17">
        <v>2.0000000000000001E-10</v>
      </c>
      <c r="P154" s="75">
        <v>4294967296</v>
      </c>
      <c r="Q154" t="s">
        <v>2660</v>
      </c>
      <c r="R154" t="s">
        <v>2660</v>
      </c>
    </row>
    <row r="155" spans="1:18" x14ac:dyDescent="0.25">
      <c r="A155" t="s">
        <v>3488</v>
      </c>
      <c r="B155" t="s">
        <v>3489</v>
      </c>
      <c r="C155" t="s">
        <v>3490</v>
      </c>
      <c r="D155" t="s">
        <v>2674</v>
      </c>
      <c r="E155" t="s">
        <v>3482</v>
      </c>
      <c r="F155" t="s">
        <v>35</v>
      </c>
      <c r="G155" t="s">
        <v>2702</v>
      </c>
      <c r="H155" s="8" t="s">
        <v>71</v>
      </c>
      <c r="J155" s="16" t="s">
        <v>3491</v>
      </c>
      <c r="K155" t="s">
        <v>14</v>
      </c>
      <c r="L155" t="s">
        <v>2659</v>
      </c>
      <c r="M155" s="17">
        <v>0</v>
      </c>
      <c r="N155" s="17">
        <v>10000</v>
      </c>
      <c r="O155" s="17">
        <v>2.3282999999999998E-6</v>
      </c>
      <c r="P155" s="75">
        <v>4294967296</v>
      </c>
      <c r="Q155" t="s">
        <v>2660</v>
      </c>
      <c r="R155" t="s">
        <v>2660</v>
      </c>
    </row>
    <row r="156" spans="1:18" x14ac:dyDescent="0.25">
      <c r="A156" t="s">
        <v>3492</v>
      </c>
      <c r="B156" t="s">
        <v>3489</v>
      </c>
      <c r="C156" t="s">
        <v>3490</v>
      </c>
      <c r="D156" t="s">
        <v>2674</v>
      </c>
      <c r="E156" t="s">
        <v>3482</v>
      </c>
      <c r="F156" t="s">
        <v>35</v>
      </c>
      <c r="G156" t="s">
        <v>2686</v>
      </c>
      <c r="H156" s="8" t="s">
        <v>100</v>
      </c>
      <c r="J156" s="16" t="s">
        <v>3493</v>
      </c>
      <c r="K156" t="s">
        <v>14</v>
      </c>
      <c r="L156" t="s">
        <v>2659</v>
      </c>
      <c r="M156" s="17">
        <v>-100000</v>
      </c>
      <c r="N156" s="17">
        <v>100000</v>
      </c>
      <c r="O156" s="17">
        <v>4.6566100000000001E-5</v>
      </c>
      <c r="P156" s="75">
        <v>4294967296</v>
      </c>
      <c r="Q156" t="s">
        <v>2660</v>
      </c>
      <c r="R156" t="s">
        <v>2660</v>
      </c>
    </row>
    <row r="157" spans="1:18" x14ac:dyDescent="0.25">
      <c r="A157" t="s">
        <v>3494</v>
      </c>
      <c r="B157" t="s">
        <v>3495</v>
      </c>
      <c r="C157" t="s">
        <v>3496</v>
      </c>
      <c r="D157" t="s">
        <v>2674</v>
      </c>
      <c r="E157" t="s">
        <v>3482</v>
      </c>
      <c r="F157" t="s">
        <v>35</v>
      </c>
      <c r="G157" t="s">
        <v>2700</v>
      </c>
      <c r="H157" s="8" t="s">
        <v>79</v>
      </c>
      <c r="J157" s="16" t="s">
        <v>3497</v>
      </c>
      <c r="K157" t="s">
        <v>14</v>
      </c>
      <c r="L157" t="s">
        <v>2659</v>
      </c>
      <c r="M157" s="17">
        <v>0</v>
      </c>
      <c r="N157" s="17">
        <v>100</v>
      </c>
      <c r="O157" s="17">
        <v>2.33E-8</v>
      </c>
      <c r="P157" s="75">
        <v>4294967296</v>
      </c>
      <c r="Q157" t="s">
        <v>2660</v>
      </c>
      <c r="R157" t="s">
        <v>2660</v>
      </c>
    </row>
    <row r="158" spans="1:18" x14ac:dyDescent="0.25">
      <c r="A158" t="s">
        <v>3457</v>
      </c>
      <c r="B158" t="s">
        <v>3514</v>
      </c>
      <c r="C158" t="s">
        <v>3515</v>
      </c>
      <c r="D158" t="s">
        <v>2625</v>
      </c>
      <c r="E158" t="s">
        <v>3162</v>
      </c>
      <c r="F158" t="s">
        <v>35</v>
      </c>
      <c r="G158" t="s">
        <v>3072</v>
      </c>
      <c r="H158" s="8" t="s">
        <v>82</v>
      </c>
      <c r="J158" s="16" t="s">
        <v>3516</v>
      </c>
      <c r="K158" t="s">
        <v>14</v>
      </c>
      <c r="L158" t="s">
        <v>2659</v>
      </c>
      <c r="M158" s="17">
        <v>0</v>
      </c>
      <c r="N158" s="17">
        <v>500000</v>
      </c>
      <c r="O158" s="17">
        <v>1.164153E-4</v>
      </c>
      <c r="P158" s="75">
        <v>4294967296</v>
      </c>
      <c r="Q158" t="s">
        <v>2660</v>
      </c>
      <c r="R158" t="s">
        <v>2660</v>
      </c>
    </row>
    <row r="159" spans="1:18" x14ac:dyDescent="0.25">
      <c r="A159" t="s">
        <v>3526</v>
      </c>
      <c r="B159" t="s">
        <v>3527</v>
      </c>
      <c r="C159" t="s">
        <v>3528</v>
      </c>
      <c r="D159" t="s">
        <v>2674</v>
      </c>
      <c r="E159" t="s">
        <v>3525</v>
      </c>
      <c r="F159" t="s">
        <v>35</v>
      </c>
      <c r="G159" t="s">
        <v>2806</v>
      </c>
      <c r="H159" s="8" t="s">
        <v>66</v>
      </c>
      <c r="J159" s="16" t="s">
        <v>3529</v>
      </c>
      <c r="K159" t="s">
        <v>14</v>
      </c>
      <c r="L159" t="s">
        <v>2659</v>
      </c>
      <c r="M159" s="17">
        <v>-1000</v>
      </c>
      <c r="N159" s="17">
        <v>1000</v>
      </c>
      <c r="O159" s="17">
        <v>4.6569999999999999E-7</v>
      </c>
      <c r="P159" s="75">
        <v>4294967296</v>
      </c>
      <c r="Q159" t="s">
        <v>2660</v>
      </c>
      <c r="R159" t="s">
        <v>2660</v>
      </c>
    </row>
    <row r="160" spans="1:18" x14ac:dyDescent="0.25">
      <c r="A160" t="s">
        <v>3534</v>
      </c>
      <c r="B160" t="s">
        <v>3333</v>
      </c>
      <c r="C160" t="s">
        <v>3334</v>
      </c>
      <c r="D160" t="s">
        <v>2789</v>
      </c>
      <c r="E160" t="s">
        <v>2789</v>
      </c>
      <c r="F160" t="s">
        <v>35</v>
      </c>
      <c r="G160" t="s">
        <v>2756</v>
      </c>
      <c r="H160" s="8" t="s">
        <v>1679</v>
      </c>
      <c r="J160" s="16" t="s">
        <v>3535</v>
      </c>
      <c r="K160" t="s">
        <v>14</v>
      </c>
      <c r="L160" t="s">
        <v>2659</v>
      </c>
      <c r="M160" s="17">
        <v>0</v>
      </c>
      <c r="N160" s="17">
        <v>21</v>
      </c>
      <c r="O160" s="17">
        <v>4.9E-9</v>
      </c>
      <c r="P160" s="75">
        <v>4294967296</v>
      </c>
      <c r="Q160" t="s">
        <v>2660</v>
      </c>
      <c r="R160" t="s">
        <v>2660</v>
      </c>
    </row>
    <row r="161" spans="1:18" x14ac:dyDescent="0.25">
      <c r="A161" t="s">
        <v>3536</v>
      </c>
      <c r="B161" t="s">
        <v>3537</v>
      </c>
      <c r="C161" t="s">
        <v>3538</v>
      </c>
      <c r="D161" t="s">
        <v>2789</v>
      </c>
      <c r="E161" t="s">
        <v>2789</v>
      </c>
      <c r="F161" t="s">
        <v>35</v>
      </c>
      <c r="G161" t="s">
        <v>2756</v>
      </c>
      <c r="H161" s="8" t="s">
        <v>1679</v>
      </c>
      <c r="J161" s="16" t="s">
        <v>3539</v>
      </c>
      <c r="K161" t="s">
        <v>14</v>
      </c>
      <c r="L161" t="s">
        <v>2659</v>
      </c>
      <c r="M161" s="17">
        <v>0</v>
      </c>
      <c r="N161" s="17">
        <v>21</v>
      </c>
      <c r="O161" s="17">
        <v>4.9E-9</v>
      </c>
      <c r="P161" s="75">
        <v>4294967296</v>
      </c>
      <c r="Q161" t="s">
        <v>2660</v>
      </c>
      <c r="R161" t="s">
        <v>2660</v>
      </c>
    </row>
    <row r="162" spans="1:18" x14ac:dyDescent="0.25">
      <c r="A162" t="s">
        <v>3540</v>
      </c>
      <c r="B162" t="s">
        <v>3541</v>
      </c>
      <c r="C162" t="s">
        <v>3542</v>
      </c>
      <c r="D162" t="s">
        <v>2789</v>
      </c>
      <c r="E162" t="s">
        <v>2789</v>
      </c>
      <c r="F162" t="s">
        <v>35</v>
      </c>
      <c r="G162" t="s">
        <v>2702</v>
      </c>
      <c r="H162" s="8" t="s">
        <v>71</v>
      </c>
      <c r="J162" s="16" t="s">
        <v>3543</v>
      </c>
      <c r="K162" t="s">
        <v>14</v>
      </c>
      <c r="L162" t="s">
        <v>2659</v>
      </c>
      <c r="M162" s="17">
        <v>-21</v>
      </c>
      <c r="N162" s="17">
        <v>2147400</v>
      </c>
      <c r="O162" s="17">
        <v>4.9998540000000002E-4</v>
      </c>
      <c r="P162" s="75">
        <v>4294967296</v>
      </c>
      <c r="Q162" t="s">
        <v>2660</v>
      </c>
      <c r="R162" t="s">
        <v>2660</v>
      </c>
    </row>
    <row r="163" spans="1:18" x14ac:dyDescent="0.25">
      <c r="A163" t="s">
        <v>3544</v>
      </c>
      <c r="B163" t="s">
        <v>3544</v>
      </c>
      <c r="C163" t="s">
        <v>3545</v>
      </c>
      <c r="D163" t="s">
        <v>2625</v>
      </c>
      <c r="E163" t="s">
        <v>3155</v>
      </c>
      <c r="F163" t="s">
        <v>35</v>
      </c>
      <c r="G163" t="s">
        <v>2786</v>
      </c>
      <c r="H163" s="8" t="s">
        <v>96</v>
      </c>
      <c r="J163" s="16" t="s">
        <v>3546</v>
      </c>
      <c r="K163" t="s">
        <v>14</v>
      </c>
      <c r="L163" t="s">
        <v>2659</v>
      </c>
      <c r="M163" s="17">
        <v>0</v>
      </c>
      <c r="N163" s="17">
        <v>100</v>
      </c>
      <c r="O163" s="17">
        <v>2.33E-8</v>
      </c>
      <c r="P163" s="75">
        <v>4294967296</v>
      </c>
      <c r="Q163" t="s">
        <v>2660</v>
      </c>
      <c r="R163" t="s">
        <v>2660</v>
      </c>
    </row>
    <row r="164" spans="1:18" x14ac:dyDescent="0.25">
      <c r="A164" t="s">
        <v>3547</v>
      </c>
      <c r="B164" t="s">
        <v>3548</v>
      </c>
      <c r="C164" t="s">
        <v>3549</v>
      </c>
      <c r="D164" t="s">
        <v>2791</v>
      </c>
      <c r="E164" t="s">
        <v>2792</v>
      </c>
      <c r="F164" t="s">
        <v>35</v>
      </c>
      <c r="G164" t="s">
        <v>3550</v>
      </c>
      <c r="H164" s="8" t="s">
        <v>113</v>
      </c>
      <c r="J164" s="16" t="s">
        <v>3551</v>
      </c>
      <c r="K164" t="s">
        <v>14</v>
      </c>
      <c r="L164" t="s">
        <v>2659</v>
      </c>
      <c r="M164" s="17">
        <v>0</v>
      </c>
      <c r="N164" s="17">
        <v>1</v>
      </c>
      <c r="O164" s="17">
        <v>2.0000000000000001E-10</v>
      </c>
      <c r="P164" s="75">
        <v>4294967296</v>
      </c>
      <c r="Q164" t="s">
        <v>2660</v>
      </c>
      <c r="R164" t="s">
        <v>2660</v>
      </c>
    </row>
    <row r="165" spans="1:18" x14ac:dyDescent="0.25">
      <c r="A165" t="s">
        <v>3524</v>
      </c>
      <c r="B165" t="s">
        <v>3553</v>
      </c>
      <c r="C165" t="s">
        <v>3554</v>
      </c>
      <c r="D165" t="s">
        <v>2674</v>
      </c>
      <c r="E165" t="s">
        <v>3525</v>
      </c>
      <c r="F165" t="s">
        <v>35</v>
      </c>
      <c r="G165" t="s">
        <v>2786</v>
      </c>
      <c r="H165" s="8" t="s">
        <v>96</v>
      </c>
      <c r="J165" s="16" t="s">
        <v>3555</v>
      </c>
      <c r="K165" t="s">
        <v>14</v>
      </c>
      <c r="L165" t="s">
        <v>2659</v>
      </c>
      <c r="M165" s="17">
        <v>-1000</v>
      </c>
      <c r="N165" s="17">
        <v>1500</v>
      </c>
      <c r="O165" s="17">
        <v>5.821E-7</v>
      </c>
      <c r="P165" s="75">
        <v>4294967296</v>
      </c>
      <c r="Q165" t="s">
        <v>2660</v>
      </c>
      <c r="R165" t="s">
        <v>2660</v>
      </c>
    </row>
    <row r="166" spans="1:18" x14ac:dyDescent="0.25">
      <c r="A166" t="s">
        <v>3524</v>
      </c>
      <c r="B166" t="s">
        <v>3556</v>
      </c>
      <c r="C166" t="s">
        <v>3557</v>
      </c>
      <c r="D166" t="s">
        <v>2674</v>
      </c>
      <c r="E166" t="s">
        <v>3525</v>
      </c>
      <c r="F166" t="s">
        <v>35</v>
      </c>
      <c r="G166" t="s">
        <v>2786</v>
      </c>
      <c r="H166" s="8" t="s">
        <v>96</v>
      </c>
      <c r="J166" s="16" t="s">
        <v>3558</v>
      </c>
      <c r="K166" t="s">
        <v>14</v>
      </c>
      <c r="L166" t="s">
        <v>2659</v>
      </c>
      <c r="M166" s="17">
        <v>-1000</v>
      </c>
      <c r="N166" s="17">
        <v>1500</v>
      </c>
      <c r="O166" s="17">
        <v>5.821E-7</v>
      </c>
      <c r="P166" s="75">
        <v>4294967296</v>
      </c>
      <c r="Q166" t="s">
        <v>2660</v>
      </c>
      <c r="R166" t="s">
        <v>2660</v>
      </c>
    </row>
    <row r="167" spans="1:18" x14ac:dyDescent="0.25">
      <c r="A167" t="s">
        <v>3524</v>
      </c>
      <c r="B167" t="s">
        <v>3559</v>
      </c>
      <c r="C167" t="s">
        <v>3560</v>
      </c>
      <c r="D167" t="s">
        <v>2674</v>
      </c>
      <c r="E167" t="s">
        <v>3525</v>
      </c>
      <c r="F167" t="s">
        <v>35</v>
      </c>
      <c r="G167" t="s">
        <v>2786</v>
      </c>
      <c r="H167" s="8" t="s">
        <v>96</v>
      </c>
      <c r="J167" s="16" t="s">
        <v>3561</v>
      </c>
      <c r="K167" t="s">
        <v>14</v>
      </c>
      <c r="L167" t="s">
        <v>2659</v>
      </c>
      <c r="M167" s="17">
        <v>-1000</v>
      </c>
      <c r="N167" s="17">
        <v>1500</v>
      </c>
      <c r="O167" s="17">
        <v>5.821E-7</v>
      </c>
      <c r="P167" s="75">
        <v>4294967296</v>
      </c>
      <c r="Q167" t="s">
        <v>2660</v>
      </c>
      <c r="R167" t="s">
        <v>2660</v>
      </c>
    </row>
    <row r="168" spans="1:18" x14ac:dyDescent="0.25">
      <c r="A168" t="s">
        <v>3524</v>
      </c>
      <c r="B168" t="s">
        <v>3562</v>
      </c>
      <c r="C168" t="s">
        <v>3563</v>
      </c>
      <c r="D168" t="s">
        <v>2674</v>
      </c>
      <c r="E168" t="s">
        <v>3525</v>
      </c>
      <c r="F168" t="s">
        <v>35</v>
      </c>
      <c r="G168" t="s">
        <v>2786</v>
      </c>
      <c r="H168" s="8" t="s">
        <v>96</v>
      </c>
      <c r="J168" s="16" t="s">
        <v>3564</v>
      </c>
      <c r="K168" t="s">
        <v>14</v>
      </c>
      <c r="L168" t="s">
        <v>2659</v>
      </c>
      <c r="M168" s="17">
        <v>-1000</v>
      </c>
      <c r="N168" s="17">
        <v>1500</v>
      </c>
      <c r="O168" s="17">
        <v>5.821E-7</v>
      </c>
      <c r="P168" s="75">
        <v>4294967296</v>
      </c>
      <c r="Q168" t="s">
        <v>2660</v>
      </c>
      <c r="R168" t="s">
        <v>2660</v>
      </c>
    </row>
    <row r="169" spans="1:18" x14ac:dyDescent="0.25">
      <c r="A169" t="s">
        <v>3565</v>
      </c>
      <c r="B169" t="s">
        <v>3566</v>
      </c>
      <c r="C169" t="s">
        <v>3567</v>
      </c>
      <c r="D169" t="s">
        <v>2789</v>
      </c>
      <c r="E169" t="s">
        <v>2789</v>
      </c>
      <c r="F169" t="s">
        <v>35</v>
      </c>
      <c r="G169" t="s">
        <v>2686</v>
      </c>
      <c r="H169" s="8" t="s">
        <v>100</v>
      </c>
      <c r="J169" s="16" t="s">
        <v>3568</v>
      </c>
      <c r="K169" t="s">
        <v>14</v>
      </c>
      <c r="L169" t="s">
        <v>2659</v>
      </c>
      <c r="M169" s="17">
        <v>-1000</v>
      </c>
      <c r="N169" s="17">
        <v>3000</v>
      </c>
      <c r="O169" s="17">
        <v>9.3129999999999998E-7</v>
      </c>
      <c r="P169" s="75">
        <v>4294967296</v>
      </c>
      <c r="Q169" t="s">
        <v>2660</v>
      </c>
      <c r="R169" t="s">
        <v>2660</v>
      </c>
    </row>
    <row r="170" spans="1:18" x14ac:dyDescent="0.25">
      <c r="A170" t="s">
        <v>3569</v>
      </c>
      <c r="B170" t="s">
        <v>3570</v>
      </c>
      <c r="C170" t="s">
        <v>3571</v>
      </c>
      <c r="D170" t="s">
        <v>2791</v>
      </c>
      <c r="E170" t="s">
        <v>2792</v>
      </c>
      <c r="F170" t="s">
        <v>35</v>
      </c>
      <c r="G170" t="s">
        <v>2892</v>
      </c>
      <c r="H170" s="8" t="s">
        <v>2893</v>
      </c>
      <c r="J170" s="16" t="s">
        <v>3572</v>
      </c>
      <c r="K170" t="s">
        <v>14</v>
      </c>
      <c r="L170" t="s">
        <v>2659</v>
      </c>
      <c r="M170" s="17">
        <v>0</v>
      </c>
      <c r="N170" s="17">
        <v>5000</v>
      </c>
      <c r="O170" s="17">
        <v>1.1642E-6</v>
      </c>
      <c r="P170" s="75">
        <v>4294967296</v>
      </c>
      <c r="Q170" t="s">
        <v>2660</v>
      </c>
      <c r="R170" t="s">
        <v>2660</v>
      </c>
    </row>
    <row r="171" spans="1:18" x14ac:dyDescent="0.25">
      <c r="A171" t="s">
        <v>3573</v>
      </c>
      <c r="B171" t="s">
        <v>3574</v>
      </c>
      <c r="C171" t="s">
        <v>3575</v>
      </c>
      <c r="D171" t="s">
        <v>2791</v>
      </c>
      <c r="E171" t="s">
        <v>2792</v>
      </c>
      <c r="F171" t="s">
        <v>35</v>
      </c>
      <c r="G171" t="s">
        <v>2806</v>
      </c>
      <c r="H171" s="8" t="s">
        <v>66</v>
      </c>
      <c r="J171" s="16" t="s">
        <v>3576</v>
      </c>
      <c r="K171" t="s">
        <v>14</v>
      </c>
      <c r="L171" t="s">
        <v>2659</v>
      </c>
      <c r="M171" s="17">
        <v>0</v>
      </c>
      <c r="N171" s="17">
        <v>200</v>
      </c>
      <c r="O171" s="17">
        <v>4.66E-8</v>
      </c>
      <c r="P171" s="75">
        <v>4294967296</v>
      </c>
      <c r="Q171" t="s">
        <v>2660</v>
      </c>
      <c r="R171" t="s">
        <v>2660</v>
      </c>
    </row>
    <row r="172" spans="1:18" x14ac:dyDescent="0.25">
      <c r="A172" t="s">
        <v>3578</v>
      </c>
      <c r="B172" t="s">
        <v>3579</v>
      </c>
      <c r="C172" t="s">
        <v>3580</v>
      </c>
      <c r="D172" t="s">
        <v>2789</v>
      </c>
      <c r="E172" t="s">
        <v>2789</v>
      </c>
      <c r="F172" t="s">
        <v>35</v>
      </c>
      <c r="G172" t="s">
        <v>3072</v>
      </c>
      <c r="H172" s="8" t="s">
        <v>82</v>
      </c>
      <c r="J172" s="16" t="s">
        <v>3581</v>
      </c>
      <c r="K172" t="s">
        <v>14</v>
      </c>
      <c r="L172" t="s">
        <v>2659</v>
      </c>
      <c r="M172" s="17">
        <v>-1000</v>
      </c>
      <c r="N172" s="17">
        <v>3500</v>
      </c>
      <c r="O172" s="17">
        <v>1.0476999999999999E-6</v>
      </c>
      <c r="P172" s="75">
        <v>4294967296</v>
      </c>
      <c r="Q172" t="s">
        <v>2660</v>
      </c>
      <c r="R172" t="s">
        <v>2660</v>
      </c>
    </row>
    <row r="173" spans="1:18" x14ac:dyDescent="0.25">
      <c r="A173" t="s">
        <v>3592</v>
      </c>
      <c r="B173" t="s">
        <v>3277</v>
      </c>
      <c r="C173" t="s">
        <v>3278</v>
      </c>
      <c r="D173" t="s">
        <v>2789</v>
      </c>
      <c r="E173" t="s">
        <v>2789</v>
      </c>
      <c r="F173" t="s">
        <v>35</v>
      </c>
      <c r="G173" t="s">
        <v>2786</v>
      </c>
      <c r="H173" s="8" t="s">
        <v>96</v>
      </c>
      <c r="J173" s="16" t="s">
        <v>3593</v>
      </c>
      <c r="K173" t="s">
        <v>14</v>
      </c>
      <c r="L173" t="s">
        <v>2659</v>
      </c>
      <c r="M173" s="17">
        <v>-40</v>
      </c>
      <c r="N173" s="17">
        <v>100</v>
      </c>
      <c r="O173" s="17">
        <v>3.2600000000000001E-8</v>
      </c>
      <c r="P173" s="75">
        <v>4294967296</v>
      </c>
      <c r="Q173" t="s">
        <v>2660</v>
      </c>
      <c r="R173" t="s">
        <v>2660</v>
      </c>
    </row>
    <row r="174" spans="1:18" x14ac:dyDescent="0.25">
      <c r="A174" t="s">
        <v>3594</v>
      </c>
      <c r="B174" t="s">
        <v>3280</v>
      </c>
      <c r="C174" t="s">
        <v>3281</v>
      </c>
      <c r="D174" t="s">
        <v>2789</v>
      </c>
      <c r="E174" t="s">
        <v>2789</v>
      </c>
      <c r="F174" t="s">
        <v>35</v>
      </c>
      <c r="G174" t="s">
        <v>2786</v>
      </c>
      <c r="H174" s="8" t="s">
        <v>96</v>
      </c>
      <c r="J174" s="16" t="s">
        <v>3595</v>
      </c>
      <c r="K174" t="s">
        <v>14</v>
      </c>
      <c r="L174" t="s">
        <v>2659</v>
      </c>
      <c r="M174" s="17">
        <v>-40</v>
      </c>
      <c r="N174" s="17">
        <v>100</v>
      </c>
      <c r="O174" s="17">
        <v>3.2600000000000001E-8</v>
      </c>
      <c r="P174" s="75">
        <v>4294967296</v>
      </c>
      <c r="Q174" t="s">
        <v>2660</v>
      </c>
      <c r="R174" t="s">
        <v>2660</v>
      </c>
    </row>
    <row r="175" spans="1:18" x14ac:dyDescent="0.25">
      <c r="A175" t="s">
        <v>3631</v>
      </c>
      <c r="B175" t="s">
        <v>2688</v>
      </c>
      <c r="C175" t="s">
        <v>2689</v>
      </c>
      <c r="D175" t="s">
        <v>37</v>
      </c>
      <c r="E175" t="s">
        <v>3632</v>
      </c>
      <c r="F175" t="s">
        <v>35</v>
      </c>
      <c r="G175" t="s">
        <v>2657</v>
      </c>
      <c r="H175" s="8" t="s">
        <v>3053</v>
      </c>
      <c r="J175" s="16" t="s">
        <v>3768</v>
      </c>
      <c r="K175" t="s">
        <v>14</v>
      </c>
      <c r="L175" t="s">
        <v>3771</v>
      </c>
      <c r="M175" s="17">
        <v>0</v>
      </c>
      <c r="N175" s="17">
        <v>150</v>
      </c>
      <c r="O175" s="17">
        <v>3.4900000000000001E-8</v>
      </c>
      <c r="P175" s="75">
        <v>4294967296</v>
      </c>
      <c r="Q175" t="s">
        <v>3626</v>
      </c>
      <c r="R175" t="s">
        <v>3626</v>
      </c>
    </row>
    <row r="176" spans="1:18" x14ac:dyDescent="0.25">
      <c r="A176" t="s">
        <v>3633</v>
      </c>
      <c r="B176" t="s">
        <v>797</v>
      </c>
      <c r="C176" t="s">
        <v>798</v>
      </c>
      <c r="D176" t="s">
        <v>37</v>
      </c>
      <c r="E176" t="s">
        <v>3632</v>
      </c>
      <c r="F176" t="s">
        <v>35</v>
      </c>
      <c r="G176" t="s">
        <v>2694</v>
      </c>
      <c r="H176" s="8" t="s">
        <v>64</v>
      </c>
      <c r="J176" s="16" t="s">
        <v>3769</v>
      </c>
      <c r="K176" t="s">
        <v>14</v>
      </c>
      <c r="L176" t="s">
        <v>3771</v>
      </c>
      <c r="M176" s="17">
        <v>0</v>
      </c>
      <c r="N176" s="17">
        <v>140000</v>
      </c>
      <c r="O176" s="17">
        <v>3.2596299999999998E-5</v>
      </c>
      <c r="P176" s="75">
        <v>4294967296</v>
      </c>
      <c r="Q176" t="s">
        <v>3626</v>
      </c>
      <c r="R176" t="s">
        <v>3626</v>
      </c>
    </row>
    <row r="177" spans="1:18" x14ac:dyDescent="0.25">
      <c r="A177" t="s">
        <v>3634</v>
      </c>
      <c r="B177" t="s">
        <v>81</v>
      </c>
      <c r="C177" t="s">
        <v>1755</v>
      </c>
      <c r="D177" t="s">
        <v>37</v>
      </c>
      <c r="E177" t="s">
        <v>3632</v>
      </c>
      <c r="F177" t="s">
        <v>35</v>
      </c>
      <c r="G177" t="s">
        <v>3072</v>
      </c>
      <c r="H177" s="8" t="s">
        <v>82</v>
      </c>
      <c r="J177" s="16" t="s">
        <v>3770</v>
      </c>
      <c r="K177" t="s">
        <v>14</v>
      </c>
      <c r="L177" t="s">
        <v>3771</v>
      </c>
      <c r="M177" s="17">
        <v>0</v>
      </c>
      <c r="N177" s="17">
        <v>400000</v>
      </c>
      <c r="O177" s="17">
        <v>9.3132299999999996E-5</v>
      </c>
      <c r="P177" s="75">
        <v>4294967296</v>
      </c>
      <c r="Q177" t="s">
        <v>3626</v>
      </c>
      <c r="R177" t="s">
        <v>3626</v>
      </c>
    </row>
    <row r="178" spans="1:18" x14ac:dyDescent="0.25">
      <c r="A178" t="s">
        <v>3635</v>
      </c>
      <c r="B178" t="s">
        <v>3636</v>
      </c>
      <c r="C178" t="s">
        <v>3637</v>
      </c>
      <c r="D178" t="s">
        <v>3596</v>
      </c>
      <c r="E178" t="s">
        <v>3638</v>
      </c>
      <c r="F178" t="s">
        <v>35</v>
      </c>
      <c r="G178" t="s">
        <v>2657</v>
      </c>
      <c r="H178" s="8" t="s">
        <v>3053</v>
      </c>
      <c r="J178" s="16" t="s">
        <v>3761</v>
      </c>
      <c r="K178" t="s">
        <v>14</v>
      </c>
      <c r="L178" t="s">
        <v>3759</v>
      </c>
      <c r="M178" s="17">
        <v>0</v>
      </c>
      <c r="N178" s="17">
        <v>150</v>
      </c>
      <c r="O178" s="17">
        <v>3.4900000000000001E-8</v>
      </c>
      <c r="P178" s="75">
        <v>4294967296</v>
      </c>
      <c r="Q178" t="s">
        <v>3626</v>
      </c>
      <c r="R178" t="s">
        <v>3626</v>
      </c>
    </row>
    <row r="179" spans="1:18" x14ac:dyDescent="0.25">
      <c r="A179" t="s">
        <v>3639</v>
      </c>
      <c r="B179" t="s">
        <v>3640</v>
      </c>
      <c r="C179" t="s">
        <v>3641</v>
      </c>
      <c r="D179" t="s">
        <v>3596</v>
      </c>
      <c r="E179" t="s">
        <v>3638</v>
      </c>
      <c r="F179" t="s">
        <v>35</v>
      </c>
      <c r="G179" t="s">
        <v>2694</v>
      </c>
      <c r="H179" s="8" t="s">
        <v>64</v>
      </c>
      <c r="J179" s="16" t="s">
        <v>3762</v>
      </c>
      <c r="K179" t="s">
        <v>14</v>
      </c>
      <c r="L179" t="s">
        <v>3759</v>
      </c>
      <c r="M179" s="17">
        <v>0</v>
      </c>
      <c r="N179" s="17">
        <v>140000</v>
      </c>
      <c r="O179" s="17">
        <v>3.2596299999999998E-5</v>
      </c>
      <c r="P179" s="75">
        <v>4294967296</v>
      </c>
      <c r="Q179" t="s">
        <v>3626</v>
      </c>
      <c r="R179" t="s">
        <v>3626</v>
      </c>
    </row>
    <row r="180" spans="1:18" x14ac:dyDescent="0.25">
      <c r="A180" t="s">
        <v>3642</v>
      </c>
      <c r="B180" t="s">
        <v>3643</v>
      </c>
      <c r="C180" t="s">
        <v>3644</v>
      </c>
      <c r="D180" t="s">
        <v>3596</v>
      </c>
      <c r="E180" t="s">
        <v>3638</v>
      </c>
      <c r="F180" t="s">
        <v>35</v>
      </c>
      <c r="G180" t="s">
        <v>3072</v>
      </c>
      <c r="H180" s="8" t="s">
        <v>82</v>
      </c>
      <c r="J180" s="16" t="s">
        <v>3763</v>
      </c>
      <c r="K180" t="s">
        <v>14</v>
      </c>
      <c r="L180" t="s">
        <v>3759</v>
      </c>
      <c r="M180" s="17">
        <v>0</v>
      </c>
      <c r="N180" s="17">
        <v>400000</v>
      </c>
      <c r="O180" s="17">
        <v>9.3132299999999996E-5</v>
      </c>
      <c r="P180" s="75">
        <v>4294967296</v>
      </c>
      <c r="Q180" t="s">
        <v>3626</v>
      </c>
      <c r="R180" t="s">
        <v>3626</v>
      </c>
    </row>
    <row r="181" spans="1:18" x14ac:dyDescent="0.25">
      <c r="A181" t="s">
        <v>3645</v>
      </c>
      <c r="B181" t="s">
        <v>3646</v>
      </c>
      <c r="C181" t="s">
        <v>3647</v>
      </c>
      <c r="D181" t="s">
        <v>3596</v>
      </c>
      <c r="E181" t="s">
        <v>3638</v>
      </c>
      <c r="F181" t="s">
        <v>35</v>
      </c>
      <c r="G181" t="s">
        <v>2698</v>
      </c>
      <c r="H181" s="8" t="s">
        <v>113</v>
      </c>
      <c r="J181" s="16" t="s">
        <v>3764</v>
      </c>
      <c r="K181" t="s">
        <v>14</v>
      </c>
      <c r="L181" t="s">
        <v>2659</v>
      </c>
      <c r="M181" s="17">
        <v>0</v>
      </c>
      <c r="N181" s="17">
        <v>400</v>
      </c>
      <c r="O181" s="17">
        <v>9.3100000000000006E-8</v>
      </c>
      <c r="P181" s="75">
        <v>4294967296</v>
      </c>
      <c r="Q181" t="s">
        <v>3626</v>
      </c>
      <c r="R181" t="s">
        <v>3626</v>
      </c>
    </row>
    <row r="182" spans="1:18" x14ac:dyDescent="0.25">
      <c r="A182" t="s">
        <v>3648</v>
      </c>
      <c r="B182" t="s">
        <v>1946</v>
      </c>
      <c r="C182" t="s">
        <v>1947</v>
      </c>
      <c r="D182" t="s">
        <v>3596</v>
      </c>
      <c r="E182" t="s">
        <v>3638</v>
      </c>
      <c r="F182" t="s">
        <v>35</v>
      </c>
      <c r="G182" t="s">
        <v>2701</v>
      </c>
      <c r="H182" s="8" t="s">
        <v>113</v>
      </c>
      <c r="J182" s="16" t="s">
        <v>3765</v>
      </c>
      <c r="K182" t="s">
        <v>14</v>
      </c>
      <c r="L182" t="s">
        <v>2659</v>
      </c>
      <c r="M182" s="17">
        <v>0</v>
      </c>
      <c r="N182" s="17">
        <v>1</v>
      </c>
      <c r="O182" s="17">
        <v>2.0000000000000001E-10</v>
      </c>
      <c r="P182" s="75">
        <v>4294967296</v>
      </c>
      <c r="Q182" t="s">
        <v>3626</v>
      </c>
      <c r="R182" t="s">
        <v>3626</v>
      </c>
    </row>
    <row r="183" spans="1:18" x14ac:dyDescent="0.25">
      <c r="A183" t="s">
        <v>3649</v>
      </c>
      <c r="B183" t="s">
        <v>3650</v>
      </c>
      <c r="C183" t="s">
        <v>3651</v>
      </c>
      <c r="D183" t="s">
        <v>3596</v>
      </c>
      <c r="E183" t="s">
        <v>3638</v>
      </c>
      <c r="F183" t="s">
        <v>35</v>
      </c>
      <c r="G183" t="s">
        <v>2701</v>
      </c>
      <c r="H183" s="8" t="s">
        <v>113</v>
      </c>
      <c r="J183" s="16" t="s">
        <v>3766</v>
      </c>
      <c r="K183" t="s">
        <v>14</v>
      </c>
      <c r="L183" t="s">
        <v>2659</v>
      </c>
      <c r="M183" s="17">
        <v>0</v>
      </c>
      <c r="N183" s="17">
        <v>1</v>
      </c>
      <c r="O183" s="17">
        <v>2.0000000000000001E-10</v>
      </c>
      <c r="P183" s="75">
        <v>4294967296</v>
      </c>
      <c r="Q183" t="s">
        <v>3626</v>
      </c>
      <c r="R183" t="s">
        <v>3626</v>
      </c>
    </row>
    <row r="184" spans="1:18" x14ac:dyDescent="0.25">
      <c r="A184" t="s">
        <v>3652</v>
      </c>
      <c r="B184" t="s">
        <v>3653</v>
      </c>
      <c r="C184" t="s">
        <v>3654</v>
      </c>
      <c r="D184" t="s">
        <v>3596</v>
      </c>
      <c r="E184" t="s">
        <v>3638</v>
      </c>
      <c r="F184" t="s">
        <v>35</v>
      </c>
      <c r="G184" t="s">
        <v>2694</v>
      </c>
      <c r="H184" s="8" t="s">
        <v>64</v>
      </c>
      <c r="J184" s="16" t="s">
        <v>3767</v>
      </c>
      <c r="K184" t="s">
        <v>14</v>
      </c>
      <c r="L184" t="s">
        <v>2659</v>
      </c>
      <c r="M184" s="17">
        <v>0</v>
      </c>
      <c r="N184" s="17">
        <v>140000</v>
      </c>
      <c r="O184" s="17">
        <v>3.2596299999999998E-5</v>
      </c>
      <c r="P184" s="75">
        <v>4294967296</v>
      </c>
      <c r="Q184" t="s">
        <v>3626</v>
      </c>
      <c r="R184" t="s">
        <v>3626</v>
      </c>
    </row>
    <row r="185" spans="1:18" x14ac:dyDescent="0.25">
      <c r="A185" s="77" t="s">
        <v>2718</v>
      </c>
      <c r="B185" t="s">
        <v>2719</v>
      </c>
      <c r="C185" t="s">
        <v>2720</v>
      </c>
      <c r="D185" s="17" t="s">
        <v>3627</v>
      </c>
      <c r="E185" t="s">
        <v>3628</v>
      </c>
      <c r="F185" t="s">
        <v>35</v>
      </c>
      <c r="G185" t="s">
        <v>2698</v>
      </c>
      <c r="H185" s="8" t="s">
        <v>113</v>
      </c>
      <c r="J185" s="16" t="s">
        <v>3674</v>
      </c>
      <c r="K185" t="s">
        <v>14</v>
      </c>
      <c r="L185" t="s">
        <v>2659</v>
      </c>
      <c r="M185" s="17">
        <v>0</v>
      </c>
      <c r="N185" s="17">
        <v>10</v>
      </c>
      <c r="O185" s="17">
        <v>2.2999999999999999E-9</v>
      </c>
      <c r="P185" s="75">
        <v>4294967296</v>
      </c>
      <c r="Q185" t="s">
        <v>2660</v>
      </c>
      <c r="R185" t="s">
        <v>2660</v>
      </c>
    </row>
    <row r="186" spans="1:18" x14ac:dyDescent="0.25">
      <c r="A186" t="s">
        <v>2721</v>
      </c>
      <c r="B186" t="s">
        <v>2722</v>
      </c>
      <c r="C186" t="s">
        <v>2723</v>
      </c>
      <c r="D186" s="17" t="s">
        <v>3627</v>
      </c>
      <c r="E186" t="s">
        <v>3628</v>
      </c>
      <c r="F186" t="s">
        <v>35</v>
      </c>
      <c r="G186" t="s">
        <v>2724</v>
      </c>
      <c r="H186" s="8" t="s">
        <v>85</v>
      </c>
      <c r="J186" s="16" t="s">
        <v>3629</v>
      </c>
      <c r="K186" t="s">
        <v>14</v>
      </c>
      <c r="L186" t="s">
        <v>2659</v>
      </c>
      <c r="M186" s="17">
        <v>0</v>
      </c>
      <c r="N186" s="17">
        <v>1000</v>
      </c>
      <c r="O186" s="17">
        <v>2.3279999999999999E-7</v>
      </c>
      <c r="P186" s="75">
        <v>4294967296</v>
      </c>
      <c r="Q186" t="s">
        <v>2660</v>
      </c>
      <c r="R186" t="s">
        <v>2660</v>
      </c>
    </row>
    <row r="187" spans="1:18" x14ac:dyDescent="0.25">
      <c r="A187" t="s">
        <v>2726</v>
      </c>
      <c r="B187" t="s">
        <v>2727</v>
      </c>
      <c r="C187" t="s">
        <v>3051</v>
      </c>
      <c r="D187" s="17" t="s">
        <v>3627</v>
      </c>
      <c r="E187" t="s">
        <v>3628</v>
      </c>
      <c r="F187" t="s">
        <v>35</v>
      </c>
      <c r="G187" t="s">
        <v>2724</v>
      </c>
      <c r="H187" s="8" t="s">
        <v>85</v>
      </c>
      <c r="J187" s="16" t="s">
        <v>3675</v>
      </c>
      <c r="K187" t="s">
        <v>14</v>
      </c>
      <c r="L187" t="s">
        <v>2659</v>
      </c>
      <c r="M187" s="17">
        <v>0</v>
      </c>
      <c r="N187" s="17">
        <v>1000</v>
      </c>
      <c r="O187" s="17">
        <v>2.3279999999999999E-7</v>
      </c>
      <c r="P187" s="75">
        <v>4294967296</v>
      </c>
      <c r="Q187" t="s">
        <v>2660</v>
      </c>
      <c r="R187" t="s">
        <v>2660</v>
      </c>
    </row>
    <row r="188" spans="1:18" x14ac:dyDescent="0.25">
      <c r="A188" t="s">
        <v>2728</v>
      </c>
      <c r="B188" t="s">
        <v>2729</v>
      </c>
      <c r="C188" t="s">
        <v>2730</v>
      </c>
      <c r="D188" s="17" t="s">
        <v>3627</v>
      </c>
      <c r="E188" t="s">
        <v>3628</v>
      </c>
      <c r="F188" t="s">
        <v>35</v>
      </c>
      <c r="G188" t="s">
        <v>2724</v>
      </c>
      <c r="H188" s="8" t="s">
        <v>85</v>
      </c>
      <c r="J188" s="16" t="s">
        <v>3676</v>
      </c>
      <c r="K188" t="s">
        <v>14</v>
      </c>
      <c r="L188" t="s">
        <v>2659</v>
      </c>
      <c r="M188" s="17">
        <v>0</v>
      </c>
      <c r="N188" s="17">
        <v>1000</v>
      </c>
      <c r="O188" s="17">
        <v>2.3279999999999999E-7</v>
      </c>
      <c r="P188" s="75">
        <v>4294967296</v>
      </c>
      <c r="Q188" t="s">
        <v>2660</v>
      </c>
      <c r="R188" t="s">
        <v>2660</v>
      </c>
    </row>
    <row r="189" spans="1:18" x14ac:dyDescent="0.25">
      <c r="A189" t="s">
        <v>2732</v>
      </c>
      <c r="B189" t="s">
        <v>2733</v>
      </c>
      <c r="C189" t="s">
        <v>2734</v>
      </c>
      <c r="D189" s="17" t="s">
        <v>3627</v>
      </c>
      <c r="E189" t="s">
        <v>3628</v>
      </c>
      <c r="F189" t="s">
        <v>35</v>
      </c>
      <c r="G189" t="s">
        <v>2724</v>
      </c>
      <c r="H189" s="8" t="s">
        <v>85</v>
      </c>
      <c r="J189" s="16" t="s">
        <v>3677</v>
      </c>
      <c r="K189" t="s">
        <v>14</v>
      </c>
      <c r="L189" t="s">
        <v>2659</v>
      </c>
      <c r="M189" s="17">
        <v>0</v>
      </c>
      <c r="N189" s="17">
        <v>1000</v>
      </c>
      <c r="O189" s="17">
        <v>2.3279999999999999E-7</v>
      </c>
      <c r="P189" s="75">
        <v>4294967296</v>
      </c>
      <c r="Q189" t="s">
        <v>2660</v>
      </c>
      <c r="R189" t="s">
        <v>2660</v>
      </c>
    </row>
    <row r="190" spans="1:18" x14ac:dyDescent="0.25">
      <c r="A190" t="s">
        <v>2736</v>
      </c>
      <c r="B190" t="s">
        <v>2737</v>
      </c>
      <c r="C190" t="s">
        <v>2738</v>
      </c>
      <c r="D190" s="17" t="s">
        <v>3627</v>
      </c>
      <c r="E190" t="s">
        <v>3628</v>
      </c>
      <c r="F190" t="s">
        <v>35</v>
      </c>
      <c r="G190" t="s">
        <v>2724</v>
      </c>
      <c r="H190" s="8" t="s">
        <v>85</v>
      </c>
      <c r="J190" s="16" t="s">
        <v>3678</v>
      </c>
      <c r="K190" t="s">
        <v>14</v>
      </c>
      <c r="L190" t="s">
        <v>2659</v>
      </c>
      <c r="M190" s="17">
        <v>0</v>
      </c>
      <c r="N190" s="17">
        <v>1000</v>
      </c>
      <c r="O190" s="17">
        <v>2.3279999999999999E-7</v>
      </c>
      <c r="P190" s="75">
        <v>4294967296</v>
      </c>
      <c r="Q190" t="s">
        <v>2660</v>
      </c>
      <c r="R190" t="s">
        <v>2660</v>
      </c>
    </row>
    <row r="191" spans="1:18" x14ac:dyDescent="0.25">
      <c r="A191" t="s">
        <v>2740</v>
      </c>
      <c r="B191" t="s">
        <v>2741</v>
      </c>
      <c r="C191" t="s">
        <v>2742</v>
      </c>
      <c r="D191" s="17" t="s">
        <v>3627</v>
      </c>
      <c r="E191" t="s">
        <v>3628</v>
      </c>
      <c r="F191" t="s">
        <v>35</v>
      </c>
      <c r="G191" t="s">
        <v>2724</v>
      </c>
      <c r="H191" s="8" t="s">
        <v>85</v>
      </c>
      <c r="J191" s="16" t="s">
        <v>3679</v>
      </c>
      <c r="K191" t="s">
        <v>14</v>
      </c>
      <c r="L191" t="s">
        <v>2659</v>
      </c>
      <c r="M191" s="17">
        <v>0</v>
      </c>
      <c r="N191" s="17">
        <v>1000</v>
      </c>
      <c r="O191" s="17">
        <v>2.3279999999999999E-7</v>
      </c>
      <c r="P191" s="75">
        <v>4294967296</v>
      </c>
      <c r="Q191" t="s">
        <v>2660</v>
      </c>
      <c r="R191" t="s">
        <v>2660</v>
      </c>
    </row>
    <row r="192" spans="1:18" x14ac:dyDescent="0.25">
      <c r="A192" t="s">
        <v>2744</v>
      </c>
      <c r="B192" t="s">
        <v>2727</v>
      </c>
      <c r="C192" t="s">
        <v>3051</v>
      </c>
      <c r="D192" s="17" t="s">
        <v>3627</v>
      </c>
      <c r="E192" t="s">
        <v>3628</v>
      </c>
      <c r="F192" t="s">
        <v>35</v>
      </c>
      <c r="G192" t="s">
        <v>2678</v>
      </c>
      <c r="H192" s="8" t="s">
        <v>76</v>
      </c>
      <c r="J192" s="16" t="s">
        <v>3680</v>
      </c>
      <c r="K192" t="s">
        <v>14</v>
      </c>
      <c r="L192" t="s">
        <v>2659</v>
      </c>
      <c r="M192" s="17">
        <v>-720</v>
      </c>
      <c r="N192" s="17">
        <v>720</v>
      </c>
      <c r="O192" s="17">
        <v>3.3529999999999999E-7</v>
      </c>
      <c r="P192" s="75">
        <v>4294967296</v>
      </c>
      <c r="Q192" t="s">
        <v>2660</v>
      </c>
      <c r="R192" t="s">
        <v>2660</v>
      </c>
    </row>
    <row r="193" spans="1:18" x14ac:dyDescent="0.25">
      <c r="A193" t="s">
        <v>2745</v>
      </c>
      <c r="B193" t="s">
        <v>2729</v>
      </c>
      <c r="C193" t="s">
        <v>2730</v>
      </c>
      <c r="D193" s="17" t="s">
        <v>3627</v>
      </c>
      <c r="E193" t="s">
        <v>3628</v>
      </c>
      <c r="F193" t="s">
        <v>35</v>
      </c>
      <c r="G193" t="s">
        <v>2678</v>
      </c>
      <c r="H193" s="8" t="s">
        <v>76</v>
      </c>
      <c r="J193" s="16" t="s">
        <v>3681</v>
      </c>
      <c r="K193" t="s">
        <v>14</v>
      </c>
      <c r="L193" t="s">
        <v>2659</v>
      </c>
      <c r="M193" s="17">
        <v>-720</v>
      </c>
      <c r="N193" s="17">
        <v>720</v>
      </c>
      <c r="O193" s="17">
        <v>3.3529999999999999E-7</v>
      </c>
      <c r="P193" s="75">
        <v>4294967296</v>
      </c>
      <c r="Q193" t="s">
        <v>2660</v>
      </c>
      <c r="R193" t="s">
        <v>2660</v>
      </c>
    </row>
    <row r="194" spans="1:18" x14ac:dyDescent="0.25">
      <c r="A194" t="s">
        <v>2747</v>
      </c>
      <c r="B194" t="s">
        <v>2733</v>
      </c>
      <c r="C194" t="s">
        <v>2734</v>
      </c>
      <c r="D194" s="17" t="s">
        <v>3627</v>
      </c>
      <c r="E194" t="s">
        <v>3628</v>
      </c>
      <c r="F194" t="s">
        <v>35</v>
      </c>
      <c r="G194" t="s">
        <v>2678</v>
      </c>
      <c r="H194" s="8" t="s">
        <v>76</v>
      </c>
      <c r="J194" s="16" t="s">
        <v>3682</v>
      </c>
      <c r="K194" t="s">
        <v>14</v>
      </c>
      <c r="L194" t="s">
        <v>2659</v>
      </c>
      <c r="M194" s="17">
        <v>-720</v>
      </c>
      <c r="N194" s="17">
        <v>720</v>
      </c>
      <c r="O194" s="17">
        <v>3.3529999999999999E-7</v>
      </c>
      <c r="P194" s="75">
        <v>4294967296</v>
      </c>
      <c r="Q194" t="s">
        <v>2660</v>
      </c>
      <c r="R194" t="s">
        <v>2660</v>
      </c>
    </row>
    <row r="195" spans="1:18" x14ac:dyDescent="0.25">
      <c r="A195" t="s">
        <v>2749</v>
      </c>
      <c r="B195" t="s">
        <v>2737</v>
      </c>
      <c r="C195" t="s">
        <v>2738</v>
      </c>
      <c r="D195" s="17" t="s">
        <v>3627</v>
      </c>
      <c r="E195" t="s">
        <v>3628</v>
      </c>
      <c r="F195" t="s">
        <v>35</v>
      </c>
      <c r="G195" t="s">
        <v>2678</v>
      </c>
      <c r="H195" s="8" t="s">
        <v>76</v>
      </c>
      <c r="J195" s="16" t="s">
        <v>3683</v>
      </c>
      <c r="K195" t="s">
        <v>14</v>
      </c>
      <c r="L195" t="s">
        <v>2659</v>
      </c>
      <c r="M195" s="17">
        <v>-720</v>
      </c>
      <c r="N195" s="17">
        <v>720</v>
      </c>
      <c r="O195" s="17">
        <v>3.3529999999999999E-7</v>
      </c>
      <c r="P195" s="75">
        <v>4294967296</v>
      </c>
      <c r="Q195" t="s">
        <v>2660</v>
      </c>
      <c r="R195" t="s">
        <v>2660</v>
      </c>
    </row>
    <row r="196" spans="1:18" x14ac:dyDescent="0.25">
      <c r="A196" t="s">
        <v>2751</v>
      </c>
      <c r="B196" t="s">
        <v>2741</v>
      </c>
      <c r="C196" t="s">
        <v>2742</v>
      </c>
      <c r="D196" s="17" t="s">
        <v>3627</v>
      </c>
      <c r="E196" t="s">
        <v>3628</v>
      </c>
      <c r="F196" t="s">
        <v>35</v>
      </c>
      <c r="G196" t="s">
        <v>2678</v>
      </c>
      <c r="H196" s="8" t="s">
        <v>76</v>
      </c>
      <c r="J196" s="16" t="s">
        <v>3684</v>
      </c>
      <c r="K196" t="s">
        <v>14</v>
      </c>
      <c r="L196" t="s">
        <v>2659</v>
      </c>
      <c r="M196" s="17">
        <v>-720</v>
      </c>
      <c r="N196" s="17">
        <v>720</v>
      </c>
      <c r="O196" s="17">
        <v>3.3529999999999999E-7</v>
      </c>
      <c r="P196" s="75">
        <v>4294967296</v>
      </c>
      <c r="Q196" t="s">
        <v>2660</v>
      </c>
      <c r="R196" t="s">
        <v>2660</v>
      </c>
    </row>
    <row r="197" spans="1:18" x14ac:dyDescent="0.25">
      <c r="A197" t="s">
        <v>2753</v>
      </c>
      <c r="B197" t="s">
        <v>2754</v>
      </c>
      <c r="C197" t="s">
        <v>2755</v>
      </c>
      <c r="D197" s="17" t="s">
        <v>3627</v>
      </c>
      <c r="E197" t="s">
        <v>3628</v>
      </c>
      <c r="F197" t="s">
        <v>35</v>
      </c>
      <c r="G197" t="s">
        <v>2756</v>
      </c>
      <c r="H197" s="8" t="s">
        <v>1679</v>
      </c>
      <c r="J197" s="16" t="s">
        <v>3685</v>
      </c>
      <c r="K197" t="s">
        <v>14</v>
      </c>
      <c r="L197" t="s">
        <v>2659</v>
      </c>
      <c r="M197" s="17">
        <v>0</v>
      </c>
      <c r="N197" s="17">
        <v>400000000</v>
      </c>
      <c r="O197" s="17">
        <v>9.3132257499999996E-2</v>
      </c>
      <c r="P197" s="75">
        <v>4294967296</v>
      </c>
      <c r="Q197" t="s">
        <v>2660</v>
      </c>
      <c r="R197" t="s">
        <v>2660</v>
      </c>
    </row>
    <row r="198" spans="1:18" x14ac:dyDescent="0.25">
      <c r="A198" t="s">
        <v>3022</v>
      </c>
      <c r="B198" t="s">
        <v>3023</v>
      </c>
      <c r="C198" t="s">
        <v>3024</v>
      </c>
      <c r="D198" s="17" t="s">
        <v>3627</v>
      </c>
      <c r="E198" t="s">
        <v>3628</v>
      </c>
      <c r="F198" t="s">
        <v>35</v>
      </c>
      <c r="G198" t="s">
        <v>2702</v>
      </c>
      <c r="H198" s="8" t="s">
        <v>71</v>
      </c>
      <c r="J198" s="16" t="s">
        <v>3686</v>
      </c>
      <c r="K198" t="s">
        <v>14</v>
      </c>
      <c r="L198" t="s">
        <v>2659</v>
      </c>
      <c r="M198" s="17">
        <v>0</v>
      </c>
      <c r="N198" s="17">
        <v>10000</v>
      </c>
      <c r="O198" s="17">
        <v>2.3282999999999998E-6</v>
      </c>
      <c r="P198" s="75">
        <v>4294967296</v>
      </c>
      <c r="Q198" t="s">
        <v>2660</v>
      </c>
      <c r="R198" t="s">
        <v>2660</v>
      </c>
    </row>
    <row r="199" spans="1:18" x14ac:dyDescent="0.25">
      <c r="A199" t="s">
        <v>3025</v>
      </c>
      <c r="B199" t="s">
        <v>3026</v>
      </c>
      <c r="C199" t="s">
        <v>3027</v>
      </c>
      <c r="D199" s="17" t="s">
        <v>3627</v>
      </c>
      <c r="E199" t="s">
        <v>3628</v>
      </c>
      <c r="F199" t="s">
        <v>35</v>
      </c>
      <c r="G199" t="s">
        <v>2686</v>
      </c>
      <c r="H199" s="8" t="s">
        <v>100</v>
      </c>
      <c r="J199" s="16" t="s">
        <v>3687</v>
      </c>
      <c r="K199" t="s">
        <v>14</v>
      </c>
      <c r="L199" t="s">
        <v>2659</v>
      </c>
      <c r="M199" s="17">
        <v>0</v>
      </c>
      <c r="N199" s="17">
        <v>10000</v>
      </c>
      <c r="O199" s="17">
        <v>2.3282999999999998E-6</v>
      </c>
      <c r="P199" s="75">
        <v>4294967296</v>
      </c>
      <c r="Q199" t="s">
        <v>2660</v>
      </c>
      <c r="R199" t="s">
        <v>2660</v>
      </c>
    </row>
    <row r="200" spans="1:18" x14ac:dyDescent="0.25">
      <c r="A200" t="s">
        <v>3028</v>
      </c>
      <c r="B200" t="s">
        <v>3029</v>
      </c>
      <c r="C200" t="s">
        <v>3030</v>
      </c>
      <c r="D200" s="17" t="s">
        <v>3627</v>
      </c>
      <c r="E200" t="s">
        <v>3628</v>
      </c>
      <c r="F200" t="s">
        <v>35</v>
      </c>
      <c r="G200" t="s">
        <v>2700</v>
      </c>
      <c r="H200" s="8" t="s">
        <v>79</v>
      </c>
      <c r="J200" s="16" t="s">
        <v>3688</v>
      </c>
      <c r="K200" t="s">
        <v>14</v>
      </c>
      <c r="L200" t="s">
        <v>2659</v>
      </c>
      <c r="M200" s="17">
        <v>0</v>
      </c>
      <c r="N200" s="17">
        <v>150</v>
      </c>
      <c r="O200" s="17">
        <v>3.4900000000000001E-8</v>
      </c>
      <c r="P200" s="75">
        <v>4294967296</v>
      </c>
      <c r="Q200" t="s">
        <v>2660</v>
      </c>
      <c r="R200" t="s">
        <v>2660</v>
      </c>
    </row>
    <row r="201" spans="1:18" x14ac:dyDescent="0.25">
      <c r="A201" t="s">
        <v>3033</v>
      </c>
      <c r="B201" t="s">
        <v>3034</v>
      </c>
      <c r="C201" t="s">
        <v>3035</v>
      </c>
      <c r="D201" s="17" t="s">
        <v>3627</v>
      </c>
      <c r="E201" t="s">
        <v>3628</v>
      </c>
      <c r="F201" t="s">
        <v>35</v>
      </c>
      <c r="G201" t="s">
        <v>2700</v>
      </c>
      <c r="H201" s="8" t="s">
        <v>79</v>
      </c>
      <c r="J201" s="16" t="s">
        <v>3689</v>
      </c>
      <c r="K201" t="s">
        <v>14</v>
      </c>
      <c r="L201" t="s">
        <v>2659</v>
      </c>
      <c r="M201" s="17">
        <v>0</v>
      </c>
      <c r="N201" s="17">
        <v>150</v>
      </c>
      <c r="O201" s="17">
        <v>3.4900000000000001E-8</v>
      </c>
      <c r="P201" s="75">
        <v>4294967296</v>
      </c>
      <c r="Q201" t="s">
        <v>2660</v>
      </c>
      <c r="R201" t="s">
        <v>2660</v>
      </c>
    </row>
    <row r="202" spans="1:18" x14ac:dyDescent="0.25">
      <c r="A202" t="s">
        <v>3036</v>
      </c>
      <c r="B202" t="s">
        <v>3037</v>
      </c>
      <c r="C202" t="s">
        <v>3038</v>
      </c>
      <c r="D202" s="17" t="s">
        <v>3627</v>
      </c>
      <c r="E202" t="s">
        <v>3628</v>
      </c>
      <c r="F202" t="s">
        <v>35</v>
      </c>
      <c r="G202" t="s">
        <v>2700</v>
      </c>
      <c r="H202" s="8" t="s">
        <v>79</v>
      </c>
      <c r="J202" s="16" t="s">
        <v>3690</v>
      </c>
      <c r="K202" t="s">
        <v>14</v>
      </c>
      <c r="L202" t="s">
        <v>2659</v>
      </c>
      <c r="M202" s="17">
        <v>0</v>
      </c>
      <c r="N202" s="17">
        <v>150</v>
      </c>
      <c r="O202" s="17">
        <v>3.4900000000000001E-8</v>
      </c>
      <c r="P202" s="75">
        <v>4294967296</v>
      </c>
      <c r="Q202" t="s">
        <v>2660</v>
      </c>
      <c r="R202" t="s">
        <v>2660</v>
      </c>
    </row>
    <row r="203" spans="1:18" x14ac:dyDescent="0.25">
      <c r="A203" t="s">
        <v>3041</v>
      </c>
      <c r="B203" t="s">
        <v>3042</v>
      </c>
      <c r="C203" t="s">
        <v>3043</v>
      </c>
      <c r="D203" s="17" t="s">
        <v>3627</v>
      </c>
      <c r="E203" t="s">
        <v>3628</v>
      </c>
      <c r="F203" t="s">
        <v>35</v>
      </c>
      <c r="G203" t="s">
        <v>2785</v>
      </c>
      <c r="H203" s="8" t="s">
        <v>2599</v>
      </c>
      <c r="J203" s="16" t="s">
        <v>3691</v>
      </c>
      <c r="K203" t="s">
        <v>14</v>
      </c>
      <c r="L203" t="s">
        <v>2659</v>
      </c>
      <c r="M203" s="17">
        <v>0</v>
      </c>
      <c r="N203" s="17">
        <v>1000</v>
      </c>
      <c r="O203" s="17">
        <v>2.3279999999999999E-7</v>
      </c>
      <c r="P203" s="75">
        <v>4294967296</v>
      </c>
      <c r="Q203" t="s">
        <v>2660</v>
      </c>
      <c r="R203" t="s">
        <v>2660</v>
      </c>
    </row>
    <row r="204" spans="1:18" x14ac:dyDescent="0.25">
      <c r="A204" t="s">
        <v>3045</v>
      </c>
      <c r="B204" t="s">
        <v>3046</v>
      </c>
      <c r="C204" t="s">
        <v>3047</v>
      </c>
      <c r="D204" s="17" t="s">
        <v>3627</v>
      </c>
      <c r="E204" t="s">
        <v>3628</v>
      </c>
      <c r="F204" t="s">
        <v>35</v>
      </c>
      <c r="G204" t="s">
        <v>2702</v>
      </c>
      <c r="H204" s="8" t="s">
        <v>71</v>
      </c>
      <c r="J204" s="16" t="s">
        <v>3692</v>
      </c>
      <c r="K204" t="s">
        <v>14</v>
      </c>
      <c r="L204" t="s">
        <v>2659</v>
      </c>
      <c r="M204" s="17">
        <v>0</v>
      </c>
      <c r="N204" s="17">
        <v>10000</v>
      </c>
      <c r="O204" s="17">
        <v>2.3282999999999998E-6</v>
      </c>
      <c r="P204" s="75">
        <v>4294967296</v>
      </c>
      <c r="Q204" t="s">
        <v>2660</v>
      </c>
      <c r="R204" t="s">
        <v>2660</v>
      </c>
    </row>
    <row r="205" spans="1:18" x14ac:dyDescent="0.25">
      <c r="A205" t="s">
        <v>3039</v>
      </c>
      <c r="B205" t="s">
        <v>3055</v>
      </c>
      <c r="C205" t="s">
        <v>3056</v>
      </c>
      <c r="D205" s="17" t="s">
        <v>3627</v>
      </c>
      <c r="E205" t="s">
        <v>3628</v>
      </c>
      <c r="F205" t="s">
        <v>35</v>
      </c>
      <c r="G205" t="s">
        <v>2700</v>
      </c>
      <c r="H205" s="8" t="s">
        <v>79</v>
      </c>
      <c r="J205" s="16" t="s">
        <v>3693</v>
      </c>
      <c r="K205" t="s">
        <v>14</v>
      </c>
      <c r="L205" t="s">
        <v>2659</v>
      </c>
      <c r="M205" s="17">
        <v>0</v>
      </c>
      <c r="N205" s="17">
        <v>150</v>
      </c>
      <c r="O205" s="17">
        <v>3.4900000000000001E-8</v>
      </c>
      <c r="P205" s="75">
        <v>4294967296</v>
      </c>
      <c r="Q205" t="s">
        <v>2660</v>
      </c>
      <c r="R205" t="s">
        <v>2660</v>
      </c>
    </row>
    <row r="206" spans="1:18" x14ac:dyDescent="0.25">
      <c r="A206" t="s">
        <v>2715</v>
      </c>
      <c r="B206" t="s">
        <v>3057</v>
      </c>
      <c r="C206" t="s">
        <v>3058</v>
      </c>
      <c r="D206" s="17" t="s">
        <v>3627</v>
      </c>
      <c r="E206" t="s">
        <v>3628</v>
      </c>
      <c r="F206" t="s">
        <v>35</v>
      </c>
      <c r="G206" t="s">
        <v>2686</v>
      </c>
      <c r="H206" s="8" t="s">
        <v>100</v>
      </c>
      <c r="J206" s="16" t="s">
        <v>3694</v>
      </c>
      <c r="K206" t="s">
        <v>14</v>
      </c>
      <c r="L206" t="s">
        <v>2659</v>
      </c>
      <c r="M206" s="17">
        <v>0</v>
      </c>
      <c r="N206" s="17">
        <v>10000</v>
      </c>
      <c r="O206" s="17">
        <v>2.3282999999999998E-6</v>
      </c>
      <c r="P206" s="75">
        <v>4294967296</v>
      </c>
      <c r="Q206" t="s">
        <v>2660</v>
      </c>
      <c r="R206" t="s">
        <v>2660</v>
      </c>
    </row>
    <row r="207" spans="1:18" x14ac:dyDescent="0.25">
      <c r="A207" t="s">
        <v>3068</v>
      </c>
      <c r="B207" t="s">
        <v>2758</v>
      </c>
      <c r="C207" t="s">
        <v>2759</v>
      </c>
      <c r="D207" s="17" t="s">
        <v>3627</v>
      </c>
      <c r="E207" t="s">
        <v>3628</v>
      </c>
      <c r="F207" t="s">
        <v>35</v>
      </c>
      <c r="G207" t="s">
        <v>2700</v>
      </c>
      <c r="H207" s="8" t="s">
        <v>79</v>
      </c>
      <c r="J207" s="16" t="s">
        <v>3695</v>
      </c>
      <c r="K207" t="s">
        <v>14</v>
      </c>
      <c r="L207" t="s">
        <v>2659</v>
      </c>
      <c r="M207" s="17">
        <v>0</v>
      </c>
      <c r="N207" s="17">
        <v>150</v>
      </c>
      <c r="O207" s="17">
        <v>3.4900000000000001E-8</v>
      </c>
      <c r="P207" s="75">
        <v>4294967296</v>
      </c>
      <c r="Q207" t="s">
        <v>2660</v>
      </c>
      <c r="R207" t="s">
        <v>2660</v>
      </c>
    </row>
    <row r="208" spans="1:18" x14ac:dyDescent="0.25">
      <c r="A208" t="s">
        <v>3064</v>
      </c>
      <c r="B208" t="s">
        <v>2760</v>
      </c>
      <c r="C208" t="s">
        <v>2761</v>
      </c>
      <c r="D208" s="17" t="s">
        <v>3627</v>
      </c>
      <c r="E208" t="s">
        <v>3628</v>
      </c>
      <c r="F208" t="s">
        <v>35</v>
      </c>
      <c r="G208" t="s">
        <v>2700</v>
      </c>
      <c r="H208" s="8" t="s">
        <v>79</v>
      </c>
      <c r="J208" s="16" t="s">
        <v>3696</v>
      </c>
      <c r="K208" t="s">
        <v>14</v>
      </c>
      <c r="L208" t="s">
        <v>2659</v>
      </c>
      <c r="M208" s="17">
        <v>0</v>
      </c>
      <c r="N208" s="17">
        <v>150</v>
      </c>
      <c r="O208" s="17">
        <v>3.4900000000000001E-8</v>
      </c>
      <c r="P208" s="75">
        <v>4294967296</v>
      </c>
      <c r="Q208" t="s">
        <v>2660</v>
      </c>
      <c r="R208" t="s">
        <v>2660</v>
      </c>
    </row>
    <row r="209" spans="1:18" x14ac:dyDescent="0.25">
      <c r="A209" t="s">
        <v>3066</v>
      </c>
      <c r="B209" t="s">
        <v>2762</v>
      </c>
      <c r="C209" t="s">
        <v>2763</v>
      </c>
      <c r="D209" s="17" t="s">
        <v>3627</v>
      </c>
      <c r="E209" t="s">
        <v>3628</v>
      </c>
      <c r="F209" t="s">
        <v>35</v>
      </c>
      <c r="G209" t="s">
        <v>2700</v>
      </c>
      <c r="H209" s="8" t="s">
        <v>79</v>
      </c>
      <c r="J209" s="16" t="s">
        <v>3697</v>
      </c>
      <c r="K209" t="s">
        <v>14</v>
      </c>
      <c r="L209" t="s">
        <v>2659</v>
      </c>
      <c r="M209" s="17">
        <v>0</v>
      </c>
      <c r="N209" s="17">
        <v>150</v>
      </c>
      <c r="O209" s="17">
        <v>3.4900000000000001E-8</v>
      </c>
      <c r="P209" s="75">
        <v>4294967296</v>
      </c>
      <c r="Q209" t="s">
        <v>2660</v>
      </c>
      <c r="R209" t="s">
        <v>2660</v>
      </c>
    </row>
    <row r="210" spans="1:18" x14ac:dyDescent="0.25">
      <c r="A210" t="s">
        <v>3236</v>
      </c>
      <c r="B210" t="s">
        <v>3237</v>
      </c>
      <c r="C210" t="s">
        <v>3238</v>
      </c>
      <c r="D210" s="17" t="s">
        <v>3627</v>
      </c>
      <c r="E210" t="s">
        <v>3628</v>
      </c>
      <c r="F210" t="s">
        <v>35</v>
      </c>
      <c r="G210" t="s">
        <v>2701</v>
      </c>
      <c r="H210" s="8" t="s">
        <v>113</v>
      </c>
      <c r="J210" s="16" t="s">
        <v>3698</v>
      </c>
      <c r="K210" t="s">
        <v>14</v>
      </c>
      <c r="L210" t="s">
        <v>2659</v>
      </c>
      <c r="M210" s="17">
        <v>0</v>
      </c>
      <c r="N210" s="17">
        <v>10</v>
      </c>
      <c r="O210" s="17">
        <v>2.2999999999999999E-9</v>
      </c>
      <c r="P210" s="75">
        <v>4294967296</v>
      </c>
      <c r="Q210" t="s">
        <v>2660</v>
      </c>
      <c r="R210" t="s">
        <v>2660</v>
      </c>
    </row>
    <row r="211" spans="1:18" x14ac:dyDescent="0.25">
      <c r="A211" t="s">
        <v>3240</v>
      </c>
      <c r="B211" t="s">
        <v>3241</v>
      </c>
      <c r="C211" t="s">
        <v>3242</v>
      </c>
      <c r="D211" s="17" t="s">
        <v>3627</v>
      </c>
      <c r="E211" t="s">
        <v>3628</v>
      </c>
      <c r="F211" t="s">
        <v>35</v>
      </c>
      <c r="G211" t="s">
        <v>2657</v>
      </c>
      <c r="H211" s="8" t="s">
        <v>3053</v>
      </c>
      <c r="J211" s="16" t="s">
        <v>3699</v>
      </c>
      <c r="K211" t="s">
        <v>14</v>
      </c>
      <c r="L211" t="s">
        <v>2659</v>
      </c>
      <c r="M211" s="17">
        <v>0</v>
      </c>
      <c r="N211" s="17">
        <v>500</v>
      </c>
      <c r="O211" s="17">
        <v>1.164E-7</v>
      </c>
      <c r="P211" s="75">
        <v>4294967296</v>
      </c>
      <c r="Q211" t="s">
        <v>2660</v>
      </c>
      <c r="R211" t="s">
        <v>2660</v>
      </c>
    </row>
    <row r="212" spans="1:18" x14ac:dyDescent="0.25">
      <c r="A212" t="s">
        <v>3244</v>
      </c>
      <c r="B212" t="s">
        <v>3245</v>
      </c>
      <c r="C212" t="s">
        <v>3246</v>
      </c>
      <c r="D212" s="17" t="s">
        <v>3627</v>
      </c>
      <c r="E212" t="s">
        <v>3628</v>
      </c>
      <c r="F212" t="s">
        <v>35</v>
      </c>
      <c r="G212" t="s">
        <v>2657</v>
      </c>
      <c r="H212" s="8" t="s">
        <v>3053</v>
      </c>
      <c r="J212" s="16" t="s">
        <v>3700</v>
      </c>
      <c r="K212" t="s">
        <v>14</v>
      </c>
      <c r="L212" t="s">
        <v>2659</v>
      </c>
      <c r="M212" s="17">
        <v>0</v>
      </c>
      <c r="N212" s="17">
        <v>500</v>
      </c>
      <c r="O212" s="17">
        <v>1.164E-7</v>
      </c>
      <c r="P212" s="75">
        <v>4294967296</v>
      </c>
      <c r="Q212" t="s">
        <v>2660</v>
      </c>
      <c r="R212" t="s">
        <v>2660</v>
      </c>
    </row>
    <row r="213" spans="1:18" x14ac:dyDescent="0.25">
      <c r="A213" t="s">
        <v>3467</v>
      </c>
      <c r="B213" t="s">
        <v>3468</v>
      </c>
      <c r="C213" t="s">
        <v>3469</v>
      </c>
      <c r="D213" s="17" t="s">
        <v>3627</v>
      </c>
      <c r="E213" t="s">
        <v>3628</v>
      </c>
      <c r="F213" t="s">
        <v>35</v>
      </c>
      <c r="G213" t="s">
        <v>2756</v>
      </c>
      <c r="H213" s="8" t="s">
        <v>1679</v>
      </c>
      <c r="J213" s="16" t="s">
        <v>3701</v>
      </c>
      <c r="K213" t="s">
        <v>14</v>
      </c>
      <c r="L213" t="s">
        <v>2659</v>
      </c>
      <c r="M213" s="17">
        <v>0</v>
      </c>
      <c r="N213" s="17">
        <v>500000</v>
      </c>
      <c r="O213" s="17">
        <v>1.164153E-4</v>
      </c>
      <c r="P213" s="75">
        <v>4294967296</v>
      </c>
      <c r="Q213" t="s">
        <v>2660</v>
      </c>
      <c r="R213" t="s">
        <v>2660</v>
      </c>
    </row>
    <row r="214" spans="1:18" x14ac:dyDescent="0.25">
      <c r="A214" t="s">
        <v>3471</v>
      </c>
      <c r="B214" t="s">
        <v>3472</v>
      </c>
      <c r="C214" t="s">
        <v>3473</v>
      </c>
      <c r="D214" s="17" t="s">
        <v>3627</v>
      </c>
      <c r="E214" t="s">
        <v>3628</v>
      </c>
      <c r="F214" t="s">
        <v>35</v>
      </c>
      <c r="G214" t="s">
        <v>2785</v>
      </c>
      <c r="H214" s="8" t="s">
        <v>2599</v>
      </c>
      <c r="J214" s="16" t="s">
        <v>3702</v>
      </c>
      <c r="K214" t="s">
        <v>14</v>
      </c>
      <c r="L214" t="s">
        <v>2659</v>
      </c>
      <c r="M214" s="17">
        <v>0</v>
      </c>
      <c r="N214" s="17">
        <v>5</v>
      </c>
      <c r="O214" s="17">
        <v>1.2E-9</v>
      </c>
      <c r="P214" s="75">
        <v>4294967296</v>
      </c>
      <c r="Q214" t="s">
        <v>2660</v>
      </c>
      <c r="R214" t="s">
        <v>2660</v>
      </c>
    </row>
    <row r="215" spans="1:18" x14ac:dyDescent="0.25">
      <c r="A215" t="s">
        <v>3503</v>
      </c>
      <c r="B215" t="s">
        <v>3504</v>
      </c>
      <c r="C215" t="s">
        <v>3505</v>
      </c>
      <c r="D215" s="17" t="s">
        <v>3627</v>
      </c>
      <c r="E215" t="s">
        <v>3628</v>
      </c>
      <c r="F215" t="s">
        <v>35</v>
      </c>
      <c r="G215" t="s">
        <v>2686</v>
      </c>
      <c r="H215" s="8" t="s">
        <v>100</v>
      </c>
      <c r="J215" s="16" t="s">
        <v>3703</v>
      </c>
      <c r="K215" t="s">
        <v>14</v>
      </c>
      <c r="L215" t="s">
        <v>2659</v>
      </c>
      <c r="M215" s="17">
        <v>-2147483648</v>
      </c>
      <c r="N215" s="17">
        <v>2147483647</v>
      </c>
      <c r="O215" s="17">
        <v>1</v>
      </c>
      <c r="P215" s="75">
        <v>4294967296</v>
      </c>
      <c r="Q215" t="s">
        <v>2660</v>
      </c>
      <c r="R215" t="s">
        <v>2660</v>
      </c>
    </row>
    <row r="216" spans="1:18" x14ac:dyDescent="0.25">
      <c r="A216" s="77" t="s">
        <v>3197</v>
      </c>
      <c r="B216" t="s">
        <v>3107</v>
      </c>
      <c r="C216" t="s">
        <v>3108</v>
      </c>
      <c r="D216" s="17" t="s">
        <v>3627</v>
      </c>
      <c r="E216" t="s">
        <v>3628</v>
      </c>
      <c r="F216" t="s">
        <v>35</v>
      </c>
      <c r="G216" t="s">
        <v>2669</v>
      </c>
      <c r="H216" s="8" t="s">
        <v>113</v>
      </c>
      <c r="J216" s="16" t="s">
        <v>3704</v>
      </c>
      <c r="K216" t="s">
        <v>14</v>
      </c>
      <c r="L216" t="s">
        <v>2659</v>
      </c>
      <c r="M216" s="17">
        <v>-2147483648</v>
      </c>
      <c r="N216" s="17">
        <v>2147483647</v>
      </c>
      <c r="O216" s="17">
        <v>1</v>
      </c>
      <c r="P216" s="75">
        <v>4294967296</v>
      </c>
      <c r="Q216" t="s">
        <v>2660</v>
      </c>
      <c r="R216" t="s">
        <v>2660</v>
      </c>
    </row>
    <row r="217" spans="1:18" x14ac:dyDescent="0.25">
      <c r="A217" t="s">
        <v>3193</v>
      </c>
      <c r="B217" t="s">
        <v>3194</v>
      </c>
      <c r="C217" t="s">
        <v>3195</v>
      </c>
      <c r="D217" s="17" t="s">
        <v>3627</v>
      </c>
      <c r="E217" t="s">
        <v>3628</v>
      </c>
      <c r="F217" t="s">
        <v>35</v>
      </c>
      <c r="G217" t="s">
        <v>2756</v>
      </c>
      <c r="H217" s="8" t="s">
        <v>1679</v>
      </c>
      <c r="J217" s="16" t="s">
        <v>3705</v>
      </c>
      <c r="K217" t="s">
        <v>14</v>
      </c>
      <c r="L217" t="s">
        <v>2659</v>
      </c>
      <c r="M217" s="17">
        <v>-2147483648</v>
      </c>
      <c r="N217" s="17">
        <v>2147483647</v>
      </c>
      <c r="O217" s="17">
        <v>1</v>
      </c>
      <c r="P217" s="75">
        <v>4294967296</v>
      </c>
      <c r="Q217" t="s">
        <v>2660</v>
      </c>
      <c r="R217" t="s">
        <v>2660</v>
      </c>
    </row>
    <row r="218" spans="1:18" x14ac:dyDescent="0.25">
      <c r="A218" t="s">
        <v>3199</v>
      </c>
      <c r="B218" t="s">
        <v>3200</v>
      </c>
      <c r="C218" t="s">
        <v>3201</v>
      </c>
      <c r="D218" s="17" t="s">
        <v>3627</v>
      </c>
      <c r="E218" t="s">
        <v>3628</v>
      </c>
      <c r="F218" t="s">
        <v>35</v>
      </c>
      <c r="G218" t="s">
        <v>2669</v>
      </c>
      <c r="H218" s="8" t="s">
        <v>113</v>
      </c>
      <c r="J218" s="16" t="s">
        <v>3706</v>
      </c>
      <c r="K218" t="s">
        <v>14</v>
      </c>
      <c r="L218" t="s">
        <v>2659</v>
      </c>
      <c r="M218" s="17">
        <v>-2147483648</v>
      </c>
      <c r="N218" s="17">
        <v>2147483647</v>
      </c>
      <c r="O218" s="17">
        <v>1</v>
      </c>
      <c r="P218" s="75">
        <v>4294967296</v>
      </c>
      <c r="Q218" t="s">
        <v>2660</v>
      </c>
      <c r="R218" t="s">
        <v>2660</v>
      </c>
    </row>
    <row r="219" spans="1:18" x14ac:dyDescent="0.25">
      <c r="A219" t="s">
        <v>3359</v>
      </c>
      <c r="B219" t="s">
        <v>3360</v>
      </c>
      <c r="C219" t="s">
        <v>3361</v>
      </c>
      <c r="D219" s="17" t="s">
        <v>3627</v>
      </c>
      <c r="E219" t="s">
        <v>3628</v>
      </c>
      <c r="F219" t="s">
        <v>35</v>
      </c>
      <c r="G219" t="s">
        <v>2701</v>
      </c>
      <c r="H219" s="8" t="s">
        <v>113</v>
      </c>
      <c r="J219" s="16" t="s">
        <v>3707</v>
      </c>
      <c r="K219" t="s">
        <v>14</v>
      </c>
      <c r="L219" t="s">
        <v>2659</v>
      </c>
      <c r="M219" s="17">
        <v>-100</v>
      </c>
      <c r="N219" s="17">
        <v>100</v>
      </c>
      <c r="O219" s="17">
        <v>4.66E-8</v>
      </c>
      <c r="P219" s="75">
        <v>4294967296</v>
      </c>
      <c r="Q219" t="s">
        <v>2660</v>
      </c>
      <c r="R219" t="s">
        <v>2660</v>
      </c>
    </row>
    <row r="220" spans="1:18" x14ac:dyDescent="0.25">
      <c r="A220" t="s">
        <v>3363</v>
      </c>
      <c r="B220" t="s">
        <v>1075</v>
      </c>
      <c r="C220" t="s">
        <v>1076</v>
      </c>
      <c r="D220" s="17" t="s">
        <v>3627</v>
      </c>
      <c r="E220" t="s">
        <v>3628</v>
      </c>
      <c r="F220" t="s">
        <v>35</v>
      </c>
      <c r="G220" t="s">
        <v>2686</v>
      </c>
      <c r="H220" s="8" t="s">
        <v>100</v>
      </c>
      <c r="J220" s="16" t="s">
        <v>3708</v>
      </c>
      <c r="K220" t="s">
        <v>14</v>
      </c>
      <c r="L220" t="s">
        <v>2659</v>
      </c>
      <c r="M220" s="17">
        <v>-100</v>
      </c>
      <c r="N220" s="17">
        <v>100</v>
      </c>
      <c r="O220" s="17">
        <v>4.66E-8</v>
      </c>
      <c r="P220" s="75">
        <v>4294967296</v>
      </c>
      <c r="Q220" t="s">
        <v>2660</v>
      </c>
      <c r="R220" t="s">
        <v>2660</v>
      </c>
    </row>
    <row r="221" spans="1:18" x14ac:dyDescent="0.25">
      <c r="A221" t="s">
        <v>3364</v>
      </c>
      <c r="B221" t="s">
        <v>1075</v>
      </c>
      <c r="C221" t="s">
        <v>1076</v>
      </c>
      <c r="D221" s="17" t="s">
        <v>3627</v>
      </c>
      <c r="E221" t="s">
        <v>3628</v>
      </c>
      <c r="F221" t="s">
        <v>35</v>
      </c>
      <c r="G221" t="s">
        <v>2702</v>
      </c>
      <c r="H221" s="8" t="s">
        <v>71</v>
      </c>
      <c r="J221" s="16" t="s">
        <v>3709</v>
      </c>
      <c r="K221" t="s">
        <v>14</v>
      </c>
      <c r="L221" t="s">
        <v>2659</v>
      </c>
      <c r="M221" s="17">
        <v>-5000</v>
      </c>
      <c r="N221" s="17">
        <v>5000</v>
      </c>
      <c r="O221" s="17">
        <v>2.3282999999999998E-6</v>
      </c>
      <c r="P221" s="75">
        <v>4294967296</v>
      </c>
      <c r="Q221" t="s">
        <v>2660</v>
      </c>
      <c r="R221" t="s">
        <v>2660</v>
      </c>
    </row>
    <row r="222" spans="1:18" x14ac:dyDescent="0.25">
      <c r="A222" t="s">
        <v>3120</v>
      </c>
      <c r="B222" t="s">
        <v>3121</v>
      </c>
      <c r="C222" t="s">
        <v>3122</v>
      </c>
      <c r="D222" s="17" t="s">
        <v>3627</v>
      </c>
      <c r="E222" t="s">
        <v>3628</v>
      </c>
      <c r="F222" t="s">
        <v>35</v>
      </c>
      <c r="G222" t="s">
        <v>2786</v>
      </c>
      <c r="H222" s="8" t="s">
        <v>96</v>
      </c>
      <c r="J222" s="16" t="s">
        <v>3710</v>
      </c>
      <c r="K222" t="s">
        <v>14</v>
      </c>
      <c r="L222" t="s">
        <v>2659</v>
      </c>
      <c r="M222" s="17">
        <v>-273.14999999999998</v>
      </c>
      <c r="N222" s="17">
        <v>1500</v>
      </c>
      <c r="O222" s="17">
        <v>4.1279999999999999E-7</v>
      </c>
      <c r="P222" s="75">
        <v>4294967296</v>
      </c>
      <c r="Q222" t="s">
        <v>2660</v>
      </c>
      <c r="R222" t="s">
        <v>2660</v>
      </c>
    </row>
    <row r="223" spans="1:18" x14ac:dyDescent="0.25">
      <c r="A223" t="s">
        <v>3511</v>
      </c>
      <c r="B223" t="s">
        <v>3511</v>
      </c>
      <c r="C223" t="s">
        <v>3512</v>
      </c>
      <c r="D223" s="17" t="s">
        <v>3627</v>
      </c>
      <c r="E223" t="s">
        <v>3628</v>
      </c>
      <c r="F223" t="s">
        <v>35</v>
      </c>
      <c r="G223" t="s">
        <v>2786</v>
      </c>
      <c r="H223" s="8" t="s">
        <v>96</v>
      </c>
      <c r="J223" s="16" t="s">
        <v>3711</v>
      </c>
      <c r="K223" t="s">
        <v>14</v>
      </c>
      <c r="L223" t="s">
        <v>2659</v>
      </c>
      <c r="M223" s="17">
        <v>0</v>
      </c>
      <c r="N223" s="17">
        <v>50</v>
      </c>
      <c r="O223" s="17">
        <v>1.16E-8</v>
      </c>
      <c r="P223" s="75">
        <v>4294967296</v>
      </c>
      <c r="Q223" t="s">
        <v>2660</v>
      </c>
      <c r="R223" t="s">
        <v>2660</v>
      </c>
    </row>
    <row r="224" spans="1:18" x14ac:dyDescent="0.25">
      <c r="A224" t="s">
        <v>3006</v>
      </c>
      <c r="B224" t="s">
        <v>640</v>
      </c>
      <c r="C224" t="s">
        <v>641</v>
      </c>
      <c r="D224" s="17" t="s">
        <v>3627</v>
      </c>
      <c r="E224" t="s">
        <v>3628</v>
      </c>
      <c r="F224" t="s">
        <v>35</v>
      </c>
      <c r="G224" t="s">
        <v>2702</v>
      </c>
      <c r="H224" s="8" t="s">
        <v>71</v>
      </c>
      <c r="J224" s="16" t="s">
        <v>3712</v>
      </c>
      <c r="K224" t="s">
        <v>14</v>
      </c>
      <c r="L224" t="s">
        <v>2659</v>
      </c>
      <c r="M224" s="17">
        <v>-1000000</v>
      </c>
      <c r="N224" s="17">
        <v>1000000</v>
      </c>
      <c r="O224" s="17">
        <v>4.6566130000000002E-4</v>
      </c>
      <c r="P224" s="75">
        <v>4294967296</v>
      </c>
      <c r="Q224" t="s">
        <v>2660</v>
      </c>
      <c r="R224" t="s">
        <v>2660</v>
      </c>
    </row>
    <row r="225" spans="1:18" x14ac:dyDescent="0.25">
      <c r="A225" t="s">
        <v>3085</v>
      </c>
      <c r="B225" t="s">
        <v>3086</v>
      </c>
      <c r="C225" t="s">
        <v>3087</v>
      </c>
      <c r="D225" s="17" t="s">
        <v>3627</v>
      </c>
      <c r="E225" t="s">
        <v>3628</v>
      </c>
      <c r="F225" t="s">
        <v>35</v>
      </c>
      <c r="G225" t="s">
        <v>2686</v>
      </c>
      <c r="H225" s="8" t="s">
        <v>100</v>
      </c>
      <c r="J225" s="16" t="s">
        <v>3713</v>
      </c>
      <c r="K225" t="s">
        <v>14</v>
      </c>
      <c r="L225" t="s">
        <v>2659</v>
      </c>
      <c r="M225" s="17">
        <v>-21470</v>
      </c>
      <c r="N225" s="17">
        <v>214748</v>
      </c>
      <c r="O225" s="17">
        <v>5.4998799999999999E-5</v>
      </c>
      <c r="P225" s="75">
        <v>4294967296</v>
      </c>
      <c r="Q225" t="s">
        <v>2660</v>
      </c>
      <c r="R225" t="s">
        <v>2660</v>
      </c>
    </row>
    <row r="226" spans="1:18" x14ac:dyDescent="0.25">
      <c r="A226" t="s">
        <v>3457</v>
      </c>
      <c r="B226" t="s">
        <v>3514</v>
      </c>
      <c r="C226" t="s">
        <v>3515</v>
      </c>
      <c r="D226" s="17" t="s">
        <v>3627</v>
      </c>
      <c r="E226" t="s">
        <v>3628</v>
      </c>
      <c r="F226" t="s">
        <v>35</v>
      </c>
      <c r="G226" t="s">
        <v>3072</v>
      </c>
      <c r="H226" s="8" t="s">
        <v>82</v>
      </c>
      <c r="J226" s="16" t="s">
        <v>3714</v>
      </c>
      <c r="K226" t="s">
        <v>14</v>
      </c>
      <c r="L226" t="s">
        <v>2659</v>
      </c>
      <c r="M226" s="17">
        <v>0</v>
      </c>
      <c r="N226" s="17">
        <v>500000</v>
      </c>
      <c r="O226" s="17">
        <v>1.164153E-4</v>
      </c>
      <c r="P226" s="75">
        <v>4294967296</v>
      </c>
      <c r="Q226" t="s">
        <v>2660</v>
      </c>
      <c r="R226" t="s">
        <v>2660</v>
      </c>
    </row>
    <row r="227" spans="1:18" x14ac:dyDescent="0.25">
      <c r="A227" t="s">
        <v>3369</v>
      </c>
      <c r="B227" t="s">
        <v>3517</v>
      </c>
      <c r="C227" t="s">
        <v>3518</v>
      </c>
      <c r="D227" s="17" t="s">
        <v>3627</v>
      </c>
      <c r="E227" t="s">
        <v>3628</v>
      </c>
      <c r="F227" t="s">
        <v>35</v>
      </c>
      <c r="G227" t="s">
        <v>3072</v>
      </c>
      <c r="H227" s="8" t="s">
        <v>82</v>
      </c>
      <c r="J227" s="16" t="s">
        <v>3715</v>
      </c>
      <c r="K227" t="s">
        <v>14</v>
      </c>
      <c r="L227" t="s">
        <v>2659</v>
      </c>
      <c r="M227" s="17">
        <v>-10000</v>
      </c>
      <c r="N227" s="17">
        <v>10000</v>
      </c>
      <c r="O227" s="17">
        <v>4.6565999999999996E-6</v>
      </c>
      <c r="P227" s="75">
        <v>4294967296</v>
      </c>
      <c r="Q227" t="s">
        <v>2660</v>
      </c>
      <c r="R227" t="s">
        <v>2660</v>
      </c>
    </row>
    <row r="228" spans="1:18" x14ac:dyDescent="0.25">
      <c r="A228" t="s">
        <v>3449</v>
      </c>
      <c r="B228" t="s">
        <v>3450</v>
      </c>
      <c r="C228" t="s">
        <v>3451</v>
      </c>
      <c r="D228" s="17" t="s">
        <v>3627</v>
      </c>
      <c r="E228" t="s">
        <v>3628</v>
      </c>
      <c r="F228" t="s">
        <v>35</v>
      </c>
      <c r="G228" t="s">
        <v>3072</v>
      </c>
      <c r="H228" s="8" t="s">
        <v>82</v>
      </c>
      <c r="J228" s="16" t="s">
        <v>3716</v>
      </c>
      <c r="K228" t="s">
        <v>14</v>
      </c>
      <c r="L228" t="s">
        <v>2659</v>
      </c>
      <c r="M228" s="17">
        <v>0</v>
      </c>
      <c r="N228" s="17">
        <v>500000</v>
      </c>
      <c r="O228" s="17">
        <v>1.164153E-4</v>
      </c>
      <c r="P228" s="75">
        <v>4294967296</v>
      </c>
      <c r="Q228" t="s">
        <v>2660</v>
      </c>
      <c r="R228" t="s">
        <v>2660</v>
      </c>
    </row>
    <row r="229" spans="1:18" x14ac:dyDescent="0.25">
      <c r="A229" t="s">
        <v>3453</v>
      </c>
      <c r="B229" t="s">
        <v>3454</v>
      </c>
      <c r="C229" t="s">
        <v>3455</v>
      </c>
      <c r="D229" s="17" t="s">
        <v>3627</v>
      </c>
      <c r="E229" t="s">
        <v>3628</v>
      </c>
      <c r="F229" t="s">
        <v>35</v>
      </c>
      <c r="G229" t="s">
        <v>3072</v>
      </c>
      <c r="H229" s="8" t="s">
        <v>82</v>
      </c>
      <c r="J229" s="16" t="s">
        <v>3717</v>
      </c>
      <c r="K229" t="s">
        <v>14</v>
      </c>
      <c r="L229" t="s">
        <v>2659</v>
      </c>
      <c r="M229" s="17">
        <v>-500000</v>
      </c>
      <c r="N229" s="17">
        <v>0</v>
      </c>
      <c r="O229" s="17">
        <v>1.164153E-4</v>
      </c>
      <c r="P229" s="75">
        <v>4294967296</v>
      </c>
      <c r="Q229" t="s">
        <v>2660</v>
      </c>
      <c r="R229" t="s">
        <v>2660</v>
      </c>
    </row>
    <row r="230" spans="1:18" x14ac:dyDescent="0.25">
      <c r="A230" t="s">
        <v>3519</v>
      </c>
      <c r="B230" t="s">
        <v>3442</v>
      </c>
      <c r="C230" t="s">
        <v>3443</v>
      </c>
      <c r="D230" s="17" t="s">
        <v>3627</v>
      </c>
      <c r="E230" t="s">
        <v>3628</v>
      </c>
      <c r="F230" t="s">
        <v>35</v>
      </c>
      <c r="G230" t="s">
        <v>3072</v>
      </c>
      <c r="H230" s="8" t="s">
        <v>82</v>
      </c>
      <c r="J230" s="16" t="s">
        <v>3718</v>
      </c>
      <c r="K230" t="s">
        <v>14</v>
      </c>
      <c r="L230" t="s">
        <v>2659</v>
      </c>
      <c r="M230" s="17">
        <v>0</v>
      </c>
      <c r="N230" s="17">
        <v>500000</v>
      </c>
      <c r="O230" s="17">
        <v>1.164153E-4</v>
      </c>
      <c r="P230" s="75">
        <v>4294967296</v>
      </c>
      <c r="Q230" t="s">
        <v>2660</v>
      </c>
      <c r="R230" t="s">
        <v>2660</v>
      </c>
    </row>
    <row r="231" spans="1:18" x14ac:dyDescent="0.25">
      <c r="A231" t="s">
        <v>3520</v>
      </c>
      <c r="B231" t="s">
        <v>3446</v>
      </c>
      <c r="C231" t="s">
        <v>3447</v>
      </c>
      <c r="D231" s="17" t="s">
        <v>3627</v>
      </c>
      <c r="E231" t="s">
        <v>3628</v>
      </c>
      <c r="F231" t="s">
        <v>35</v>
      </c>
      <c r="G231" t="s">
        <v>3072</v>
      </c>
      <c r="H231" s="8" t="s">
        <v>82</v>
      </c>
      <c r="J231" s="16" t="s">
        <v>3719</v>
      </c>
      <c r="K231" t="s">
        <v>14</v>
      </c>
      <c r="L231" t="s">
        <v>2659</v>
      </c>
      <c r="M231" s="17">
        <v>-500000</v>
      </c>
      <c r="N231" s="17">
        <v>0</v>
      </c>
      <c r="O231" s="17">
        <v>1.164153E-4</v>
      </c>
      <c r="P231" s="75">
        <v>4294967296</v>
      </c>
      <c r="Q231" t="s">
        <v>2660</v>
      </c>
      <c r="R231" t="s">
        <v>2660</v>
      </c>
    </row>
    <row r="232" spans="1:18" x14ac:dyDescent="0.25">
      <c r="A232" t="s">
        <v>2688</v>
      </c>
      <c r="B232" t="s">
        <v>2688</v>
      </c>
      <c r="C232" t="s">
        <v>2689</v>
      </c>
      <c r="D232" s="17" t="s">
        <v>3627</v>
      </c>
      <c r="E232" t="s">
        <v>3628</v>
      </c>
      <c r="F232" t="s">
        <v>35</v>
      </c>
      <c r="G232" t="s">
        <v>2657</v>
      </c>
      <c r="H232" s="8" t="s">
        <v>3053</v>
      </c>
      <c r="J232" s="16" t="s">
        <v>3720</v>
      </c>
      <c r="K232" t="s">
        <v>14</v>
      </c>
      <c r="L232" t="s">
        <v>2659</v>
      </c>
      <c r="M232" s="17">
        <v>-1000</v>
      </c>
      <c r="N232" s="17">
        <v>1000</v>
      </c>
      <c r="O232" s="17">
        <v>4.6569999999999999E-7</v>
      </c>
      <c r="P232" s="75">
        <v>4294967296</v>
      </c>
      <c r="Q232" t="s">
        <v>2660</v>
      </c>
      <c r="R232" t="s">
        <v>2660</v>
      </c>
    </row>
    <row r="233" spans="1:18" x14ac:dyDescent="0.25">
      <c r="A233" t="s">
        <v>2692</v>
      </c>
      <c r="B233" t="s">
        <v>2692</v>
      </c>
      <c r="C233" t="s">
        <v>2693</v>
      </c>
      <c r="D233" s="17" t="s">
        <v>3627</v>
      </c>
      <c r="E233" t="s">
        <v>3628</v>
      </c>
      <c r="F233" t="s">
        <v>35</v>
      </c>
      <c r="G233" t="s">
        <v>2694</v>
      </c>
      <c r="H233" s="8" t="s">
        <v>64</v>
      </c>
      <c r="J233" s="16" t="s">
        <v>3721</v>
      </c>
      <c r="K233" t="s">
        <v>14</v>
      </c>
      <c r="L233" t="s">
        <v>2659</v>
      </c>
      <c r="M233" s="17">
        <v>0</v>
      </c>
      <c r="N233" s="17">
        <v>10000000</v>
      </c>
      <c r="O233" s="17">
        <v>2.3283064000000002E-3</v>
      </c>
      <c r="P233" s="75">
        <v>4294967296</v>
      </c>
      <c r="Q233" t="s">
        <v>2660</v>
      </c>
      <c r="R233" t="s">
        <v>2660</v>
      </c>
    </row>
    <row r="234" spans="1:18" x14ac:dyDescent="0.25">
      <c r="A234" t="s">
        <v>3598</v>
      </c>
      <c r="B234" t="s">
        <v>2475</v>
      </c>
      <c r="C234" t="s">
        <v>2476</v>
      </c>
      <c r="D234" s="17" t="s">
        <v>3627</v>
      </c>
      <c r="E234" t="s">
        <v>3628</v>
      </c>
      <c r="F234" t="s">
        <v>35</v>
      </c>
      <c r="G234" t="s">
        <v>3301</v>
      </c>
      <c r="H234" s="8" t="s">
        <v>2602</v>
      </c>
      <c r="J234" s="16" t="s">
        <v>3722</v>
      </c>
      <c r="K234" t="s">
        <v>14</v>
      </c>
      <c r="L234" t="s">
        <v>2659</v>
      </c>
      <c r="M234" s="17">
        <v>-2000</v>
      </c>
      <c r="N234" s="17">
        <v>2000</v>
      </c>
      <c r="O234" s="17">
        <v>9.3129999999999998E-7</v>
      </c>
      <c r="P234" s="75">
        <v>4294967296</v>
      </c>
      <c r="Q234" t="s">
        <v>2660</v>
      </c>
      <c r="R234" t="s">
        <v>2660</v>
      </c>
    </row>
    <row r="235" spans="1:18" x14ac:dyDescent="0.25">
      <c r="A235" t="s">
        <v>3599</v>
      </c>
      <c r="B235" t="s">
        <v>2680</v>
      </c>
      <c r="C235" t="s">
        <v>2681</v>
      </c>
      <c r="D235" s="17" t="s">
        <v>3627</v>
      </c>
      <c r="E235" t="s">
        <v>3628</v>
      </c>
      <c r="F235" t="s">
        <v>35</v>
      </c>
      <c r="G235" t="s">
        <v>2684</v>
      </c>
      <c r="H235" s="8" t="s">
        <v>2600</v>
      </c>
      <c r="J235" s="16" t="s">
        <v>3723</v>
      </c>
      <c r="K235" t="s">
        <v>14</v>
      </c>
      <c r="L235" t="s">
        <v>2659</v>
      </c>
      <c r="M235" s="17">
        <v>-100</v>
      </c>
      <c r="N235" s="17">
        <v>100</v>
      </c>
      <c r="O235" s="17">
        <v>4.66E-8</v>
      </c>
      <c r="P235" s="75">
        <v>4294967296</v>
      </c>
      <c r="Q235" t="s">
        <v>2660</v>
      </c>
      <c r="R235" t="s">
        <v>2660</v>
      </c>
    </row>
    <row r="236" spans="1:18" x14ac:dyDescent="0.25">
      <c r="A236" t="s">
        <v>3724</v>
      </c>
      <c r="B236" t="s">
        <v>636</v>
      </c>
      <c r="C236" t="s">
        <v>637</v>
      </c>
      <c r="D236" t="s">
        <v>2664</v>
      </c>
      <c r="E236" t="s">
        <v>2664</v>
      </c>
      <c r="F236" t="s">
        <v>35</v>
      </c>
      <c r="G236" t="s">
        <v>2669</v>
      </c>
      <c r="H236" s="8" t="s">
        <v>113</v>
      </c>
      <c r="J236" s="16" t="s">
        <v>3725</v>
      </c>
      <c r="K236" t="s">
        <v>14</v>
      </c>
      <c r="L236" t="s">
        <v>2659</v>
      </c>
      <c r="M236" s="17">
        <v>0</v>
      </c>
      <c r="N236" s="17">
        <v>1</v>
      </c>
      <c r="O236" s="17">
        <v>2.0000000000000001E-10</v>
      </c>
      <c r="P236" s="75">
        <v>4294967296</v>
      </c>
      <c r="Q236" t="s">
        <v>2660</v>
      </c>
      <c r="R236" t="s">
        <v>2660</v>
      </c>
    </row>
    <row r="237" spans="1:18" x14ac:dyDescent="0.25">
      <c r="A237" t="s">
        <v>3726</v>
      </c>
      <c r="B237" t="s">
        <v>3729</v>
      </c>
      <c r="C237" t="s">
        <v>3728</v>
      </c>
      <c r="D237" t="s">
        <v>2664</v>
      </c>
      <c r="E237" t="s">
        <v>2664</v>
      </c>
      <c r="F237" t="s">
        <v>35</v>
      </c>
      <c r="G237" t="s">
        <v>2669</v>
      </c>
      <c r="H237" s="8" t="s">
        <v>113</v>
      </c>
      <c r="J237" s="16" t="s">
        <v>3727</v>
      </c>
      <c r="K237" t="s">
        <v>14</v>
      </c>
      <c r="L237" t="s">
        <v>2659</v>
      </c>
      <c r="M237" s="17">
        <v>0</v>
      </c>
      <c r="N237" s="17">
        <v>1</v>
      </c>
      <c r="O237" s="17">
        <v>2.0000000000000001E-10</v>
      </c>
      <c r="P237" s="75">
        <v>4294967296</v>
      </c>
      <c r="Q237" t="s">
        <v>2660</v>
      </c>
      <c r="R237" t="s">
        <v>2660</v>
      </c>
    </row>
    <row r="238" spans="1:18" x14ac:dyDescent="0.25">
      <c r="A238" t="s">
        <v>3731</v>
      </c>
      <c r="B238" t="s">
        <v>3731</v>
      </c>
      <c r="C238" t="s">
        <v>3732</v>
      </c>
      <c r="D238" t="s">
        <v>2664</v>
      </c>
      <c r="E238" t="s">
        <v>2664</v>
      </c>
      <c r="F238" t="s">
        <v>35</v>
      </c>
      <c r="G238" t="s">
        <v>2669</v>
      </c>
      <c r="H238" s="8" t="s">
        <v>113</v>
      </c>
      <c r="J238" s="16" t="s">
        <v>3730</v>
      </c>
      <c r="K238" t="s">
        <v>14</v>
      </c>
      <c r="L238" t="s">
        <v>2659</v>
      </c>
      <c r="M238" s="17">
        <v>0</v>
      </c>
      <c r="N238" s="17">
        <v>1</v>
      </c>
      <c r="O238" s="17">
        <v>2.0000000000000001E-10</v>
      </c>
      <c r="P238" s="75">
        <v>4294967296</v>
      </c>
      <c r="Q238" t="s">
        <v>2660</v>
      </c>
      <c r="R238" t="s">
        <v>2660</v>
      </c>
    </row>
    <row r="239" spans="1:18" x14ac:dyDescent="0.25">
      <c r="A239" t="s">
        <v>3735</v>
      </c>
      <c r="B239" t="s">
        <v>3735</v>
      </c>
      <c r="C239" t="s">
        <v>3734</v>
      </c>
      <c r="D239" t="s">
        <v>2664</v>
      </c>
      <c r="E239" t="s">
        <v>2664</v>
      </c>
      <c r="F239" t="s">
        <v>35</v>
      </c>
      <c r="G239" t="s">
        <v>2669</v>
      </c>
      <c r="H239" s="8" t="s">
        <v>113</v>
      </c>
      <c r="J239" s="16" t="s">
        <v>3733</v>
      </c>
      <c r="K239" t="s">
        <v>14</v>
      </c>
      <c r="L239" t="s">
        <v>2659</v>
      </c>
      <c r="M239" s="17">
        <v>0</v>
      </c>
      <c r="N239" s="17">
        <v>1</v>
      </c>
      <c r="O239" s="17">
        <v>2.0000000000000001E-10</v>
      </c>
      <c r="P239" s="75">
        <v>4294967296</v>
      </c>
      <c r="Q239" t="s">
        <v>2660</v>
      </c>
      <c r="R239" t="s">
        <v>2660</v>
      </c>
    </row>
    <row r="240" spans="1:18" x14ac:dyDescent="0.25">
      <c r="A240" t="s">
        <v>3736</v>
      </c>
      <c r="B240" t="s">
        <v>3736</v>
      </c>
      <c r="C240" t="s">
        <v>3738</v>
      </c>
      <c r="D240" t="s">
        <v>2664</v>
      </c>
      <c r="E240" t="s">
        <v>2664</v>
      </c>
      <c r="F240" t="s">
        <v>35</v>
      </c>
      <c r="G240" t="s">
        <v>2669</v>
      </c>
      <c r="H240" s="8" t="s">
        <v>113</v>
      </c>
      <c r="J240" s="16" t="s">
        <v>3740</v>
      </c>
      <c r="K240" t="s">
        <v>14</v>
      </c>
      <c r="L240" t="s">
        <v>2659</v>
      </c>
      <c r="M240" s="17">
        <v>0</v>
      </c>
      <c r="N240" s="17">
        <v>1</v>
      </c>
      <c r="O240" s="17">
        <v>2.0000000000000001E-10</v>
      </c>
      <c r="P240" s="75">
        <v>4294967296</v>
      </c>
      <c r="Q240" t="s">
        <v>2660</v>
      </c>
      <c r="R240" t="s">
        <v>2660</v>
      </c>
    </row>
    <row r="241" spans="1:18" x14ac:dyDescent="0.25">
      <c r="A241" t="s">
        <v>3737</v>
      </c>
      <c r="B241" t="s">
        <v>3737</v>
      </c>
      <c r="C241" t="s">
        <v>3739</v>
      </c>
      <c r="D241" t="s">
        <v>2664</v>
      </c>
      <c r="E241" t="s">
        <v>2664</v>
      </c>
      <c r="F241" t="s">
        <v>35</v>
      </c>
      <c r="G241" t="s">
        <v>2669</v>
      </c>
      <c r="H241" s="8" t="s">
        <v>113</v>
      </c>
      <c r="J241" s="16" t="s">
        <v>3741</v>
      </c>
      <c r="K241" t="s">
        <v>14</v>
      </c>
      <c r="L241" t="s">
        <v>2659</v>
      </c>
      <c r="M241" s="17">
        <v>0</v>
      </c>
      <c r="N241" s="17">
        <v>1</v>
      </c>
      <c r="O241" s="17">
        <v>2.0000000000000001E-10</v>
      </c>
      <c r="P241" s="75">
        <v>4294967296</v>
      </c>
      <c r="Q241" t="s">
        <v>2660</v>
      </c>
      <c r="R241" t="s">
        <v>2660</v>
      </c>
    </row>
    <row r="242" spans="1:18" x14ac:dyDescent="0.25">
      <c r="A242" t="s">
        <v>3742</v>
      </c>
      <c r="B242" t="s">
        <v>3743</v>
      </c>
      <c r="C242" t="s">
        <v>3744</v>
      </c>
      <c r="D242" t="s">
        <v>2789</v>
      </c>
      <c r="E242" t="s">
        <v>2789</v>
      </c>
      <c r="F242" t="s">
        <v>35</v>
      </c>
      <c r="G242" t="s">
        <v>2756</v>
      </c>
      <c r="H242" s="8" t="s">
        <v>1679</v>
      </c>
      <c r="J242" s="16" t="s">
        <v>3745</v>
      </c>
      <c r="K242" t="s">
        <v>14</v>
      </c>
      <c r="L242" t="s">
        <v>2659</v>
      </c>
      <c r="M242" s="17">
        <v>0</v>
      </c>
      <c r="N242" s="17">
        <v>1000000</v>
      </c>
      <c r="O242" s="17">
        <v>2.3283059999999999E-4</v>
      </c>
      <c r="P242" s="75">
        <v>4294967296</v>
      </c>
      <c r="Q242" t="s">
        <v>2660</v>
      </c>
      <c r="R242" t="s">
        <v>2660</v>
      </c>
    </row>
    <row r="243" spans="1:18" x14ac:dyDescent="0.25">
      <c r="A243" t="s">
        <v>3747</v>
      </c>
      <c r="B243" t="s">
        <v>3747</v>
      </c>
      <c r="C243" t="s">
        <v>3748</v>
      </c>
      <c r="D243" t="s">
        <v>2789</v>
      </c>
      <c r="E243" t="s">
        <v>2789</v>
      </c>
      <c r="F243" t="s">
        <v>35</v>
      </c>
      <c r="G243" t="s">
        <v>2786</v>
      </c>
      <c r="H243" s="8" t="s">
        <v>96</v>
      </c>
      <c r="J243" s="16" t="s">
        <v>3746</v>
      </c>
      <c r="K243" t="s">
        <v>14</v>
      </c>
      <c r="L243" t="s">
        <v>2659</v>
      </c>
      <c r="M243" s="17">
        <v>-273.14999999999998</v>
      </c>
      <c r="N243" s="17">
        <v>1500</v>
      </c>
      <c r="O243" s="17">
        <v>4.1279999999999999E-7</v>
      </c>
      <c r="P243" s="75">
        <v>4294967296</v>
      </c>
      <c r="Q243" t="s">
        <v>2660</v>
      </c>
      <c r="R243" t="s">
        <v>2660</v>
      </c>
    </row>
    <row r="244" spans="1:18" x14ac:dyDescent="0.25">
      <c r="A244" s="77" t="s">
        <v>2718</v>
      </c>
      <c r="B244" t="s">
        <v>2719</v>
      </c>
      <c r="C244" t="s">
        <v>2720</v>
      </c>
      <c r="D244" t="s">
        <v>2716</v>
      </c>
      <c r="E244" t="s">
        <v>2717</v>
      </c>
      <c r="F244" t="s">
        <v>35</v>
      </c>
      <c r="G244" t="s">
        <v>2698</v>
      </c>
      <c r="H244" s="8" t="s">
        <v>113</v>
      </c>
      <c r="J244" s="16" t="s">
        <v>3215</v>
      </c>
      <c r="K244" t="s">
        <v>14</v>
      </c>
      <c r="L244" t="s">
        <v>2659</v>
      </c>
      <c r="M244" s="17">
        <v>0</v>
      </c>
      <c r="N244" s="17">
        <v>10</v>
      </c>
      <c r="O244" s="17">
        <v>2.2999999999999999E-9</v>
      </c>
      <c r="P244" s="75">
        <v>4294967296</v>
      </c>
      <c r="Q244" t="s">
        <v>2660</v>
      </c>
      <c r="R244" t="s">
        <v>2660</v>
      </c>
    </row>
    <row r="245" spans="1:18" x14ac:dyDescent="0.25">
      <c r="A245" t="s">
        <v>2721</v>
      </c>
      <c r="B245" t="s">
        <v>2722</v>
      </c>
      <c r="C245" t="s">
        <v>2723</v>
      </c>
      <c r="D245" t="s">
        <v>2716</v>
      </c>
      <c r="E245" t="s">
        <v>2717</v>
      </c>
      <c r="F245" t="s">
        <v>35</v>
      </c>
      <c r="G245" t="s">
        <v>2724</v>
      </c>
      <c r="H245" s="8" t="s">
        <v>85</v>
      </c>
      <c r="J245" s="16" t="s">
        <v>2725</v>
      </c>
      <c r="K245" t="s">
        <v>14</v>
      </c>
      <c r="L245" t="s">
        <v>2659</v>
      </c>
      <c r="M245" s="17">
        <v>0</v>
      </c>
      <c r="N245" s="17">
        <v>1000</v>
      </c>
      <c r="O245" s="17">
        <v>2.3279999999999999E-7</v>
      </c>
      <c r="P245" s="75">
        <v>4294967296</v>
      </c>
      <c r="Q245" t="s">
        <v>2660</v>
      </c>
      <c r="R245" t="s">
        <v>2660</v>
      </c>
    </row>
    <row r="246" spans="1:18" x14ac:dyDescent="0.25">
      <c r="A246" t="s">
        <v>2726</v>
      </c>
      <c r="B246" t="s">
        <v>2727</v>
      </c>
      <c r="C246" t="s">
        <v>3051</v>
      </c>
      <c r="D246" t="s">
        <v>2716</v>
      </c>
      <c r="E246" t="s">
        <v>2717</v>
      </c>
      <c r="F246" t="s">
        <v>35</v>
      </c>
      <c r="G246" t="s">
        <v>2724</v>
      </c>
      <c r="H246" s="8" t="s">
        <v>85</v>
      </c>
      <c r="J246" s="16" t="s">
        <v>3049</v>
      </c>
      <c r="K246" t="s">
        <v>14</v>
      </c>
      <c r="L246" t="s">
        <v>2659</v>
      </c>
      <c r="M246" s="17">
        <v>0</v>
      </c>
      <c r="N246" s="17">
        <v>1000</v>
      </c>
      <c r="O246" s="17">
        <v>2.3279999999999999E-7</v>
      </c>
      <c r="P246" s="75">
        <v>4294967296</v>
      </c>
      <c r="Q246" t="s">
        <v>2660</v>
      </c>
      <c r="R246" t="s">
        <v>2660</v>
      </c>
    </row>
    <row r="247" spans="1:18" x14ac:dyDescent="0.25">
      <c r="A247" t="s">
        <v>2728</v>
      </c>
      <c r="B247" t="s">
        <v>2729</v>
      </c>
      <c r="C247" t="s">
        <v>2730</v>
      </c>
      <c r="D247" t="s">
        <v>2716</v>
      </c>
      <c r="E247" t="s">
        <v>2717</v>
      </c>
      <c r="F247" t="s">
        <v>35</v>
      </c>
      <c r="G247" t="s">
        <v>2724</v>
      </c>
      <c r="H247" s="8" t="s">
        <v>85</v>
      </c>
      <c r="J247" s="16" t="s">
        <v>2731</v>
      </c>
      <c r="K247" t="s">
        <v>14</v>
      </c>
      <c r="L247" t="s">
        <v>2659</v>
      </c>
      <c r="M247" s="17">
        <v>0</v>
      </c>
      <c r="N247" s="17">
        <v>1000</v>
      </c>
      <c r="O247" s="17">
        <v>2.3279999999999999E-7</v>
      </c>
      <c r="P247" s="75">
        <v>4294967296</v>
      </c>
      <c r="Q247" t="s">
        <v>2660</v>
      </c>
      <c r="R247" t="s">
        <v>2660</v>
      </c>
    </row>
    <row r="248" spans="1:18" x14ac:dyDescent="0.25">
      <c r="A248" t="s">
        <v>2732</v>
      </c>
      <c r="B248" t="s">
        <v>2733</v>
      </c>
      <c r="C248" t="s">
        <v>2734</v>
      </c>
      <c r="D248" t="s">
        <v>2716</v>
      </c>
      <c r="E248" t="s">
        <v>2717</v>
      </c>
      <c r="F248" t="s">
        <v>35</v>
      </c>
      <c r="G248" t="s">
        <v>2724</v>
      </c>
      <c r="H248" s="8" t="s">
        <v>85</v>
      </c>
      <c r="J248" s="16" t="s">
        <v>2735</v>
      </c>
      <c r="K248" t="s">
        <v>14</v>
      </c>
      <c r="L248" t="s">
        <v>2659</v>
      </c>
      <c r="M248" s="17">
        <v>0</v>
      </c>
      <c r="N248" s="17">
        <v>1000</v>
      </c>
      <c r="O248" s="17">
        <v>2.3279999999999999E-7</v>
      </c>
      <c r="P248" s="75">
        <v>4294967296</v>
      </c>
      <c r="Q248" t="s">
        <v>2660</v>
      </c>
      <c r="R248" t="s">
        <v>2660</v>
      </c>
    </row>
    <row r="249" spans="1:18" x14ac:dyDescent="0.25">
      <c r="A249" t="s">
        <v>2736</v>
      </c>
      <c r="B249" t="s">
        <v>2737</v>
      </c>
      <c r="C249" t="s">
        <v>2738</v>
      </c>
      <c r="D249" t="s">
        <v>2716</v>
      </c>
      <c r="E249" t="s">
        <v>2717</v>
      </c>
      <c r="F249" t="s">
        <v>35</v>
      </c>
      <c r="G249" t="s">
        <v>2724</v>
      </c>
      <c r="H249" s="8" t="s">
        <v>85</v>
      </c>
      <c r="J249" s="16" t="s">
        <v>2739</v>
      </c>
      <c r="K249" t="s">
        <v>14</v>
      </c>
      <c r="L249" t="s">
        <v>2659</v>
      </c>
      <c r="M249" s="17">
        <v>0</v>
      </c>
      <c r="N249" s="17">
        <v>1000</v>
      </c>
      <c r="O249" s="17">
        <v>2.3279999999999999E-7</v>
      </c>
      <c r="P249" s="75">
        <v>4294967296</v>
      </c>
      <c r="Q249" t="s">
        <v>2660</v>
      </c>
      <c r="R249" t="s">
        <v>2660</v>
      </c>
    </row>
    <row r="250" spans="1:18" x14ac:dyDescent="0.25">
      <c r="A250" t="s">
        <v>2740</v>
      </c>
      <c r="B250" t="s">
        <v>2741</v>
      </c>
      <c r="C250" t="s">
        <v>2742</v>
      </c>
      <c r="D250" t="s">
        <v>2716</v>
      </c>
      <c r="E250" t="s">
        <v>2717</v>
      </c>
      <c r="F250" t="s">
        <v>35</v>
      </c>
      <c r="G250" t="s">
        <v>2724</v>
      </c>
      <c r="H250" s="8" t="s">
        <v>85</v>
      </c>
      <c r="J250" s="16" t="s">
        <v>2743</v>
      </c>
      <c r="K250" t="s">
        <v>14</v>
      </c>
      <c r="L250" t="s">
        <v>2659</v>
      </c>
      <c r="M250" s="17">
        <v>0</v>
      </c>
      <c r="N250" s="17">
        <v>1000</v>
      </c>
      <c r="O250" s="17">
        <v>2.3279999999999999E-7</v>
      </c>
      <c r="P250" s="75">
        <v>4294967296</v>
      </c>
      <c r="Q250" t="s">
        <v>2660</v>
      </c>
      <c r="R250" t="s">
        <v>2660</v>
      </c>
    </row>
    <row r="251" spans="1:18" x14ac:dyDescent="0.25">
      <c r="A251" t="s">
        <v>2744</v>
      </c>
      <c r="B251" t="s">
        <v>2727</v>
      </c>
      <c r="C251" t="s">
        <v>3051</v>
      </c>
      <c r="D251" t="s">
        <v>2716</v>
      </c>
      <c r="E251" t="s">
        <v>2717</v>
      </c>
      <c r="F251" t="s">
        <v>35</v>
      </c>
      <c r="G251" t="s">
        <v>2678</v>
      </c>
      <c r="H251" s="8" t="s">
        <v>76</v>
      </c>
      <c r="J251" s="16" t="s">
        <v>3050</v>
      </c>
      <c r="K251" t="s">
        <v>14</v>
      </c>
      <c r="L251" t="s">
        <v>2659</v>
      </c>
      <c r="M251" s="17">
        <v>-720</v>
      </c>
      <c r="N251" s="17">
        <v>720</v>
      </c>
      <c r="O251" s="17">
        <v>3.3529999999999999E-7</v>
      </c>
      <c r="P251" s="75">
        <v>4294967296</v>
      </c>
      <c r="Q251" t="s">
        <v>2660</v>
      </c>
      <c r="R251" t="s">
        <v>2660</v>
      </c>
    </row>
    <row r="252" spans="1:18" x14ac:dyDescent="0.25">
      <c r="A252" t="s">
        <v>2745</v>
      </c>
      <c r="B252" t="s">
        <v>2729</v>
      </c>
      <c r="C252" t="s">
        <v>2730</v>
      </c>
      <c r="D252" t="s">
        <v>2716</v>
      </c>
      <c r="E252" t="s">
        <v>2717</v>
      </c>
      <c r="F252" t="s">
        <v>35</v>
      </c>
      <c r="G252" t="s">
        <v>2678</v>
      </c>
      <c r="H252" s="8" t="s">
        <v>76</v>
      </c>
      <c r="J252" s="16" t="s">
        <v>2746</v>
      </c>
      <c r="K252" t="s">
        <v>14</v>
      </c>
      <c r="L252" t="s">
        <v>2659</v>
      </c>
      <c r="M252" s="17">
        <v>-720</v>
      </c>
      <c r="N252" s="17">
        <v>720</v>
      </c>
      <c r="O252" s="17">
        <v>3.3529999999999999E-7</v>
      </c>
      <c r="P252" s="75">
        <v>4294967296</v>
      </c>
      <c r="Q252" t="s">
        <v>2660</v>
      </c>
      <c r="R252" t="s">
        <v>2660</v>
      </c>
    </row>
    <row r="253" spans="1:18" x14ac:dyDescent="0.25">
      <c r="A253" t="s">
        <v>2747</v>
      </c>
      <c r="B253" t="s">
        <v>2733</v>
      </c>
      <c r="C253" t="s">
        <v>2734</v>
      </c>
      <c r="D253" t="s">
        <v>2716</v>
      </c>
      <c r="E253" t="s">
        <v>2717</v>
      </c>
      <c r="F253" t="s">
        <v>35</v>
      </c>
      <c r="G253" t="s">
        <v>2678</v>
      </c>
      <c r="H253" s="8" t="s">
        <v>76</v>
      </c>
      <c r="J253" s="16" t="s">
        <v>2748</v>
      </c>
      <c r="K253" t="s">
        <v>14</v>
      </c>
      <c r="L253" t="s">
        <v>2659</v>
      </c>
      <c r="M253" s="17">
        <v>-720</v>
      </c>
      <c r="N253" s="17">
        <v>720</v>
      </c>
      <c r="O253" s="17">
        <v>3.3529999999999999E-7</v>
      </c>
      <c r="P253" s="75">
        <v>4294967296</v>
      </c>
      <c r="Q253" t="s">
        <v>2660</v>
      </c>
      <c r="R253" t="s">
        <v>2660</v>
      </c>
    </row>
    <row r="254" spans="1:18" x14ac:dyDescent="0.25">
      <c r="A254" t="s">
        <v>2749</v>
      </c>
      <c r="B254" t="s">
        <v>2737</v>
      </c>
      <c r="C254" t="s">
        <v>2738</v>
      </c>
      <c r="D254" t="s">
        <v>2716</v>
      </c>
      <c r="E254" t="s">
        <v>2717</v>
      </c>
      <c r="F254" t="s">
        <v>35</v>
      </c>
      <c r="G254" t="s">
        <v>2678</v>
      </c>
      <c r="H254" s="8" t="s">
        <v>76</v>
      </c>
      <c r="J254" s="16" t="s">
        <v>2750</v>
      </c>
      <c r="K254" t="s">
        <v>14</v>
      </c>
      <c r="L254" t="s">
        <v>2659</v>
      </c>
      <c r="M254" s="17">
        <v>-720</v>
      </c>
      <c r="N254" s="17">
        <v>720</v>
      </c>
      <c r="O254" s="17">
        <v>3.3529999999999999E-7</v>
      </c>
      <c r="P254" s="75">
        <v>4294967296</v>
      </c>
      <c r="Q254" t="s">
        <v>2660</v>
      </c>
      <c r="R254" t="s">
        <v>2660</v>
      </c>
    </row>
    <row r="255" spans="1:18" x14ac:dyDescent="0.25">
      <c r="A255" t="s">
        <v>2751</v>
      </c>
      <c r="B255" t="s">
        <v>2741</v>
      </c>
      <c r="C255" t="s">
        <v>2742</v>
      </c>
      <c r="D255" t="s">
        <v>2716</v>
      </c>
      <c r="E255" t="s">
        <v>2717</v>
      </c>
      <c r="F255" t="s">
        <v>35</v>
      </c>
      <c r="G255" t="s">
        <v>2678</v>
      </c>
      <c r="H255" s="8" t="s">
        <v>76</v>
      </c>
      <c r="J255" s="16" t="s">
        <v>2752</v>
      </c>
      <c r="K255" t="s">
        <v>14</v>
      </c>
      <c r="L255" t="s">
        <v>2659</v>
      </c>
      <c r="M255" s="17">
        <v>-720</v>
      </c>
      <c r="N255" s="17">
        <v>720</v>
      </c>
      <c r="O255" s="17">
        <v>3.3529999999999999E-7</v>
      </c>
      <c r="P255" s="75">
        <v>4294967296</v>
      </c>
      <c r="Q255" t="s">
        <v>2660</v>
      </c>
      <c r="R255" t="s">
        <v>2660</v>
      </c>
    </row>
    <row r="256" spans="1:18" x14ac:dyDescent="0.25">
      <c r="A256" t="s">
        <v>2753</v>
      </c>
      <c r="B256" t="s">
        <v>2754</v>
      </c>
      <c r="C256" t="s">
        <v>2755</v>
      </c>
      <c r="D256" t="s">
        <v>2716</v>
      </c>
      <c r="E256" t="s">
        <v>2717</v>
      </c>
      <c r="F256" t="s">
        <v>35</v>
      </c>
      <c r="G256" t="s">
        <v>2756</v>
      </c>
      <c r="H256" s="8" t="s">
        <v>1679</v>
      </c>
      <c r="J256" s="16" t="s">
        <v>2757</v>
      </c>
      <c r="K256" t="s">
        <v>14</v>
      </c>
      <c r="L256" t="s">
        <v>2659</v>
      </c>
      <c r="M256" s="17">
        <v>0</v>
      </c>
      <c r="N256" s="17">
        <v>400000000</v>
      </c>
      <c r="O256" s="17">
        <v>9.3132257499999996E-2</v>
      </c>
      <c r="P256" s="75">
        <v>4294967296</v>
      </c>
      <c r="Q256" t="s">
        <v>2660</v>
      </c>
      <c r="R256" t="s">
        <v>2660</v>
      </c>
    </row>
    <row r="257" spans="1:18" x14ac:dyDescent="0.25">
      <c r="A257" t="s">
        <v>3022</v>
      </c>
      <c r="B257" t="s">
        <v>3023</v>
      </c>
      <c r="C257" t="s">
        <v>3024</v>
      </c>
      <c r="D257" t="s">
        <v>2716</v>
      </c>
      <c r="E257" t="s">
        <v>2717</v>
      </c>
      <c r="F257" t="s">
        <v>35</v>
      </c>
      <c r="G257" t="s">
        <v>2702</v>
      </c>
      <c r="H257" s="8" t="s">
        <v>71</v>
      </c>
      <c r="J257" s="16" t="s">
        <v>3228</v>
      </c>
      <c r="K257" t="s">
        <v>14</v>
      </c>
      <c r="L257" t="s">
        <v>2659</v>
      </c>
      <c r="M257" s="17">
        <v>0</v>
      </c>
      <c r="N257" s="17">
        <v>10000</v>
      </c>
      <c r="O257" s="17">
        <v>2.3282999999999998E-6</v>
      </c>
      <c r="P257" s="75">
        <v>4294967296</v>
      </c>
      <c r="Q257" t="s">
        <v>2660</v>
      </c>
      <c r="R257" t="s">
        <v>2660</v>
      </c>
    </row>
    <row r="258" spans="1:18" x14ac:dyDescent="0.25">
      <c r="A258" t="s">
        <v>3025</v>
      </c>
      <c r="B258" t="s">
        <v>3026</v>
      </c>
      <c r="C258" t="s">
        <v>3027</v>
      </c>
      <c r="D258" t="s">
        <v>2716</v>
      </c>
      <c r="E258" t="s">
        <v>2717</v>
      </c>
      <c r="F258" t="s">
        <v>35</v>
      </c>
      <c r="G258" t="s">
        <v>2686</v>
      </c>
      <c r="H258" s="8" t="s">
        <v>100</v>
      </c>
      <c r="J258" s="16" t="s">
        <v>3229</v>
      </c>
      <c r="K258" t="s">
        <v>14</v>
      </c>
      <c r="L258" t="s">
        <v>2659</v>
      </c>
      <c r="M258" s="17">
        <v>0</v>
      </c>
      <c r="N258" s="17">
        <v>10000</v>
      </c>
      <c r="O258" s="17">
        <v>2.3282999999999998E-6</v>
      </c>
      <c r="P258" s="75">
        <v>4294967296</v>
      </c>
      <c r="Q258" t="s">
        <v>2660</v>
      </c>
      <c r="R258" t="s">
        <v>2660</v>
      </c>
    </row>
    <row r="259" spans="1:18" x14ac:dyDescent="0.25">
      <c r="A259" t="s">
        <v>3028</v>
      </c>
      <c r="B259" t="s">
        <v>3029</v>
      </c>
      <c r="C259" t="s">
        <v>3030</v>
      </c>
      <c r="D259" t="s">
        <v>2716</v>
      </c>
      <c r="E259" t="s">
        <v>2717</v>
      </c>
      <c r="F259" t="s">
        <v>35</v>
      </c>
      <c r="G259" t="s">
        <v>2700</v>
      </c>
      <c r="H259" s="8" t="s">
        <v>79</v>
      </c>
      <c r="J259" s="16" t="s">
        <v>3230</v>
      </c>
      <c r="K259" t="s">
        <v>14</v>
      </c>
      <c r="L259" t="s">
        <v>2659</v>
      </c>
      <c r="M259" s="17">
        <v>0</v>
      </c>
      <c r="N259" s="17">
        <v>150</v>
      </c>
      <c r="O259" s="17">
        <v>3.4900000000000001E-8</v>
      </c>
      <c r="P259" s="75">
        <v>4294967296</v>
      </c>
      <c r="Q259" t="s">
        <v>2660</v>
      </c>
      <c r="R259" t="s">
        <v>2660</v>
      </c>
    </row>
    <row r="260" spans="1:18" x14ac:dyDescent="0.25">
      <c r="A260" t="s">
        <v>3033</v>
      </c>
      <c r="B260" t="s">
        <v>3034</v>
      </c>
      <c r="C260" t="s">
        <v>3035</v>
      </c>
      <c r="D260" t="s">
        <v>2716</v>
      </c>
      <c r="E260" t="s">
        <v>2717</v>
      </c>
      <c r="F260" t="s">
        <v>35</v>
      </c>
      <c r="G260" t="s">
        <v>2700</v>
      </c>
      <c r="H260" s="8" t="s">
        <v>79</v>
      </c>
      <c r="J260" s="16" t="s">
        <v>3231</v>
      </c>
      <c r="K260" t="s">
        <v>14</v>
      </c>
      <c r="L260" t="s">
        <v>2659</v>
      </c>
      <c r="M260" s="17">
        <v>0</v>
      </c>
      <c r="N260" s="17">
        <v>150</v>
      </c>
      <c r="O260" s="17">
        <v>3.4900000000000001E-8</v>
      </c>
      <c r="P260" s="75">
        <v>4294967296</v>
      </c>
      <c r="Q260" t="s">
        <v>2660</v>
      </c>
      <c r="R260" t="s">
        <v>2660</v>
      </c>
    </row>
    <row r="261" spans="1:18" x14ac:dyDescent="0.25">
      <c r="A261" t="s">
        <v>3036</v>
      </c>
      <c r="B261" t="s">
        <v>3037</v>
      </c>
      <c r="C261" t="s">
        <v>3038</v>
      </c>
      <c r="D261" t="s">
        <v>2716</v>
      </c>
      <c r="E261" t="s">
        <v>2717</v>
      </c>
      <c r="F261" t="s">
        <v>35</v>
      </c>
      <c r="G261" t="s">
        <v>2700</v>
      </c>
      <c r="H261" s="8" t="s">
        <v>79</v>
      </c>
      <c r="J261" s="16" t="s">
        <v>3232</v>
      </c>
      <c r="K261" t="s">
        <v>14</v>
      </c>
      <c r="L261" t="s">
        <v>2659</v>
      </c>
      <c r="M261" s="17">
        <v>0</v>
      </c>
      <c r="N261" s="17">
        <v>150</v>
      </c>
      <c r="O261" s="17">
        <v>3.4900000000000001E-8</v>
      </c>
      <c r="P261" s="75">
        <v>4294967296</v>
      </c>
      <c r="Q261" t="s">
        <v>2660</v>
      </c>
      <c r="R261" t="s">
        <v>2660</v>
      </c>
    </row>
    <row r="262" spans="1:18" x14ac:dyDescent="0.25">
      <c r="A262" t="s">
        <v>3041</v>
      </c>
      <c r="B262" t="s">
        <v>3042</v>
      </c>
      <c r="C262" t="s">
        <v>3043</v>
      </c>
      <c r="D262" t="s">
        <v>2716</v>
      </c>
      <c r="E262" t="s">
        <v>2717</v>
      </c>
      <c r="F262" t="s">
        <v>35</v>
      </c>
      <c r="G262" t="s">
        <v>2785</v>
      </c>
      <c r="H262" s="8" t="s">
        <v>2599</v>
      </c>
      <c r="J262" s="16" t="s">
        <v>3044</v>
      </c>
      <c r="K262" t="s">
        <v>14</v>
      </c>
      <c r="L262" t="s">
        <v>2659</v>
      </c>
      <c r="M262" s="17">
        <v>0</v>
      </c>
      <c r="N262" s="17">
        <v>1000</v>
      </c>
      <c r="O262" s="17">
        <v>2.3279999999999999E-7</v>
      </c>
      <c r="P262" s="75">
        <v>4294967296</v>
      </c>
      <c r="Q262" t="s">
        <v>2660</v>
      </c>
      <c r="R262" t="s">
        <v>2660</v>
      </c>
    </row>
    <row r="263" spans="1:18" x14ac:dyDescent="0.25">
      <c r="A263" t="s">
        <v>3045</v>
      </c>
      <c r="B263" t="s">
        <v>3046</v>
      </c>
      <c r="C263" t="s">
        <v>3047</v>
      </c>
      <c r="D263" t="s">
        <v>2716</v>
      </c>
      <c r="E263" t="s">
        <v>2717</v>
      </c>
      <c r="F263" t="s">
        <v>35</v>
      </c>
      <c r="G263" t="s">
        <v>2702</v>
      </c>
      <c r="H263" s="8" t="s">
        <v>71</v>
      </c>
      <c r="J263" s="16" t="s">
        <v>3048</v>
      </c>
      <c r="K263" t="s">
        <v>14</v>
      </c>
      <c r="L263" t="s">
        <v>2659</v>
      </c>
      <c r="M263" s="17">
        <v>0</v>
      </c>
      <c r="N263" s="17">
        <v>10000</v>
      </c>
      <c r="O263" s="17">
        <v>2.3282999999999998E-6</v>
      </c>
      <c r="P263" s="75">
        <v>4294967296</v>
      </c>
      <c r="Q263" t="s">
        <v>2660</v>
      </c>
      <c r="R263" t="s">
        <v>2660</v>
      </c>
    </row>
    <row r="264" spans="1:18" x14ac:dyDescent="0.25">
      <c r="A264" t="s">
        <v>3039</v>
      </c>
      <c r="B264" t="s">
        <v>3055</v>
      </c>
      <c r="C264" t="s">
        <v>3056</v>
      </c>
      <c r="D264" t="s">
        <v>2716</v>
      </c>
      <c r="E264" t="s">
        <v>2717</v>
      </c>
      <c r="F264" t="s">
        <v>35</v>
      </c>
      <c r="G264" t="s">
        <v>2700</v>
      </c>
      <c r="H264" s="8" t="s">
        <v>79</v>
      </c>
      <c r="J264" s="16" t="s">
        <v>3233</v>
      </c>
      <c r="K264" t="s">
        <v>14</v>
      </c>
      <c r="L264" t="s">
        <v>2659</v>
      </c>
      <c r="M264" s="17">
        <v>0</v>
      </c>
      <c r="N264" s="17">
        <v>150</v>
      </c>
      <c r="O264" s="17">
        <v>3.4900000000000001E-8</v>
      </c>
      <c r="P264" s="75">
        <v>4294967296</v>
      </c>
      <c r="Q264" t="s">
        <v>2660</v>
      </c>
      <c r="R264" t="s">
        <v>2660</v>
      </c>
    </row>
    <row r="265" spans="1:18" x14ac:dyDescent="0.25">
      <c r="A265" t="s">
        <v>2715</v>
      </c>
      <c r="B265" t="s">
        <v>3057</v>
      </c>
      <c r="C265" t="s">
        <v>3058</v>
      </c>
      <c r="D265" t="s">
        <v>2716</v>
      </c>
      <c r="E265" t="s">
        <v>2717</v>
      </c>
      <c r="F265" t="s">
        <v>35</v>
      </c>
      <c r="G265" t="s">
        <v>2686</v>
      </c>
      <c r="H265" s="8" t="s">
        <v>100</v>
      </c>
      <c r="J265" s="16" t="s">
        <v>3234</v>
      </c>
      <c r="K265" t="s">
        <v>14</v>
      </c>
      <c r="L265" t="s">
        <v>2659</v>
      </c>
      <c r="M265" s="17">
        <v>0</v>
      </c>
      <c r="N265" s="17">
        <v>10000</v>
      </c>
      <c r="O265" s="17">
        <v>2.3282999999999998E-6</v>
      </c>
      <c r="P265" s="75">
        <v>4294967296</v>
      </c>
      <c r="Q265" t="s">
        <v>2660</v>
      </c>
      <c r="R265" t="s">
        <v>2660</v>
      </c>
    </row>
    <row r="266" spans="1:18" x14ac:dyDescent="0.25">
      <c r="A266" t="s">
        <v>3068</v>
      </c>
      <c r="B266" t="s">
        <v>2758</v>
      </c>
      <c r="C266" t="s">
        <v>2759</v>
      </c>
      <c r="D266" t="s">
        <v>2716</v>
      </c>
      <c r="E266" t="s">
        <v>2717</v>
      </c>
      <c r="F266" t="s">
        <v>35</v>
      </c>
      <c r="G266" t="s">
        <v>2700</v>
      </c>
      <c r="H266" s="8" t="s">
        <v>79</v>
      </c>
      <c r="J266" s="16" t="s">
        <v>3063</v>
      </c>
      <c r="K266" t="s">
        <v>14</v>
      </c>
      <c r="L266" t="s">
        <v>2659</v>
      </c>
      <c r="M266" s="17">
        <v>0</v>
      </c>
      <c r="N266" s="17">
        <v>150</v>
      </c>
      <c r="O266" s="17">
        <v>3.4900000000000001E-8</v>
      </c>
      <c r="P266" s="75">
        <v>4294967296</v>
      </c>
      <c r="Q266" t="s">
        <v>2660</v>
      </c>
      <c r="R266" t="s">
        <v>2660</v>
      </c>
    </row>
    <row r="267" spans="1:18" x14ac:dyDescent="0.25">
      <c r="A267" t="s">
        <v>3064</v>
      </c>
      <c r="B267" t="s">
        <v>2760</v>
      </c>
      <c r="C267" t="s">
        <v>2761</v>
      </c>
      <c r="D267" t="s">
        <v>2716</v>
      </c>
      <c r="E267" t="s">
        <v>2717</v>
      </c>
      <c r="F267" t="s">
        <v>35</v>
      </c>
      <c r="G267" t="s">
        <v>2700</v>
      </c>
      <c r="H267" s="8" t="s">
        <v>79</v>
      </c>
      <c r="J267" s="16" t="s">
        <v>3065</v>
      </c>
      <c r="K267" t="s">
        <v>14</v>
      </c>
      <c r="L267" t="s">
        <v>2659</v>
      </c>
      <c r="M267" s="17">
        <v>0</v>
      </c>
      <c r="N267" s="17">
        <v>150</v>
      </c>
      <c r="O267" s="17">
        <v>3.4900000000000001E-8</v>
      </c>
      <c r="P267" s="75">
        <v>4294967296</v>
      </c>
      <c r="Q267" t="s">
        <v>2660</v>
      </c>
      <c r="R267" t="s">
        <v>2660</v>
      </c>
    </row>
    <row r="268" spans="1:18" x14ac:dyDescent="0.25">
      <c r="A268" t="s">
        <v>3066</v>
      </c>
      <c r="B268" t="s">
        <v>2762</v>
      </c>
      <c r="C268" t="s">
        <v>2763</v>
      </c>
      <c r="D268" t="s">
        <v>2716</v>
      </c>
      <c r="E268" t="s">
        <v>2717</v>
      </c>
      <c r="F268" t="s">
        <v>35</v>
      </c>
      <c r="G268" t="s">
        <v>2700</v>
      </c>
      <c r="H268" s="8" t="s">
        <v>79</v>
      </c>
      <c r="J268" s="16" t="s">
        <v>3067</v>
      </c>
      <c r="K268" t="s">
        <v>14</v>
      </c>
      <c r="L268" t="s">
        <v>2659</v>
      </c>
      <c r="M268" s="17">
        <v>0</v>
      </c>
      <c r="N268" s="17">
        <v>150</v>
      </c>
      <c r="O268" s="17">
        <v>3.4900000000000001E-8</v>
      </c>
      <c r="P268" s="75">
        <v>4294967296</v>
      </c>
      <c r="Q268" t="s">
        <v>2660</v>
      </c>
      <c r="R268" t="s">
        <v>2660</v>
      </c>
    </row>
    <row r="269" spans="1:18" x14ac:dyDescent="0.25">
      <c r="A269" t="s">
        <v>3236</v>
      </c>
      <c r="B269" t="s">
        <v>3237</v>
      </c>
      <c r="C269" t="s">
        <v>3238</v>
      </c>
      <c r="D269" t="s">
        <v>2716</v>
      </c>
      <c r="E269" t="s">
        <v>2717</v>
      </c>
      <c r="F269" t="s">
        <v>35</v>
      </c>
      <c r="G269" t="s">
        <v>2701</v>
      </c>
      <c r="H269" s="8" t="s">
        <v>113</v>
      </c>
      <c r="J269" s="16" t="s">
        <v>3239</v>
      </c>
      <c r="K269" t="s">
        <v>14</v>
      </c>
      <c r="L269" t="s">
        <v>2659</v>
      </c>
      <c r="M269" s="17">
        <v>0</v>
      </c>
      <c r="N269" s="17">
        <v>10</v>
      </c>
      <c r="O269" s="17">
        <v>2.2999999999999999E-9</v>
      </c>
      <c r="P269" s="75">
        <v>4294967296</v>
      </c>
      <c r="Q269" t="s">
        <v>2660</v>
      </c>
      <c r="R269" t="s">
        <v>2660</v>
      </c>
    </row>
    <row r="270" spans="1:18" x14ac:dyDescent="0.25">
      <c r="A270" t="s">
        <v>3240</v>
      </c>
      <c r="B270" t="s">
        <v>3241</v>
      </c>
      <c r="C270" t="s">
        <v>3242</v>
      </c>
      <c r="D270" t="s">
        <v>2716</v>
      </c>
      <c r="E270" t="s">
        <v>2717</v>
      </c>
      <c r="F270" t="s">
        <v>35</v>
      </c>
      <c r="G270" t="s">
        <v>2657</v>
      </c>
      <c r="H270" s="8" t="s">
        <v>3053</v>
      </c>
      <c r="J270" s="16" t="s">
        <v>3243</v>
      </c>
      <c r="K270" t="s">
        <v>14</v>
      </c>
      <c r="L270" t="s">
        <v>2659</v>
      </c>
      <c r="M270" s="17">
        <v>0</v>
      </c>
      <c r="N270" s="17">
        <v>500</v>
      </c>
      <c r="O270" s="17">
        <v>1.164E-7</v>
      </c>
      <c r="P270" s="75">
        <v>4294967296</v>
      </c>
      <c r="Q270" t="s">
        <v>2660</v>
      </c>
      <c r="R270" t="s">
        <v>2660</v>
      </c>
    </row>
    <row r="271" spans="1:18" x14ac:dyDescent="0.25">
      <c r="A271" t="s">
        <v>3244</v>
      </c>
      <c r="B271" t="s">
        <v>3245</v>
      </c>
      <c r="C271" t="s">
        <v>3246</v>
      </c>
      <c r="D271" t="s">
        <v>2716</v>
      </c>
      <c r="E271" t="s">
        <v>2717</v>
      </c>
      <c r="F271" t="s">
        <v>35</v>
      </c>
      <c r="G271" t="s">
        <v>2657</v>
      </c>
      <c r="H271" s="8" t="s">
        <v>3053</v>
      </c>
      <c r="J271" s="16" t="s">
        <v>3247</v>
      </c>
      <c r="K271" t="s">
        <v>14</v>
      </c>
      <c r="L271" t="s">
        <v>2659</v>
      </c>
      <c r="M271" s="17">
        <v>0</v>
      </c>
      <c r="N271" s="17">
        <v>500</v>
      </c>
      <c r="O271" s="17">
        <v>1.164E-7</v>
      </c>
      <c r="P271" s="75">
        <v>4294967296</v>
      </c>
      <c r="Q271" t="s">
        <v>2660</v>
      </c>
      <c r="R271" t="s">
        <v>2660</v>
      </c>
    </row>
    <row r="272" spans="1:18" x14ac:dyDescent="0.25">
      <c r="A272" t="s">
        <v>3467</v>
      </c>
      <c r="B272" t="s">
        <v>3468</v>
      </c>
      <c r="C272" t="s">
        <v>3469</v>
      </c>
      <c r="D272" t="s">
        <v>2716</v>
      </c>
      <c r="E272" t="s">
        <v>2717</v>
      </c>
      <c r="F272" t="s">
        <v>35</v>
      </c>
      <c r="G272" t="s">
        <v>2756</v>
      </c>
      <c r="H272" s="8" t="s">
        <v>1679</v>
      </c>
      <c r="J272" s="16" t="s">
        <v>3470</v>
      </c>
      <c r="K272" t="s">
        <v>14</v>
      </c>
      <c r="L272" t="s">
        <v>2659</v>
      </c>
      <c r="M272" s="17">
        <v>0</v>
      </c>
      <c r="N272" s="17">
        <v>500000</v>
      </c>
      <c r="O272" s="17">
        <v>1.164153E-4</v>
      </c>
      <c r="P272" s="75">
        <v>4294967296</v>
      </c>
      <c r="Q272" t="s">
        <v>2660</v>
      </c>
      <c r="R272" t="s">
        <v>2660</v>
      </c>
    </row>
    <row r="273" spans="1:18" x14ac:dyDescent="0.25">
      <c r="A273" t="s">
        <v>3471</v>
      </c>
      <c r="B273" t="s">
        <v>3472</v>
      </c>
      <c r="C273" t="s">
        <v>3473</v>
      </c>
      <c r="D273" t="s">
        <v>2716</v>
      </c>
      <c r="E273" t="s">
        <v>2717</v>
      </c>
      <c r="F273" t="s">
        <v>35</v>
      </c>
      <c r="G273" t="s">
        <v>2785</v>
      </c>
      <c r="H273" s="8" t="s">
        <v>2599</v>
      </c>
      <c r="J273" s="16" t="s">
        <v>3474</v>
      </c>
      <c r="K273" t="s">
        <v>14</v>
      </c>
      <c r="L273" t="s">
        <v>2659</v>
      </c>
      <c r="M273" s="17">
        <v>0</v>
      </c>
      <c r="N273" s="17">
        <v>5</v>
      </c>
      <c r="O273" s="17">
        <v>1.2E-9</v>
      </c>
      <c r="P273" s="75">
        <v>4294967296</v>
      </c>
      <c r="Q273" t="s">
        <v>2660</v>
      </c>
      <c r="R273" t="s">
        <v>2660</v>
      </c>
    </row>
    <row r="274" spans="1:18" x14ac:dyDescent="0.25">
      <c r="A274" t="s">
        <v>3503</v>
      </c>
      <c r="B274" t="s">
        <v>3504</v>
      </c>
      <c r="C274" t="s">
        <v>3505</v>
      </c>
      <c r="D274" t="s">
        <v>2716</v>
      </c>
      <c r="E274" t="s">
        <v>2717</v>
      </c>
      <c r="F274" t="s">
        <v>35</v>
      </c>
      <c r="G274" t="s">
        <v>2686</v>
      </c>
      <c r="H274" s="8" t="s">
        <v>100</v>
      </c>
      <c r="J274" s="16" t="s">
        <v>3506</v>
      </c>
      <c r="K274" t="s">
        <v>14</v>
      </c>
      <c r="L274" t="s">
        <v>2659</v>
      </c>
      <c r="M274" s="17">
        <v>-2147483648</v>
      </c>
      <c r="N274" s="17">
        <v>2147483647</v>
      </c>
      <c r="O274" s="17">
        <v>1</v>
      </c>
      <c r="P274" s="75">
        <v>4294967296</v>
      </c>
      <c r="Q274" t="s">
        <v>2660</v>
      </c>
      <c r="R274" t="s">
        <v>2660</v>
      </c>
    </row>
    <row r="275" spans="1:18" x14ac:dyDescent="0.25">
      <c r="A275" s="77" t="s">
        <v>3197</v>
      </c>
      <c r="B275" t="s">
        <v>3107</v>
      </c>
      <c r="C275" t="s">
        <v>3108</v>
      </c>
      <c r="D275" t="s">
        <v>2716</v>
      </c>
      <c r="E275" t="s">
        <v>2717</v>
      </c>
      <c r="F275" t="s">
        <v>35</v>
      </c>
      <c r="G275" t="s">
        <v>2669</v>
      </c>
      <c r="H275" s="8" t="s">
        <v>113</v>
      </c>
      <c r="J275" s="16" t="s">
        <v>3832</v>
      </c>
      <c r="K275" t="s">
        <v>14</v>
      </c>
      <c r="L275" t="s">
        <v>2659</v>
      </c>
      <c r="M275" s="17">
        <v>-2147483648</v>
      </c>
      <c r="N275" s="17">
        <v>2147483647</v>
      </c>
      <c r="O275" s="17">
        <v>1</v>
      </c>
      <c r="P275" s="75">
        <v>4294967296</v>
      </c>
      <c r="Q275" t="s">
        <v>2660</v>
      </c>
      <c r="R275" t="s">
        <v>2660</v>
      </c>
    </row>
    <row r="276" spans="1:18" x14ac:dyDescent="0.25">
      <c r="A276" t="s">
        <v>3193</v>
      </c>
      <c r="B276" t="s">
        <v>3194</v>
      </c>
      <c r="C276" t="s">
        <v>3195</v>
      </c>
      <c r="D276" t="s">
        <v>2716</v>
      </c>
      <c r="E276" t="s">
        <v>2717</v>
      </c>
      <c r="F276" t="s">
        <v>35</v>
      </c>
      <c r="G276" t="s">
        <v>2756</v>
      </c>
      <c r="H276" s="8" t="s">
        <v>1679</v>
      </c>
      <c r="J276" s="16" t="s">
        <v>3833</v>
      </c>
      <c r="K276" t="s">
        <v>14</v>
      </c>
      <c r="L276" t="s">
        <v>2659</v>
      </c>
      <c r="M276" s="17">
        <v>-2147483648</v>
      </c>
      <c r="N276" s="17">
        <v>2147483647</v>
      </c>
      <c r="O276" s="17">
        <v>1</v>
      </c>
      <c r="P276" s="75">
        <v>4294967296</v>
      </c>
      <c r="Q276" t="s">
        <v>2660</v>
      </c>
      <c r="R276" t="s">
        <v>2660</v>
      </c>
    </row>
    <row r="277" spans="1:18" x14ac:dyDescent="0.25">
      <c r="A277" t="s">
        <v>3199</v>
      </c>
      <c r="B277" t="s">
        <v>3200</v>
      </c>
      <c r="C277" t="s">
        <v>3201</v>
      </c>
      <c r="D277" t="s">
        <v>2716</v>
      </c>
      <c r="E277" t="s">
        <v>2717</v>
      </c>
      <c r="F277" t="s">
        <v>35</v>
      </c>
      <c r="G277" t="s">
        <v>2669</v>
      </c>
      <c r="H277" s="8" t="s">
        <v>113</v>
      </c>
      <c r="J277" s="16" t="s">
        <v>3834</v>
      </c>
      <c r="K277" t="s">
        <v>14</v>
      </c>
      <c r="L277" t="s">
        <v>2659</v>
      </c>
      <c r="M277" s="17">
        <v>-2147483648</v>
      </c>
      <c r="N277" s="17">
        <v>2147483647</v>
      </c>
      <c r="O277" s="17">
        <v>1</v>
      </c>
      <c r="P277" s="75">
        <v>4294967296</v>
      </c>
      <c r="Q277" t="s">
        <v>2660</v>
      </c>
      <c r="R277" t="s">
        <v>2660</v>
      </c>
    </row>
    <row r="278" spans="1:18" x14ac:dyDescent="0.25">
      <c r="A278" t="s">
        <v>3359</v>
      </c>
      <c r="B278" t="s">
        <v>3360</v>
      </c>
      <c r="C278" t="s">
        <v>3361</v>
      </c>
      <c r="D278" t="s">
        <v>2716</v>
      </c>
      <c r="E278" t="s">
        <v>2717</v>
      </c>
      <c r="F278" t="s">
        <v>35</v>
      </c>
      <c r="G278" t="s">
        <v>2701</v>
      </c>
      <c r="H278" s="8" t="s">
        <v>113</v>
      </c>
      <c r="J278" s="16" t="s">
        <v>3835</v>
      </c>
      <c r="K278" t="s">
        <v>14</v>
      </c>
      <c r="L278" t="s">
        <v>2659</v>
      </c>
      <c r="M278" s="17">
        <v>-100</v>
      </c>
      <c r="N278" s="17">
        <v>100</v>
      </c>
      <c r="O278" s="17">
        <v>4.66E-8</v>
      </c>
      <c r="P278" s="75">
        <v>4294967296</v>
      </c>
      <c r="Q278" t="s">
        <v>2660</v>
      </c>
      <c r="R278" t="s">
        <v>2660</v>
      </c>
    </row>
    <row r="279" spans="1:18" x14ac:dyDescent="0.25">
      <c r="A279" t="s">
        <v>3363</v>
      </c>
      <c r="B279" t="s">
        <v>1075</v>
      </c>
      <c r="C279" t="s">
        <v>1076</v>
      </c>
      <c r="D279" t="s">
        <v>2716</v>
      </c>
      <c r="E279" t="s">
        <v>2717</v>
      </c>
      <c r="F279" t="s">
        <v>35</v>
      </c>
      <c r="G279" t="s">
        <v>2686</v>
      </c>
      <c r="H279" s="8" t="s">
        <v>100</v>
      </c>
      <c r="J279" s="16" t="s">
        <v>3836</v>
      </c>
      <c r="K279" t="s">
        <v>14</v>
      </c>
      <c r="L279" t="s">
        <v>2659</v>
      </c>
      <c r="M279" s="17">
        <v>-100</v>
      </c>
      <c r="N279" s="17">
        <v>100</v>
      </c>
      <c r="O279" s="17">
        <v>4.66E-8</v>
      </c>
      <c r="P279" s="75">
        <v>4294967296</v>
      </c>
      <c r="Q279" t="s">
        <v>2660</v>
      </c>
      <c r="R279" t="s">
        <v>2660</v>
      </c>
    </row>
    <row r="280" spans="1:18" x14ac:dyDescent="0.25">
      <c r="A280" t="s">
        <v>3364</v>
      </c>
      <c r="B280" t="s">
        <v>1075</v>
      </c>
      <c r="C280" t="s">
        <v>1076</v>
      </c>
      <c r="D280" t="s">
        <v>2716</v>
      </c>
      <c r="E280" t="s">
        <v>2717</v>
      </c>
      <c r="F280" t="s">
        <v>35</v>
      </c>
      <c r="G280" t="s">
        <v>2702</v>
      </c>
      <c r="H280" s="8" t="s">
        <v>71</v>
      </c>
      <c r="J280" s="16" t="s">
        <v>3837</v>
      </c>
      <c r="K280" t="s">
        <v>14</v>
      </c>
      <c r="L280" t="s">
        <v>2659</v>
      </c>
      <c r="M280" s="17">
        <v>-5000</v>
      </c>
      <c r="N280" s="17">
        <v>5000</v>
      </c>
      <c r="O280" s="17">
        <v>2.3282999999999998E-6</v>
      </c>
      <c r="P280" s="75">
        <v>4294967296</v>
      </c>
      <c r="Q280" t="s">
        <v>2660</v>
      </c>
      <c r="R280" t="s">
        <v>2660</v>
      </c>
    </row>
    <row r="281" spans="1:18" x14ac:dyDescent="0.25">
      <c r="A281" t="s">
        <v>3120</v>
      </c>
      <c r="B281" t="s">
        <v>3121</v>
      </c>
      <c r="C281" t="s">
        <v>3122</v>
      </c>
      <c r="D281" t="s">
        <v>2716</v>
      </c>
      <c r="E281" t="s">
        <v>2717</v>
      </c>
      <c r="F281" t="s">
        <v>35</v>
      </c>
      <c r="G281" t="s">
        <v>2786</v>
      </c>
      <c r="H281" s="8" t="s">
        <v>96</v>
      </c>
      <c r="J281" s="16" t="s">
        <v>3838</v>
      </c>
      <c r="K281" t="s">
        <v>14</v>
      </c>
      <c r="L281" t="s">
        <v>2659</v>
      </c>
      <c r="M281" s="17">
        <v>-273.14999999999998</v>
      </c>
      <c r="N281" s="17">
        <v>1500</v>
      </c>
      <c r="O281" s="17">
        <v>4.1279999999999999E-7</v>
      </c>
      <c r="P281" s="75">
        <v>4294967296</v>
      </c>
      <c r="Q281" t="s">
        <v>2660</v>
      </c>
      <c r="R281" t="s">
        <v>2660</v>
      </c>
    </row>
    <row r="282" spans="1:18" x14ac:dyDescent="0.25">
      <c r="A282" t="s">
        <v>3511</v>
      </c>
      <c r="B282" t="s">
        <v>3511</v>
      </c>
      <c r="C282" t="s">
        <v>3512</v>
      </c>
      <c r="D282" t="s">
        <v>2716</v>
      </c>
      <c r="E282" t="s">
        <v>2717</v>
      </c>
      <c r="F282" t="s">
        <v>35</v>
      </c>
      <c r="G282" t="s">
        <v>2786</v>
      </c>
      <c r="H282" s="8" t="s">
        <v>96</v>
      </c>
      <c r="J282" s="16" t="s">
        <v>3839</v>
      </c>
      <c r="K282" t="s">
        <v>14</v>
      </c>
      <c r="L282" t="s">
        <v>2659</v>
      </c>
      <c r="M282" s="17">
        <v>0</v>
      </c>
      <c r="N282" s="17">
        <v>50</v>
      </c>
      <c r="O282" s="17">
        <v>1.16E-8</v>
      </c>
      <c r="P282" s="75">
        <v>4294967296</v>
      </c>
      <c r="Q282" t="s">
        <v>2660</v>
      </c>
      <c r="R282" t="s">
        <v>2660</v>
      </c>
    </row>
    <row r="283" spans="1:18" x14ac:dyDescent="0.25">
      <c r="A283" t="s">
        <v>3006</v>
      </c>
      <c r="B283" t="s">
        <v>640</v>
      </c>
      <c r="C283" t="s">
        <v>641</v>
      </c>
      <c r="D283" t="s">
        <v>2716</v>
      </c>
      <c r="E283" t="s">
        <v>2717</v>
      </c>
      <c r="F283" t="s">
        <v>35</v>
      </c>
      <c r="G283" t="s">
        <v>2702</v>
      </c>
      <c r="H283" s="8" t="s">
        <v>71</v>
      </c>
      <c r="J283" s="16" t="s">
        <v>3840</v>
      </c>
      <c r="K283" t="s">
        <v>14</v>
      </c>
      <c r="L283" t="s">
        <v>2659</v>
      </c>
      <c r="M283" s="17">
        <v>-1000000</v>
      </c>
      <c r="N283" s="17">
        <v>1000000</v>
      </c>
      <c r="O283" s="17">
        <v>4.6566130000000002E-4</v>
      </c>
      <c r="P283" s="75">
        <v>4294967296</v>
      </c>
      <c r="Q283" t="s">
        <v>2660</v>
      </c>
      <c r="R283" t="s">
        <v>2660</v>
      </c>
    </row>
    <row r="284" spans="1:18" x14ac:dyDescent="0.25">
      <c r="A284" t="s">
        <v>3085</v>
      </c>
      <c r="B284" t="s">
        <v>3086</v>
      </c>
      <c r="C284" t="s">
        <v>3087</v>
      </c>
      <c r="D284" t="s">
        <v>2716</v>
      </c>
      <c r="E284" t="s">
        <v>2717</v>
      </c>
      <c r="F284" t="s">
        <v>35</v>
      </c>
      <c r="G284" t="s">
        <v>2686</v>
      </c>
      <c r="H284" s="8" t="s">
        <v>100</v>
      </c>
      <c r="J284" s="16" t="s">
        <v>3841</v>
      </c>
      <c r="K284" t="s">
        <v>14</v>
      </c>
      <c r="L284" t="s">
        <v>2659</v>
      </c>
      <c r="M284" s="17">
        <v>-21470</v>
      </c>
      <c r="N284" s="17">
        <v>214748</v>
      </c>
      <c r="O284" s="17">
        <v>5.4998799999999999E-5</v>
      </c>
      <c r="P284" s="75">
        <v>4294967296</v>
      </c>
      <c r="Q284" t="s">
        <v>2660</v>
      </c>
      <c r="R284" t="s">
        <v>2660</v>
      </c>
    </row>
    <row r="285" spans="1:18" x14ac:dyDescent="0.25">
      <c r="A285" t="s">
        <v>3457</v>
      </c>
      <c r="B285" t="s">
        <v>3514</v>
      </c>
      <c r="C285" t="s">
        <v>3515</v>
      </c>
      <c r="D285" t="s">
        <v>2716</v>
      </c>
      <c r="E285" t="s">
        <v>2717</v>
      </c>
      <c r="F285" t="s">
        <v>35</v>
      </c>
      <c r="G285" t="s">
        <v>3072</v>
      </c>
      <c r="H285" s="8" t="s">
        <v>82</v>
      </c>
      <c r="J285" s="16" t="s">
        <v>3842</v>
      </c>
      <c r="K285" t="s">
        <v>14</v>
      </c>
      <c r="L285" t="s">
        <v>2659</v>
      </c>
      <c r="M285" s="17">
        <v>0</v>
      </c>
      <c r="N285" s="17">
        <v>500000</v>
      </c>
      <c r="O285" s="17">
        <v>1.164153E-4</v>
      </c>
      <c r="P285" s="75">
        <v>4294967296</v>
      </c>
      <c r="Q285" t="s">
        <v>2660</v>
      </c>
      <c r="R285" t="s">
        <v>2660</v>
      </c>
    </row>
    <row r="286" spans="1:18" x14ac:dyDescent="0.25">
      <c r="A286" t="s">
        <v>3369</v>
      </c>
      <c r="B286" t="s">
        <v>3517</v>
      </c>
      <c r="C286" t="s">
        <v>3518</v>
      </c>
      <c r="D286" t="s">
        <v>2716</v>
      </c>
      <c r="E286" t="s">
        <v>2717</v>
      </c>
      <c r="F286" t="s">
        <v>35</v>
      </c>
      <c r="G286" t="s">
        <v>3072</v>
      </c>
      <c r="H286" s="8" t="s">
        <v>82</v>
      </c>
      <c r="J286" s="16" t="s">
        <v>3843</v>
      </c>
      <c r="K286" t="s">
        <v>14</v>
      </c>
      <c r="L286" t="s">
        <v>2659</v>
      </c>
      <c r="M286" s="17">
        <v>-10000</v>
      </c>
      <c r="N286" s="17">
        <v>10000</v>
      </c>
      <c r="O286" s="17">
        <v>4.6565999999999996E-6</v>
      </c>
      <c r="P286" s="75">
        <v>4294967296</v>
      </c>
      <c r="Q286" t="s">
        <v>2660</v>
      </c>
      <c r="R286" t="s">
        <v>2660</v>
      </c>
    </row>
    <row r="287" spans="1:18" x14ac:dyDescent="0.25">
      <c r="A287" t="s">
        <v>3449</v>
      </c>
      <c r="B287" t="s">
        <v>3450</v>
      </c>
      <c r="C287" t="s">
        <v>3451</v>
      </c>
      <c r="D287" t="s">
        <v>2716</v>
      </c>
      <c r="E287" t="s">
        <v>2717</v>
      </c>
      <c r="F287" t="s">
        <v>35</v>
      </c>
      <c r="G287" t="s">
        <v>3072</v>
      </c>
      <c r="H287" s="8" t="s">
        <v>82</v>
      </c>
      <c r="J287" s="16" t="s">
        <v>3844</v>
      </c>
      <c r="K287" t="s">
        <v>14</v>
      </c>
      <c r="L287" t="s">
        <v>2659</v>
      </c>
      <c r="M287" s="17">
        <v>0</v>
      </c>
      <c r="N287" s="17">
        <v>500000</v>
      </c>
      <c r="O287" s="17">
        <v>1.164153E-4</v>
      </c>
      <c r="P287" s="75">
        <v>4294967296</v>
      </c>
      <c r="Q287" t="s">
        <v>2660</v>
      </c>
      <c r="R287" t="s">
        <v>2660</v>
      </c>
    </row>
    <row r="288" spans="1:18" x14ac:dyDescent="0.25">
      <c r="A288" t="s">
        <v>3453</v>
      </c>
      <c r="B288" t="s">
        <v>3454</v>
      </c>
      <c r="C288" t="s">
        <v>3455</v>
      </c>
      <c r="D288" t="s">
        <v>2716</v>
      </c>
      <c r="E288" t="s">
        <v>2717</v>
      </c>
      <c r="F288" t="s">
        <v>35</v>
      </c>
      <c r="G288" t="s">
        <v>3072</v>
      </c>
      <c r="H288" s="8" t="s">
        <v>82</v>
      </c>
      <c r="J288" s="16" t="s">
        <v>3845</v>
      </c>
      <c r="K288" t="s">
        <v>14</v>
      </c>
      <c r="L288" t="s">
        <v>2659</v>
      </c>
      <c r="M288" s="17">
        <v>-500000</v>
      </c>
      <c r="N288" s="17">
        <v>0</v>
      </c>
      <c r="O288" s="17">
        <v>1.164153E-4</v>
      </c>
      <c r="P288" s="75">
        <v>4294967296</v>
      </c>
      <c r="Q288" t="s">
        <v>2660</v>
      </c>
      <c r="R288" t="s">
        <v>2660</v>
      </c>
    </row>
    <row r="289" spans="1:18" x14ac:dyDescent="0.25">
      <c r="A289" t="s">
        <v>3519</v>
      </c>
      <c r="B289" t="s">
        <v>3442</v>
      </c>
      <c r="C289" t="s">
        <v>3443</v>
      </c>
      <c r="D289" t="s">
        <v>2716</v>
      </c>
      <c r="E289" t="s">
        <v>2717</v>
      </c>
      <c r="F289" t="s">
        <v>35</v>
      </c>
      <c r="G289" t="s">
        <v>3072</v>
      </c>
      <c r="H289" s="8" t="s">
        <v>82</v>
      </c>
      <c r="J289" s="16" t="s">
        <v>3846</v>
      </c>
      <c r="K289" t="s">
        <v>14</v>
      </c>
      <c r="L289" t="s">
        <v>2659</v>
      </c>
      <c r="M289" s="17">
        <v>0</v>
      </c>
      <c r="N289" s="17">
        <v>500000</v>
      </c>
      <c r="O289" s="17">
        <v>1.164153E-4</v>
      </c>
      <c r="P289" s="75">
        <v>4294967296</v>
      </c>
      <c r="Q289" t="s">
        <v>2660</v>
      </c>
      <c r="R289" t="s">
        <v>2660</v>
      </c>
    </row>
    <row r="290" spans="1:18" x14ac:dyDescent="0.25">
      <c r="A290" t="s">
        <v>3520</v>
      </c>
      <c r="B290" t="s">
        <v>3446</v>
      </c>
      <c r="C290" t="s">
        <v>3447</v>
      </c>
      <c r="D290" t="s">
        <v>2716</v>
      </c>
      <c r="E290" t="s">
        <v>2717</v>
      </c>
      <c r="F290" t="s">
        <v>35</v>
      </c>
      <c r="G290" t="s">
        <v>3072</v>
      </c>
      <c r="H290" s="8" t="s">
        <v>82</v>
      </c>
      <c r="J290" s="16" t="s">
        <v>3847</v>
      </c>
      <c r="K290" t="s">
        <v>14</v>
      </c>
      <c r="L290" t="s">
        <v>2659</v>
      </c>
      <c r="M290" s="17">
        <v>-500000</v>
      </c>
      <c r="N290" s="17">
        <v>0</v>
      </c>
      <c r="O290" s="17">
        <v>1.164153E-4</v>
      </c>
      <c r="P290" s="75">
        <v>4294967296</v>
      </c>
      <c r="Q290" t="s">
        <v>2660</v>
      </c>
      <c r="R290" t="s">
        <v>2660</v>
      </c>
    </row>
    <row r="291" spans="1:18" x14ac:dyDescent="0.25">
      <c r="A291" t="s">
        <v>2688</v>
      </c>
      <c r="B291" t="s">
        <v>2688</v>
      </c>
      <c r="C291" t="s">
        <v>2689</v>
      </c>
      <c r="D291" t="s">
        <v>2716</v>
      </c>
      <c r="E291" t="s">
        <v>2717</v>
      </c>
      <c r="F291" t="s">
        <v>35</v>
      </c>
      <c r="G291" t="s">
        <v>2657</v>
      </c>
      <c r="H291" s="8" t="s">
        <v>3053</v>
      </c>
      <c r="J291" s="16" t="s">
        <v>3848</v>
      </c>
      <c r="K291" t="s">
        <v>14</v>
      </c>
      <c r="L291" t="s">
        <v>2659</v>
      </c>
      <c r="M291" s="17">
        <v>-1000</v>
      </c>
      <c r="N291" s="17">
        <v>1000</v>
      </c>
      <c r="O291" s="17">
        <v>4.6569999999999999E-7</v>
      </c>
      <c r="P291" s="75">
        <v>4294967296</v>
      </c>
      <c r="Q291" t="s">
        <v>2660</v>
      </c>
      <c r="R291" t="s">
        <v>2660</v>
      </c>
    </row>
    <row r="292" spans="1:18" x14ac:dyDescent="0.25">
      <c r="A292" t="s">
        <v>2692</v>
      </c>
      <c r="B292" t="s">
        <v>2692</v>
      </c>
      <c r="C292" t="s">
        <v>2693</v>
      </c>
      <c r="D292" t="s">
        <v>2716</v>
      </c>
      <c r="E292" t="s">
        <v>2717</v>
      </c>
      <c r="F292" t="s">
        <v>35</v>
      </c>
      <c r="G292" t="s">
        <v>2694</v>
      </c>
      <c r="H292" s="8" t="s">
        <v>64</v>
      </c>
      <c r="J292" s="16" t="s">
        <v>3849</v>
      </c>
      <c r="K292" t="s">
        <v>14</v>
      </c>
      <c r="L292" t="s">
        <v>2659</v>
      </c>
      <c r="M292" s="17">
        <v>0</v>
      </c>
      <c r="N292" s="17">
        <v>10000000</v>
      </c>
      <c r="O292" s="17">
        <v>2.3283064000000002E-3</v>
      </c>
      <c r="P292" s="75">
        <v>4294967296</v>
      </c>
      <c r="Q292" t="s">
        <v>2660</v>
      </c>
      <c r="R292" t="s">
        <v>2660</v>
      </c>
    </row>
    <row r="293" spans="1:18" x14ac:dyDescent="0.25">
      <c r="A293" t="s">
        <v>3598</v>
      </c>
      <c r="B293" t="s">
        <v>2475</v>
      </c>
      <c r="C293" t="s">
        <v>2476</v>
      </c>
      <c r="D293" t="s">
        <v>2716</v>
      </c>
      <c r="E293" t="s">
        <v>2717</v>
      </c>
      <c r="F293" t="s">
        <v>35</v>
      </c>
      <c r="G293" t="s">
        <v>3301</v>
      </c>
      <c r="H293" s="8" t="s">
        <v>2602</v>
      </c>
      <c r="J293" s="16" t="s">
        <v>3850</v>
      </c>
      <c r="K293" t="s">
        <v>14</v>
      </c>
      <c r="L293" t="s">
        <v>2659</v>
      </c>
      <c r="M293" s="17">
        <v>-2000</v>
      </c>
      <c r="N293" s="17">
        <v>2000</v>
      </c>
      <c r="O293" s="17">
        <v>9.3129999999999998E-7</v>
      </c>
      <c r="P293" s="75">
        <v>4294967296</v>
      </c>
      <c r="Q293" t="s">
        <v>2660</v>
      </c>
      <c r="R293" t="s">
        <v>2660</v>
      </c>
    </row>
    <row r="294" spans="1:18" x14ac:dyDescent="0.25">
      <c r="A294" t="s">
        <v>3599</v>
      </c>
      <c r="B294" t="s">
        <v>2680</v>
      </c>
      <c r="C294" t="s">
        <v>2681</v>
      </c>
      <c r="D294" t="s">
        <v>2716</v>
      </c>
      <c r="E294" t="s">
        <v>2717</v>
      </c>
      <c r="F294" t="s">
        <v>35</v>
      </c>
      <c r="G294" t="s">
        <v>2684</v>
      </c>
      <c r="H294" s="8" t="s">
        <v>2600</v>
      </c>
      <c r="J294" s="16" t="s">
        <v>3851</v>
      </c>
      <c r="K294" t="s">
        <v>14</v>
      </c>
      <c r="L294" t="s">
        <v>2659</v>
      </c>
      <c r="M294" s="17">
        <v>-100</v>
      </c>
      <c r="N294" s="17">
        <v>100</v>
      </c>
      <c r="O294" s="17">
        <v>4.66E-8</v>
      </c>
      <c r="P294" s="75">
        <v>4294967296</v>
      </c>
      <c r="Q294" t="s">
        <v>2660</v>
      </c>
      <c r="R294" t="s">
        <v>2660</v>
      </c>
    </row>
    <row r="295" spans="1:18" x14ac:dyDescent="0.25">
      <c r="A295" s="77" t="s">
        <v>3197</v>
      </c>
      <c r="B295" t="s">
        <v>3107</v>
      </c>
      <c r="C295" t="s">
        <v>3108</v>
      </c>
      <c r="D295" t="s">
        <v>2782</v>
      </c>
      <c r="E295" t="s">
        <v>3749</v>
      </c>
      <c r="F295" t="s">
        <v>35</v>
      </c>
      <c r="G295" t="s">
        <v>2669</v>
      </c>
      <c r="H295" s="8" t="s">
        <v>113</v>
      </c>
      <c r="J295" s="16" t="s">
        <v>3751</v>
      </c>
      <c r="K295" t="s">
        <v>14</v>
      </c>
      <c r="L295" t="s">
        <v>2659</v>
      </c>
      <c r="M295" s="17">
        <v>0</v>
      </c>
      <c r="N295" s="17">
        <v>1</v>
      </c>
      <c r="O295" s="17">
        <v>2.0000000000000001E-10</v>
      </c>
      <c r="P295" s="75">
        <v>4294967296</v>
      </c>
      <c r="Q295" t="s">
        <v>3626</v>
      </c>
      <c r="R295" t="s">
        <v>3626</v>
      </c>
    </row>
    <row r="296" spans="1:18" x14ac:dyDescent="0.25">
      <c r="A296" t="s">
        <v>3199</v>
      </c>
      <c r="B296" t="s">
        <v>3200</v>
      </c>
      <c r="C296" t="s">
        <v>3201</v>
      </c>
      <c r="D296" t="s">
        <v>2782</v>
      </c>
      <c r="E296" t="s">
        <v>3749</v>
      </c>
      <c r="F296" t="s">
        <v>35</v>
      </c>
      <c r="G296" t="s">
        <v>2669</v>
      </c>
      <c r="H296" s="8" t="s">
        <v>113</v>
      </c>
      <c r="J296" s="16" t="s">
        <v>3752</v>
      </c>
      <c r="K296" t="s">
        <v>14</v>
      </c>
      <c r="L296" t="s">
        <v>2659</v>
      </c>
      <c r="M296" s="17">
        <v>-128</v>
      </c>
      <c r="N296" s="17">
        <v>127</v>
      </c>
      <c r="O296" s="17">
        <v>0.99609375</v>
      </c>
      <c r="P296" s="75">
        <v>256</v>
      </c>
      <c r="Q296" t="s">
        <v>3626</v>
      </c>
      <c r="R296" t="s">
        <v>3626</v>
      </c>
    </row>
    <row r="297" spans="1:18" x14ac:dyDescent="0.25">
      <c r="A297" t="s">
        <v>3498</v>
      </c>
      <c r="B297" t="s">
        <v>3499</v>
      </c>
      <c r="C297" t="s">
        <v>3500</v>
      </c>
      <c r="D297" t="s">
        <v>2782</v>
      </c>
      <c r="E297" t="s">
        <v>3749</v>
      </c>
      <c r="F297" t="s">
        <v>35</v>
      </c>
      <c r="G297" t="s">
        <v>2669</v>
      </c>
      <c r="H297" s="8" t="s">
        <v>113</v>
      </c>
      <c r="J297" s="16" t="s">
        <v>3753</v>
      </c>
      <c r="K297" t="s">
        <v>14</v>
      </c>
      <c r="L297" t="s">
        <v>2659</v>
      </c>
      <c r="M297" s="17">
        <v>0</v>
      </c>
      <c r="N297" s="17">
        <v>1</v>
      </c>
      <c r="O297" s="17">
        <v>2.0000000000000001E-10</v>
      </c>
      <c r="P297" s="75">
        <v>4294967296</v>
      </c>
      <c r="Q297" t="s">
        <v>3626</v>
      </c>
      <c r="R297" t="s">
        <v>3626</v>
      </c>
    </row>
    <row r="298" spans="1:18" x14ac:dyDescent="0.25">
      <c r="A298" t="s">
        <v>3502</v>
      </c>
      <c r="B298" t="s">
        <v>3499</v>
      </c>
      <c r="C298" t="s">
        <v>3500</v>
      </c>
      <c r="D298" t="s">
        <v>2782</v>
      </c>
      <c r="E298" t="s">
        <v>3749</v>
      </c>
      <c r="F298" t="s">
        <v>35</v>
      </c>
      <c r="G298" t="s">
        <v>2698</v>
      </c>
      <c r="H298" s="8" t="s">
        <v>113</v>
      </c>
      <c r="J298" s="16" t="s">
        <v>3754</v>
      </c>
      <c r="K298" t="s">
        <v>14</v>
      </c>
      <c r="L298" t="s">
        <v>2659</v>
      </c>
      <c r="M298" s="17">
        <v>0</v>
      </c>
      <c r="N298" s="17">
        <v>20</v>
      </c>
      <c r="O298" s="17">
        <v>4.6999999999999999E-9</v>
      </c>
      <c r="P298" s="75">
        <v>4294967296</v>
      </c>
      <c r="Q298" t="s">
        <v>3626</v>
      </c>
      <c r="R298" t="s">
        <v>3626</v>
      </c>
    </row>
    <row r="299" spans="1:18" x14ac:dyDescent="0.25">
      <c r="A299" t="s">
        <v>3120</v>
      </c>
      <c r="B299" t="s">
        <v>3121</v>
      </c>
      <c r="C299" t="s">
        <v>3122</v>
      </c>
      <c r="D299" t="s">
        <v>2782</v>
      </c>
      <c r="E299" t="s">
        <v>3749</v>
      </c>
      <c r="F299" t="s">
        <v>35</v>
      </c>
      <c r="G299" t="s">
        <v>2786</v>
      </c>
      <c r="H299" s="8" t="s">
        <v>96</v>
      </c>
      <c r="J299" s="16" t="s">
        <v>3755</v>
      </c>
      <c r="K299" t="s">
        <v>14</v>
      </c>
      <c r="L299" t="s">
        <v>2659</v>
      </c>
      <c r="M299" s="17">
        <v>-273.14999999999998</v>
      </c>
      <c r="N299" s="17">
        <v>1500</v>
      </c>
      <c r="O299" s="17">
        <v>4.1279999999999999E-7</v>
      </c>
      <c r="P299" s="75">
        <v>4294967296</v>
      </c>
      <c r="Q299" t="s">
        <v>3626</v>
      </c>
      <c r="R299" t="s">
        <v>3626</v>
      </c>
    </row>
    <row r="300" spans="1:18" x14ac:dyDescent="0.25">
      <c r="A300" t="s">
        <v>3511</v>
      </c>
      <c r="B300" t="s">
        <v>3511</v>
      </c>
      <c r="C300" t="s">
        <v>3512</v>
      </c>
      <c r="D300" t="s">
        <v>2782</v>
      </c>
      <c r="E300" t="s">
        <v>3749</v>
      </c>
      <c r="F300" t="s">
        <v>35</v>
      </c>
      <c r="G300" t="s">
        <v>2786</v>
      </c>
      <c r="H300" s="8" t="s">
        <v>96</v>
      </c>
      <c r="J300" s="16" t="s">
        <v>3756</v>
      </c>
      <c r="K300" t="s">
        <v>14</v>
      </c>
      <c r="L300" t="s">
        <v>2659</v>
      </c>
      <c r="M300" s="17">
        <v>0</v>
      </c>
      <c r="N300" s="17">
        <v>50</v>
      </c>
      <c r="O300" s="17">
        <v>1.16E-8</v>
      </c>
      <c r="P300" s="75">
        <v>4294967296</v>
      </c>
      <c r="Q300" t="s">
        <v>3626</v>
      </c>
      <c r="R300" t="s">
        <v>3626</v>
      </c>
    </row>
    <row r="301" spans="1:18" x14ac:dyDescent="0.25">
      <c r="A301" t="s">
        <v>3369</v>
      </c>
      <c r="B301" t="s">
        <v>3517</v>
      </c>
      <c r="C301" t="s">
        <v>3518</v>
      </c>
      <c r="D301" t="s">
        <v>2782</v>
      </c>
      <c r="E301" t="s">
        <v>3749</v>
      </c>
      <c r="F301" t="s">
        <v>35</v>
      </c>
      <c r="G301" t="s">
        <v>3072</v>
      </c>
      <c r="H301" s="8" t="s">
        <v>82</v>
      </c>
      <c r="J301" s="16" t="s">
        <v>3757</v>
      </c>
      <c r="K301" t="s">
        <v>14</v>
      </c>
      <c r="L301" t="s">
        <v>2659</v>
      </c>
      <c r="M301" s="17">
        <v>-10000</v>
      </c>
      <c r="N301" s="17">
        <v>10000</v>
      </c>
      <c r="O301" s="17">
        <v>4.6565999999999996E-6</v>
      </c>
      <c r="P301" s="75">
        <v>4294967296</v>
      </c>
      <c r="Q301" t="s">
        <v>3626</v>
      </c>
      <c r="R301" t="s">
        <v>3626</v>
      </c>
    </row>
    <row r="302" spans="1:18" x14ac:dyDescent="0.25">
      <c r="A302" t="s">
        <v>3813</v>
      </c>
      <c r="B302" t="s">
        <v>3814</v>
      </c>
      <c r="C302" t="s">
        <v>3815</v>
      </c>
      <c r="D302" t="s">
        <v>37</v>
      </c>
      <c r="E302" t="s">
        <v>3632</v>
      </c>
      <c r="F302" t="s">
        <v>35</v>
      </c>
      <c r="G302" t="s">
        <v>2694</v>
      </c>
      <c r="H302" s="8" t="s">
        <v>64</v>
      </c>
      <c r="J302" s="16" t="s">
        <v>3816</v>
      </c>
      <c r="K302" t="s">
        <v>14</v>
      </c>
      <c r="L302" t="s">
        <v>2659</v>
      </c>
      <c r="M302" s="17">
        <v>0</v>
      </c>
      <c r="N302" s="17">
        <v>1000000000</v>
      </c>
      <c r="O302" s="17">
        <v>2.3283064000000002E-3</v>
      </c>
      <c r="P302">
        <v>4294967296</v>
      </c>
      <c r="Q302" t="s">
        <v>2660</v>
      </c>
      <c r="R302" t="s">
        <v>2660</v>
      </c>
    </row>
    <row r="303" spans="1:18" x14ac:dyDescent="0.25">
      <c r="A303" t="s">
        <v>3817</v>
      </c>
      <c r="B303" t="s">
        <v>3818</v>
      </c>
      <c r="C303" t="s">
        <v>3819</v>
      </c>
      <c r="D303" t="s">
        <v>2789</v>
      </c>
      <c r="E303" t="s">
        <v>2789</v>
      </c>
      <c r="F303" t="s">
        <v>35</v>
      </c>
      <c r="G303" t="s">
        <v>2786</v>
      </c>
      <c r="H303" s="8" t="s">
        <v>96</v>
      </c>
      <c r="J303" s="16" t="s">
        <v>3820</v>
      </c>
      <c r="K303" t="s">
        <v>14</v>
      </c>
      <c r="L303" t="s">
        <v>2659</v>
      </c>
      <c r="M303" s="17">
        <v>-250</v>
      </c>
      <c r="N303" s="17">
        <v>1000</v>
      </c>
      <c r="O303" s="17">
        <v>2.91E-7</v>
      </c>
      <c r="P303">
        <v>4294967296</v>
      </c>
      <c r="Q303" t="s">
        <v>2660</v>
      </c>
      <c r="R303" t="s">
        <v>2660</v>
      </c>
    </row>
    <row r="304" spans="1:18" x14ac:dyDescent="0.25">
      <c r="A304" t="s">
        <v>3821</v>
      </c>
      <c r="B304" t="s">
        <v>3821</v>
      </c>
      <c r="C304" t="s">
        <v>1413</v>
      </c>
      <c r="D304" t="s">
        <v>2674</v>
      </c>
      <c r="E304" t="s">
        <v>2674</v>
      </c>
      <c r="F304" t="s">
        <v>35</v>
      </c>
      <c r="G304" t="s">
        <v>2678</v>
      </c>
      <c r="H304" s="8" t="s">
        <v>76</v>
      </c>
      <c r="J304" s="16" t="s">
        <v>3825</v>
      </c>
      <c r="K304" t="s">
        <v>14</v>
      </c>
      <c r="L304" t="s">
        <v>2659</v>
      </c>
      <c r="M304" s="17">
        <v>-180</v>
      </c>
      <c r="N304" s="17">
        <v>180</v>
      </c>
      <c r="O304" s="17">
        <v>8.3799999999999996E-8</v>
      </c>
      <c r="P304">
        <v>4294967296</v>
      </c>
      <c r="Q304" t="s">
        <v>2660</v>
      </c>
      <c r="R304" t="s">
        <v>2660</v>
      </c>
    </row>
    <row r="305" spans="1:18" x14ac:dyDescent="0.25">
      <c r="A305" t="s">
        <v>3823</v>
      </c>
      <c r="B305" t="s">
        <v>3823</v>
      </c>
      <c r="C305" t="s">
        <v>1356</v>
      </c>
      <c r="D305" t="s">
        <v>2674</v>
      </c>
      <c r="E305" t="s">
        <v>2674</v>
      </c>
      <c r="F305" t="s">
        <v>35</v>
      </c>
      <c r="G305" t="s">
        <v>2678</v>
      </c>
      <c r="H305" s="8" t="s">
        <v>76</v>
      </c>
      <c r="J305" s="16" t="s">
        <v>3824</v>
      </c>
      <c r="K305" t="s">
        <v>14</v>
      </c>
      <c r="L305" t="s">
        <v>2659</v>
      </c>
      <c r="M305" s="17">
        <v>-180</v>
      </c>
      <c r="N305" s="17">
        <v>180</v>
      </c>
      <c r="O305" s="17">
        <v>8.3799999999999996E-8</v>
      </c>
      <c r="P305">
        <v>4294967296</v>
      </c>
      <c r="Q305" t="s">
        <v>2660</v>
      </c>
      <c r="R305" t="s">
        <v>2660</v>
      </c>
    </row>
    <row r="306" spans="1:18" x14ac:dyDescent="0.25">
      <c r="A306" t="s">
        <v>2753</v>
      </c>
      <c r="B306" t="s">
        <v>2754</v>
      </c>
      <c r="C306" t="s">
        <v>2755</v>
      </c>
      <c r="D306" t="s">
        <v>2782</v>
      </c>
      <c r="E306" t="s">
        <v>3749</v>
      </c>
      <c r="F306" t="s">
        <v>35</v>
      </c>
      <c r="G306" t="s">
        <v>2756</v>
      </c>
      <c r="H306" s="8" t="s">
        <v>1679</v>
      </c>
      <c r="J306" s="16" t="s">
        <v>3826</v>
      </c>
      <c r="K306" t="s">
        <v>14</v>
      </c>
      <c r="L306" t="s">
        <v>2659</v>
      </c>
      <c r="M306" s="17">
        <v>0</v>
      </c>
      <c r="N306" s="17">
        <v>400000000</v>
      </c>
      <c r="O306" s="17">
        <v>9.3132257499999996E-2</v>
      </c>
      <c r="P306" s="75">
        <v>4294967296</v>
      </c>
      <c r="Q306" t="s">
        <v>3626</v>
      </c>
      <c r="R306" t="s">
        <v>3626</v>
      </c>
    </row>
    <row r="307" spans="1:18" x14ac:dyDescent="0.25">
      <c r="M307" s="17"/>
      <c r="N307" s="17"/>
      <c r="O307" s="17"/>
    </row>
    <row r="308" spans="1:18" x14ac:dyDescent="0.25">
      <c r="M308" s="17"/>
      <c r="N308" s="17"/>
      <c r="O308" s="17"/>
    </row>
    <row r="309" spans="1:18" x14ac:dyDescent="0.25">
      <c r="M309" s="17"/>
      <c r="N309" s="17"/>
      <c r="O309" s="17"/>
    </row>
    <row r="310" spans="1:18" x14ac:dyDescent="0.25">
      <c r="M310" s="17"/>
      <c r="N310" s="17"/>
      <c r="O310" s="17"/>
    </row>
    <row r="311" spans="1:18" x14ac:dyDescent="0.25">
      <c r="M311" s="17"/>
      <c r="N311" s="17"/>
      <c r="O311" s="17"/>
    </row>
    <row r="312" spans="1:18" x14ac:dyDescent="0.25">
      <c r="M312" s="17"/>
      <c r="N312" s="17"/>
      <c r="O312" s="17"/>
    </row>
    <row r="313" spans="1:18" x14ac:dyDescent="0.25">
      <c r="M313" s="17"/>
      <c r="N313" s="17"/>
      <c r="O313" s="17"/>
    </row>
    <row r="314" spans="1:18" x14ac:dyDescent="0.25">
      <c r="M314" s="17"/>
      <c r="N314" s="17"/>
      <c r="O314" s="17"/>
    </row>
    <row r="315" spans="1:18" x14ac:dyDescent="0.25">
      <c r="M315" s="17"/>
      <c r="N315" s="17"/>
      <c r="O315" s="17"/>
    </row>
    <row r="316" spans="1:18" x14ac:dyDescent="0.25">
      <c r="M316" s="17"/>
      <c r="N316" s="17"/>
      <c r="O316" s="17"/>
    </row>
    <row r="317" spans="1:18" x14ac:dyDescent="0.25">
      <c r="M317" s="17"/>
      <c r="N317" s="17"/>
      <c r="O317" s="17"/>
    </row>
    <row r="318" spans="1:18" x14ac:dyDescent="0.25">
      <c r="M318" s="17"/>
      <c r="N318" s="17"/>
      <c r="O318" s="17"/>
    </row>
    <row r="319" spans="1:18" x14ac:dyDescent="0.25">
      <c r="M319" s="17"/>
      <c r="N319" s="17"/>
      <c r="O319" s="17"/>
    </row>
    <row r="320" spans="1:18" x14ac:dyDescent="0.25">
      <c r="M320" s="17"/>
      <c r="N320" s="17"/>
      <c r="O320" s="17"/>
    </row>
    <row r="321" spans="13:15" x14ac:dyDescent="0.25">
      <c r="M321" s="17"/>
      <c r="N321" s="17"/>
      <c r="O321" s="17"/>
    </row>
    <row r="322" spans="13:15" x14ac:dyDescent="0.25">
      <c r="M322" s="17"/>
      <c r="N322" s="17"/>
      <c r="O322" s="17"/>
    </row>
    <row r="323" spans="13:15" x14ac:dyDescent="0.25">
      <c r="M323" s="17"/>
      <c r="N323" s="17"/>
      <c r="O323" s="17"/>
    </row>
    <row r="324" spans="13:15" x14ac:dyDescent="0.25">
      <c r="M324" s="17"/>
      <c r="N324" s="17"/>
      <c r="O324" s="17"/>
    </row>
    <row r="325" spans="13:15" x14ac:dyDescent="0.25">
      <c r="M325" s="17"/>
      <c r="N325" s="17"/>
      <c r="O325" s="17"/>
    </row>
    <row r="326" spans="13:15" x14ac:dyDescent="0.25">
      <c r="M326" s="17"/>
      <c r="N326" s="17"/>
      <c r="O326" s="17"/>
    </row>
    <row r="327" spans="13:15" x14ac:dyDescent="0.25">
      <c r="M327" s="17"/>
      <c r="N327" s="17"/>
      <c r="O327" s="17"/>
    </row>
    <row r="328" spans="13:15" x14ac:dyDescent="0.25">
      <c r="M328" s="17"/>
      <c r="N328" s="17"/>
      <c r="O328" s="17"/>
    </row>
    <row r="329" spans="13:15" x14ac:dyDescent="0.25">
      <c r="M329" s="17"/>
      <c r="N329" s="17"/>
      <c r="O329" s="17"/>
    </row>
    <row r="330" spans="13:15" x14ac:dyDescent="0.25">
      <c r="M330" s="17"/>
      <c r="N330" s="17"/>
      <c r="O330" s="17"/>
    </row>
    <row r="331" spans="13:15" x14ac:dyDescent="0.25">
      <c r="M331" s="17"/>
      <c r="N331" s="17"/>
      <c r="O331" s="17"/>
    </row>
    <row r="332" spans="13:15" x14ac:dyDescent="0.25">
      <c r="M332" s="17"/>
      <c r="N332" s="17"/>
      <c r="O332" s="17"/>
    </row>
    <row r="333" spans="13:15" x14ac:dyDescent="0.25">
      <c r="M333" s="17"/>
      <c r="N333" s="17"/>
      <c r="O333" s="17"/>
    </row>
    <row r="334" spans="13:15" x14ac:dyDescent="0.25">
      <c r="M334" s="17"/>
      <c r="N334" s="17"/>
      <c r="O334" s="17"/>
    </row>
    <row r="335" spans="13:15" x14ac:dyDescent="0.25">
      <c r="M335" s="17"/>
      <c r="N335" s="17"/>
      <c r="O335" s="17"/>
    </row>
    <row r="336" spans="13:15" x14ac:dyDescent="0.25">
      <c r="M336" s="17"/>
      <c r="N336" s="17"/>
      <c r="O336" s="17"/>
    </row>
    <row r="337" spans="13:15" x14ac:dyDescent="0.25">
      <c r="M337" s="17"/>
      <c r="N337" s="17"/>
      <c r="O337" s="17"/>
    </row>
    <row r="338" spans="13:15" x14ac:dyDescent="0.25">
      <c r="M338" s="17"/>
      <c r="N338" s="17"/>
      <c r="O338" s="17"/>
    </row>
    <row r="339" spans="13:15" x14ac:dyDescent="0.25">
      <c r="M339" s="17"/>
      <c r="N339" s="17"/>
      <c r="O339" s="17"/>
    </row>
    <row r="340" spans="13:15" x14ac:dyDescent="0.25">
      <c r="M340" s="17"/>
      <c r="N340" s="17"/>
      <c r="O340" s="17"/>
    </row>
    <row r="341" spans="13:15" x14ac:dyDescent="0.25">
      <c r="M341" s="17"/>
      <c r="N341" s="17"/>
      <c r="O341" s="17"/>
    </row>
    <row r="342" spans="13:15" x14ac:dyDescent="0.25">
      <c r="M342" s="17"/>
      <c r="N342" s="17"/>
      <c r="O342" s="17"/>
    </row>
    <row r="343" spans="13:15" x14ac:dyDescent="0.25">
      <c r="M343" s="17"/>
      <c r="N343" s="17"/>
      <c r="O343" s="17"/>
    </row>
    <row r="344" spans="13:15" x14ac:dyDescent="0.25">
      <c r="M344" s="17"/>
      <c r="N344" s="17"/>
      <c r="O344" s="17"/>
    </row>
    <row r="345" spans="13:15" x14ac:dyDescent="0.25">
      <c r="M345" s="17"/>
      <c r="N345" s="17"/>
      <c r="O345" s="17"/>
    </row>
    <row r="346" spans="13:15" x14ac:dyDescent="0.25">
      <c r="M346" s="17"/>
      <c r="N346" s="17"/>
      <c r="O346" s="17"/>
    </row>
    <row r="347" spans="13:15" x14ac:dyDescent="0.25">
      <c r="M347" s="17"/>
      <c r="N347" s="17"/>
      <c r="O347" s="17"/>
    </row>
    <row r="348" spans="13:15" x14ac:dyDescent="0.25">
      <c r="M348" s="17"/>
      <c r="N348" s="17"/>
      <c r="O348" s="17"/>
    </row>
    <row r="349" spans="13:15" x14ac:dyDescent="0.25">
      <c r="M349" s="17"/>
      <c r="N349" s="17"/>
      <c r="O349" s="17"/>
    </row>
    <row r="350" spans="13:15" x14ac:dyDescent="0.25">
      <c r="M350" s="17"/>
      <c r="N350" s="17"/>
      <c r="O350" s="17"/>
    </row>
    <row r="351" spans="13:15" x14ac:dyDescent="0.25">
      <c r="M351" s="17"/>
      <c r="N351" s="17"/>
      <c r="O351" s="17"/>
    </row>
    <row r="352" spans="13:15" x14ac:dyDescent="0.25">
      <c r="M352" s="17"/>
      <c r="N352" s="17"/>
      <c r="O352" s="17"/>
    </row>
    <row r="353" spans="13:15" x14ac:dyDescent="0.25">
      <c r="M353" s="17"/>
      <c r="N353" s="17"/>
      <c r="O353" s="17"/>
    </row>
    <row r="354" spans="13:15" x14ac:dyDescent="0.25">
      <c r="M354" s="17"/>
      <c r="N354" s="17"/>
      <c r="O354" s="17"/>
    </row>
    <row r="355" spans="13:15" x14ac:dyDescent="0.25">
      <c r="M355" s="17"/>
      <c r="N355" s="17"/>
      <c r="O355" s="17"/>
    </row>
    <row r="356" spans="13:15" x14ac:dyDescent="0.25">
      <c r="M356" s="17"/>
      <c r="N356" s="17"/>
      <c r="O356" s="17"/>
    </row>
    <row r="357" spans="13:15" x14ac:dyDescent="0.25">
      <c r="M357" s="17"/>
      <c r="N357" s="17"/>
      <c r="O357" s="17"/>
    </row>
    <row r="358" spans="13:15" x14ac:dyDescent="0.25">
      <c r="M358" s="17"/>
      <c r="N358" s="17"/>
      <c r="O358" s="17"/>
    </row>
    <row r="359" spans="13:15" x14ac:dyDescent="0.25">
      <c r="M359" s="17"/>
      <c r="N359" s="17"/>
      <c r="O359" s="17"/>
    </row>
    <row r="360" spans="13:15" x14ac:dyDescent="0.25">
      <c r="M360" s="17"/>
      <c r="N360" s="17"/>
      <c r="O360" s="17"/>
    </row>
    <row r="361" spans="13:15" x14ac:dyDescent="0.25">
      <c r="M361" s="17"/>
      <c r="N361" s="17"/>
      <c r="O361" s="17"/>
    </row>
    <row r="362" spans="13:15" x14ac:dyDescent="0.25">
      <c r="M362" s="17"/>
      <c r="N362" s="17"/>
      <c r="O362" s="17"/>
    </row>
    <row r="363" spans="13:15" x14ac:dyDescent="0.25">
      <c r="M363" s="17"/>
      <c r="N363" s="17"/>
      <c r="O363" s="17"/>
    </row>
    <row r="364" spans="13:15" x14ac:dyDescent="0.25">
      <c r="M364" s="17"/>
      <c r="N364" s="17"/>
      <c r="O364" s="17"/>
    </row>
    <row r="365" spans="13:15" x14ac:dyDescent="0.25">
      <c r="M365" s="17"/>
      <c r="N365" s="17"/>
      <c r="O365" s="17"/>
    </row>
    <row r="366" spans="13:15" x14ac:dyDescent="0.25">
      <c r="M366" s="17"/>
      <c r="N366" s="17"/>
      <c r="O366" s="17"/>
    </row>
    <row r="367" spans="13:15" x14ac:dyDescent="0.25">
      <c r="M367" s="17"/>
      <c r="N367" s="17"/>
      <c r="O367" s="17"/>
    </row>
    <row r="368" spans="13:15" x14ac:dyDescent="0.25">
      <c r="M368" s="17"/>
      <c r="N368" s="17"/>
      <c r="O368" s="17"/>
    </row>
    <row r="369" spans="13:15" x14ac:dyDescent="0.25">
      <c r="M369" s="17"/>
      <c r="N369" s="17"/>
      <c r="O369" s="17"/>
    </row>
    <row r="370" spans="13:15" x14ac:dyDescent="0.25">
      <c r="M370" s="17"/>
      <c r="N370" s="17"/>
      <c r="O370" s="17"/>
    </row>
    <row r="371" spans="13:15" x14ac:dyDescent="0.25">
      <c r="M371" s="17"/>
      <c r="N371" s="17"/>
      <c r="O371" s="17"/>
    </row>
    <row r="372" spans="13:15" x14ac:dyDescent="0.25">
      <c r="M372" s="17"/>
      <c r="N372" s="17"/>
      <c r="O372" s="17"/>
    </row>
    <row r="373" spans="13:15" x14ac:dyDescent="0.25">
      <c r="M373" s="17"/>
      <c r="N373" s="17"/>
      <c r="O373" s="17"/>
    </row>
    <row r="374" spans="13:15" x14ac:dyDescent="0.25">
      <c r="M374" s="17"/>
      <c r="N374" s="17"/>
      <c r="O374" s="17"/>
    </row>
    <row r="375" spans="13:15" x14ac:dyDescent="0.25">
      <c r="M375" s="17"/>
      <c r="N375" s="17"/>
      <c r="O375" s="17"/>
    </row>
    <row r="376" spans="13:15" x14ac:dyDescent="0.25">
      <c r="M376" s="17"/>
      <c r="N376" s="17"/>
      <c r="O376" s="17"/>
    </row>
    <row r="377" spans="13:15" x14ac:dyDescent="0.25">
      <c r="M377" s="17"/>
      <c r="N377" s="17"/>
      <c r="O377" s="17"/>
    </row>
    <row r="378" spans="13:15" x14ac:dyDescent="0.25">
      <c r="M378" s="17"/>
      <c r="N378" s="17"/>
      <c r="O378" s="17"/>
    </row>
    <row r="379" spans="13:15" x14ac:dyDescent="0.25">
      <c r="M379" s="17"/>
      <c r="N379" s="17"/>
      <c r="O379" s="17"/>
    </row>
    <row r="380" spans="13:15" x14ac:dyDescent="0.25">
      <c r="M380" s="17"/>
      <c r="N380" s="17"/>
      <c r="O380" s="17"/>
    </row>
    <row r="381" spans="13:15" x14ac:dyDescent="0.25">
      <c r="M381" s="17"/>
      <c r="N381" s="17"/>
      <c r="O381" s="17"/>
    </row>
    <row r="382" spans="13:15" x14ac:dyDescent="0.25">
      <c r="M382" s="17"/>
      <c r="N382" s="17"/>
      <c r="O382" s="17"/>
    </row>
    <row r="383" spans="13:15" x14ac:dyDescent="0.25">
      <c r="M383" s="17"/>
      <c r="N383" s="17"/>
      <c r="O383" s="17"/>
    </row>
    <row r="384" spans="13:15"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sheetData>
  <sheetProtection autoFilter="0"/>
  <autoFilter ref="A2:Q306"/>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1228725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902"/>
  <sheetViews>
    <sheetView zoomScaleNormal="100" zoomScalePageLayoutView="70" workbookViewId="0">
      <pane xSplit="1" ySplit="2" topLeftCell="B452" activePane="bottomRight" state="frozen"/>
      <selection pane="topRight" activeCell="B1" sqref="B1"/>
      <selection pane="bottomLeft" activeCell="A3" sqref="A3"/>
      <selection pane="bottomRight" activeCell="A473" sqref="A473"/>
    </sheetView>
  </sheetViews>
  <sheetFormatPr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8" width="11.42578125" customWidth="1"/>
    <col min="39" max="39" width="59.28515625" customWidth="1"/>
    <col min="40" max="40" width="34"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ECUmil</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65" customHeight="1"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65" customHeight="1"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65" customHeight="1"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65" customHeight="1"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65" customHeight="1" x14ac:dyDescent="0.25">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65" customHeight="1" x14ac:dyDescent="0.25">
      <c r="A8" s="9" t="str">
        <f>IF(ISBLANK('Signal Definition'!J8),"",'Signal Definition'!J8)</f>
        <v>EngMdl_tExhT_PHY</v>
      </c>
      <c r="B8" s="9">
        <f t="array" ref="B8">COUNT(FIND("input",$D8:$BY8))</f>
        <v>1</v>
      </c>
      <c r="C8" s="9">
        <f t="array" ref="C8">COUNT(FIND("output",$D8:$BY8))</f>
        <v>1</v>
      </c>
      <c r="K8" t="s">
        <v>2661</v>
      </c>
      <c r="L8" t="s">
        <v>2670</v>
      </c>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65" customHeight="1" x14ac:dyDescent="0.25">
      <c r="A9" s="9" t="str">
        <f>IF(ISBLANK('Signal Definition'!J9),"",'Signal Definition'!J9)</f>
        <v>EngMdl_pMaxCylP_PHY</v>
      </c>
      <c r="B9" s="9">
        <f t="array" ref="B9">COUNT(FIND("input",$D9:$BY9))</f>
        <v>0</v>
      </c>
      <c r="C9" s="9">
        <f t="array" ref="C9">COUNT(FIND("output",$D9:$BY9))</f>
        <v>1</v>
      </c>
      <c r="D9" s="9"/>
      <c r="E9" s="9"/>
      <c r="F9" s="9"/>
      <c r="G9" s="9"/>
      <c r="H9" s="9"/>
      <c r="I9" s="9"/>
      <c r="J9" s="9"/>
      <c r="K9" s="9" t="s">
        <v>2661</v>
      </c>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65" customHeight="1" x14ac:dyDescent="0.25">
      <c r="A10" s="9" t="str">
        <f>IF(ISBLANK('Signal Definition'!J10),"",'Signal Definition'!J10)</f>
        <v>EngMdl_mPM_PHY</v>
      </c>
      <c r="B10" s="9">
        <f t="array" ref="B10">COUNT(FIND("input",$D10:$BY10))</f>
        <v>0</v>
      </c>
      <c r="C10" s="9">
        <f t="array" ref="C10">COUNT(FIND("output",$D10:$BY10))</f>
        <v>1</v>
      </c>
      <c r="D10" s="9"/>
      <c r="E10" s="9"/>
      <c r="F10" s="9"/>
      <c r="G10" s="9"/>
      <c r="H10" s="9"/>
      <c r="I10" s="9"/>
      <c r="J10" s="9"/>
      <c r="K10" s="9" t="s">
        <v>2661</v>
      </c>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65" customHeight="1" x14ac:dyDescent="0.25">
      <c r="A11" s="9" t="str">
        <f>IF(ISBLANK('Signal Definition'!J11),"",'Signal Definition'!J11)</f>
        <v>EngMdl_numPN_PHY</v>
      </c>
      <c r="B11" s="9">
        <f t="array" ref="B11">COUNT(FIND("input",$D11:$BY11))</f>
        <v>0</v>
      </c>
      <c r="C11" s="9">
        <f t="array" ref="C11">COUNT(FIND("output",$D11:$BY11))</f>
        <v>1</v>
      </c>
      <c r="K11" t="s">
        <v>2661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65" customHeight="1" x14ac:dyDescent="0.25">
      <c r="A12" s="9" t="str">
        <f>IF(ISBLANK('Signal Definition'!J12),"",'Signal Definition'!J12)</f>
        <v>EngMdl_prcExhGasRecircRate_PHY</v>
      </c>
      <c r="B12" s="9">
        <f t="array" ref="B12">COUNT(FIND("input",$D12:$BY12))</f>
        <v>0</v>
      </c>
      <c r="C12" s="9">
        <f t="array" ref="C12">COUNT(FIND("output",$D12:$BY12))</f>
        <v>1</v>
      </c>
      <c r="K12" t="s">
        <v>2661</v>
      </c>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65" customHeight="1" x14ac:dyDescent="0.25">
      <c r="A13" s="9" t="str">
        <f>IF(ISBLANK('Signal Definition'!J13),"",'Signal Definition'!J13)</f>
        <v>EngMdl_mflChrgdAir_PHY</v>
      </c>
      <c r="B13" s="9">
        <f t="array" ref="B13">COUNT(FIND("input",$D13:$BY13))</f>
        <v>4</v>
      </c>
      <c r="C13" s="9">
        <f t="array" ref="C13">COUNT(FIND("output",$D13:$BY13))</f>
        <v>1</v>
      </c>
      <c r="J13" t="s">
        <v>2670</v>
      </c>
      <c r="K13" t="s">
        <v>2661</v>
      </c>
      <c r="M13" s="9"/>
      <c r="N13" s="9"/>
      <c r="O13" s="9"/>
      <c r="P13" s="9"/>
      <c r="Q13" s="9"/>
      <c r="R13" s="9"/>
      <c r="S13" s="9"/>
      <c r="T13" s="9"/>
      <c r="U13" s="9"/>
      <c r="V13" s="9"/>
      <c r="W13" s="9"/>
      <c r="X13" s="9"/>
      <c r="Y13" s="9"/>
      <c r="Z13" s="9"/>
      <c r="AA13" s="9"/>
      <c r="AB13" s="9"/>
      <c r="AC13" s="9" t="s">
        <v>2670</v>
      </c>
      <c r="AD13" s="9" t="s">
        <v>2670</v>
      </c>
      <c r="AE13" s="9"/>
      <c r="AF13" s="9"/>
      <c r="AG13" s="9" t="s">
        <v>2670</v>
      </c>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65" customHeight="1" x14ac:dyDescent="0.25">
      <c r="A14" s="9" t="str">
        <f>IF(ISBLANK('Signal Definition'!J14),"",'Signal Definition'!J14)</f>
        <v>EngMdl_tTChrgdAir_PHY</v>
      </c>
      <c r="B14" s="9">
        <f t="array" ref="B14">COUNT(FIND("input",$D14:$BY14))</f>
        <v>1</v>
      </c>
      <c r="C14" s="9">
        <f t="array" ref="C14">COUNT(FIND("output",$D14:$BY14))</f>
        <v>1</v>
      </c>
      <c r="K14" t="s">
        <v>2661</v>
      </c>
      <c r="U14" s="9"/>
      <c r="V14" s="9"/>
      <c r="W14" s="9"/>
      <c r="X14" s="9"/>
      <c r="Y14" s="9"/>
      <c r="Z14" s="9"/>
      <c r="AA14" s="9"/>
      <c r="AB14" s="9"/>
      <c r="AC14" s="9"/>
      <c r="AD14" s="9" t="s">
        <v>2670</v>
      </c>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65" customHeight="1" x14ac:dyDescent="0.25">
      <c r="A15" s="9" t="str">
        <f>IF(ISBLANK('Signal Definition'!J15),"",'Signal Definition'!J15)</f>
        <v>EngMdl_pBoost_PHY</v>
      </c>
      <c r="B15" s="9">
        <f t="array" ref="B15">COUNT(FIND("input",$D15:$BY15))</f>
        <v>0</v>
      </c>
      <c r="C15" s="9">
        <f t="array" ref="C15">COUNT(FIND("output",$D15:$BY15))</f>
        <v>1</v>
      </c>
      <c r="K15" t="s">
        <v>2661</v>
      </c>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65" customHeight="1" x14ac:dyDescent="0.25">
      <c r="A16" s="9" t="str">
        <f>IF(ISBLANK('Signal Definition'!J16),"",'Signal Definition'!J16)</f>
        <v>EngMdl_numLam_PHY</v>
      </c>
      <c r="B16" s="9">
        <f t="array" ref="B16">COUNT(FIND("input",$D16:$BY16))</f>
        <v>0</v>
      </c>
      <c r="C16" s="9">
        <f t="array" ref="C16">COUNT(FIND("output",$D16:$BY16))</f>
        <v>1</v>
      </c>
      <c r="K16" t="s">
        <v>2661</v>
      </c>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65" customHeight="1" x14ac:dyDescent="0.25">
      <c r="A17" s="9" t="str">
        <f>IF(ISBLANK('Signal Definition'!J17),"",'Signal Definition'!J17)</f>
        <v>EngMdl_tExhGasRecircT_PHY</v>
      </c>
      <c r="B17" s="9">
        <f t="array" ref="B17">COUNT(FIND("input",$D17:$BY17))</f>
        <v>0</v>
      </c>
      <c r="C17" s="9">
        <f t="array" ref="C17">COUNT(FIND("output",$D17:$BY17))</f>
        <v>1</v>
      </c>
      <c r="K17" t="s">
        <v>2661</v>
      </c>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65" customHeight="1" x14ac:dyDescent="0.25">
      <c r="A18" s="9" t="str">
        <f>IF(ISBLANK('Signal Definition'!J18),"",'Signal Definition'!J18)</f>
        <v>VCU_vEstimdLgtVehSpd_PHY</v>
      </c>
      <c r="B18" s="9">
        <f t="array" ref="B18">COUNT(FIND("input",$D18:$BY18))</f>
        <v>0</v>
      </c>
      <c r="C18" s="9">
        <f t="array" ref="C18">COUNT(FIND("output",$D18:$BY18))</f>
        <v>1</v>
      </c>
      <c r="D18" s="9"/>
      <c r="E18" s="9"/>
      <c r="F18" s="9"/>
      <c r="G18" s="9"/>
      <c r="H18" s="9"/>
      <c r="I18" s="9"/>
      <c r="J18" s="9"/>
      <c r="K18" s="9"/>
      <c r="L18" s="9"/>
      <c r="M18" s="9" t="s">
        <v>2661</v>
      </c>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65" customHeight="1" x14ac:dyDescent="0.25">
      <c r="A19" s="9" t="str">
        <f>IF(ISBLANK('Signal Definition'!J19),"",'Signal Definition'!J19)</f>
        <v>VCU_ctEstimdRollgCoeff_PHY</v>
      </c>
      <c r="B19" s="9">
        <f t="array" ref="B19">COUNT(FIND("input",$D19:$BY19))</f>
        <v>0</v>
      </c>
      <c r="C19" s="9">
        <f t="array" ref="C19">COUNT(FIND("output",$D19:$BY19))</f>
        <v>1</v>
      </c>
      <c r="D19" s="9"/>
      <c r="E19" s="9"/>
      <c r="F19" s="9"/>
      <c r="G19" s="9"/>
      <c r="H19" s="9"/>
      <c r="I19" s="9"/>
      <c r="J19" s="9"/>
      <c r="K19" s="9"/>
      <c r="L19" s="9"/>
      <c r="M19" s="9" t="s">
        <v>2661</v>
      </c>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65" customHeight="1" x14ac:dyDescent="0.25">
      <c r="A20" s="9" t="str">
        <f>IF(ISBLANK('Signal Definition'!J20),"",'Signal Definition'!J20)</f>
        <v>VCU_ctEstimdDrgCoeff_PHY</v>
      </c>
      <c r="B20" s="9">
        <f t="array" ref="B20">COUNT(FIND("input",$D20:$BY20))</f>
        <v>0</v>
      </c>
      <c r="C20" s="9">
        <f t="array" ref="C20">COUNT(FIND("output",$D20:$BY20))</f>
        <v>1</v>
      </c>
      <c r="D20" s="9"/>
      <c r="E20" s="9"/>
      <c r="F20" s="9"/>
      <c r="G20" s="9"/>
      <c r="H20" s="9"/>
      <c r="I20" s="9"/>
      <c r="J20" s="9"/>
      <c r="K20" s="9"/>
      <c r="L20" s="9"/>
      <c r="M20" s="9" t="s">
        <v>2661</v>
      </c>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65" customHeight="1" x14ac:dyDescent="0.25">
      <c r="A21" s="9" t="str">
        <f>IF(ISBLANK('Signal Definition'!J21),"",'Signal Definition'!J21)</f>
        <v>VCU_mEstimdVehM_PHY</v>
      </c>
      <c r="B21" s="9">
        <f t="array" ref="B21">COUNT(FIND("input",$D21:$BY21))</f>
        <v>0</v>
      </c>
      <c r="C21" s="9">
        <f t="array" ref="C21">COUNT(FIND("output",$D21:$BY21))</f>
        <v>1</v>
      </c>
      <c r="M21" s="9" t="s">
        <v>2661</v>
      </c>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65" customHeight="1" x14ac:dyDescent="0.25">
      <c r="A22" s="9" t="str">
        <f>IF(ISBLANK('Signal Definition'!J22),"",'Signal Definition'!J22)</f>
        <v>ExhATSysMdl_stNoxSnsrUs_PHY</v>
      </c>
      <c r="B22" s="9">
        <f t="array" ref="B22">COUNT(FIND("input",$D22:$BY22))</f>
        <v>0</v>
      </c>
      <c r="C22" s="9">
        <f t="array" ref="C22">COUNT(FIND("output",$D22:$BY22))</f>
        <v>1</v>
      </c>
      <c r="L22" t="s">
        <v>2661</v>
      </c>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65" customHeight="1" x14ac:dyDescent="0.25">
      <c r="A23" s="9" t="str">
        <f>IF(ISBLANK('Signal Definition'!J23),"",'Signal Definition'!J23)</f>
        <v>ExhATSysMdl_stNoxSnsrDs_PHY</v>
      </c>
      <c r="B23" s="9">
        <f t="array" ref="B23">COUNT(FIND("input",$D23:$BY23))</f>
        <v>0</v>
      </c>
      <c r="C23" s="9">
        <f t="array" ref="C23">COUNT(FIND("output",$D23:$BY23))</f>
        <v>1</v>
      </c>
      <c r="L23" t="s">
        <v>2661</v>
      </c>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65" customHeight="1" x14ac:dyDescent="0.25">
      <c r="A24" s="9" t="str">
        <f>IF(ISBLANK('Signal Definition'!J24),"",'Signal Definition'!J24)</f>
        <v>ExhATSysMdl_ratNoxSnsrUs_PHY</v>
      </c>
      <c r="B24" s="9">
        <f t="array" ref="B24">COUNT(FIND("input",$D24:$BY24))</f>
        <v>0</v>
      </c>
      <c r="C24" s="9">
        <f t="array" ref="C24">COUNT(FIND("output",$D24:$BY24))</f>
        <v>1</v>
      </c>
      <c r="L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65" customHeight="1" x14ac:dyDescent="0.25">
      <c r="A25" s="9" t="str">
        <f>IF(ISBLANK('Signal Definition'!J25),"",'Signal Definition'!J25)</f>
        <v>ExhATSysMdl_ratNoxSnsrDs_PHY</v>
      </c>
      <c r="B25" s="9">
        <f t="array" ref="B25">COUNT(FIND("input",$D25:$BY25))</f>
        <v>3</v>
      </c>
      <c r="C25" s="9">
        <f t="array" ref="C25">COUNT(FIND("output",$D25:$BY25))</f>
        <v>1</v>
      </c>
      <c r="J25" t="s">
        <v>2670</v>
      </c>
      <c r="L25" t="s">
        <v>2661</v>
      </c>
      <c r="M25" s="9"/>
      <c r="N25" s="9"/>
      <c r="O25" s="9"/>
      <c r="P25" s="9"/>
      <c r="Q25" s="9"/>
      <c r="R25" s="9"/>
      <c r="S25" s="9"/>
      <c r="T25" s="9"/>
      <c r="U25" s="9"/>
      <c r="V25" s="9"/>
      <c r="W25" s="9"/>
      <c r="X25" s="9"/>
      <c r="Y25" s="9"/>
      <c r="Z25" s="9"/>
      <c r="AA25" s="9"/>
      <c r="AB25" s="9" t="s">
        <v>2670</v>
      </c>
      <c r="AC25" s="9"/>
      <c r="AD25" s="9"/>
      <c r="AE25" s="9"/>
      <c r="AF25" s="9"/>
      <c r="AG25" s="9" t="s">
        <v>2670</v>
      </c>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65" customHeight="1" x14ac:dyDescent="0.25">
      <c r="A26" s="9" t="str">
        <f>IF(ISBLANK('Signal Definition'!J26),"",'Signal Definition'!J26)</f>
        <v>ExhATSysMdl_tOxdCatUs_PHY</v>
      </c>
      <c r="B26" s="9">
        <f t="array" ref="B26">COUNT(FIND("input",$D26:$BY26))</f>
        <v>2</v>
      </c>
      <c r="C26" s="9">
        <f t="array" ref="C26">COUNT(FIND("output",$D26:$BY26))</f>
        <v>1</v>
      </c>
      <c r="J26" t="s">
        <v>2670</v>
      </c>
      <c r="L26" t="s">
        <v>2661</v>
      </c>
      <c r="M26" s="9"/>
      <c r="N26" s="9"/>
      <c r="O26" s="9"/>
      <c r="P26" s="9"/>
      <c r="Q26" s="9"/>
      <c r="R26" s="9"/>
      <c r="S26" s="9"/>
      <c r="T26" s="9"/>
      <c r="U26" s="9"/>
      <c r="V26" s="9"/>
      <c r="W26" s="9"/>
      <c r="X26" s="9"/>
      <c r="Y26" s="9"/>
      <c r="Z26" s="9"/>
      <c r="AA26" s="9"/>
      <c r="AB26" s="9"/>
      <c r="AC26" s="9"/>
      <c r="AD26" s="9"/>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65" customHeight="1" x14ac:dyDescent="0.25">
      <c r="A27" s="9" t="str">
        <f>IF(ISBLANK('Signal Definition'!J27),"",'Signal Definition'!J27)</f>
        <v>ExhATSysMdl_tPMFilUs_PHY</v>
      </c>
      <c r="B27" s="9">
        <f t="array" ref="B27">COUNT(FIND("input",$D27:$BY27))</f>
        <v>1</v>
      </c>
      <c r="C27" s="9">
        <f t="array" ref="C27">COUNT(FIND("output",$D27:$BY27))</f>
        <v>1</v>
      </c>
      <c r="D27" s="9"/>
      <c r="E27" s="9"/>
      <c r="F27" s="9"/>
      <c r="G27" s="9"/>
      <c r="H27" s="9"/>
      <c r="I27" s="9"/>
      <c r="J27" s="9"/>
      <c r="K27" s="9"/>
      <c r="L27" s="9" t="s">
        <v>2661</v>
      </c>
      <c r="M27" s="9"/>
      <c r="N27" s="9"/>
      <c r="O27" s="9"/>
      <c r="P27" s="9"/>
      <c r="Q27" s="9"/>
      <c r="R27" s="9"/>
      <c r="S27" s="9"/>
      <c r="T27" s="9"/>
      <c r="U27" s="9"/>
      <c r="V27" s="9"/>
      <c r="W27" s="9"/>
      <c r="X27" s="9"/>
      <c r="Y27" s="9"/>
      <c r="Z27" s="9"/>
      <c r="AA27" s="9"/>
      <c r="AB27" s="9"/>
      <c r="AC27" s="9"/>
      <c r="AD27" s="9"/>
      <c r="AE27" s="9"/>
      <c r="AF27" s="9"/>
      <c r="AG27" s="9" t="s">
        <v>2670</v>
      </c>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65" customHeight="1" x14ac:dyDescent="0.25">
      <c r="A28" s="9" t="str">
        <f>IF(ISBLANK('Signal Definition'!J28),"",'Signal Definition'!J28)</f>
        <v>ExhATSysMdl_tPMFilDs_PHY</v>
      </c>
      <c r="B28" s="9">
        <f t="array" ref="B28">COUNT(FIND("input",$D28:$BY28))</f>
        <v>3</v>
      </c>
      <c r="C28" s="9">
        <f t="array" ref="C28">COUNT(FIND("output",$D28:$BY28))</f>
        <v>1</v>
      </c>
      <c r="D28" s="9"/>
      <c r="E28" s="9"/>
      <c r="F28" s="9"/>
      <c r="G28" s="9"/>
      <c r="H28" s="9"/>
      <c r="I28" s="9"/>
      <c r="J28" s="9" t="s">
        <v>2670</v>
      </c>
      <c r="K28" s="9"/>
      <c r="L28" s="9" t="s">
        <v>2661</v>
      </c>
      <c r="M28" s="9"/>
      <c r="N28" s="9"/>
      <c r="O28" s="9"/>
      <c r="P28" s="9"/>
      <c r="Q28" s="9"/>
      <c r="R28" s="9"/>
      <c r="S28" s="9"/>
      <c r="T28" s="9"/>
      <c r="U28" s="9"/>
      <c r="V28" s="9"/>
      <c r="W28" s="9"/>
      <c r="X28" s="9"/>
      <c r="Y28" s="9" t="s">
        <v>2670</v>
      </c>
      <c r="Z28" s="9"/>
      <c r="AA28" s="9"/>
      <c r="AB28" s="9"/>
      <c r="AC28" s="9"/>
      <c r="AD28" s="9"/>
      <c r="AE28" s="9"/>
      <c r="AF28" s="9"/>
      <c r="AG28" s="9" t="s">
        <v>2670</v>
      </c>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65" customHeight="1" x14ac:dyDescent="0.25">
      <c r="A29" s="9" t="str">
        <f>IF(ISBLANK('Signal Definition'!J29),"",'Signal Definition'!J29)</f>
        <v>ExhATSysMdl_pDifPMFil_PHY</v>
      </c>
      <c r="B29" s="9">
        <f t="array" ref="B29">COUNT(FIND("input",$D29:$BY29))</f>
        <v>1</v>
      </c>
      <c r="C29" s="9">
        <f t="array" ref="C29">COUNT(FIND("output",$D29:$BY29))</f>
        <v>1</v>
      </c>
      <c r="D29" s="9"/>
      <c r="E29" s="9"/>
      <c r="F29" s="9"/>
      <c r="G29" s="9"/>
      <c r="H29" s="9"/>
      <c r="I29" s="9"/>
      <c r="J29" s="9"/>
      <c r="K29" s="9"/>
      <c r="L29" s="9" t="s">
        <v>2661</v>
      </c>
      <c r="M29" s="9"/>
      <c r="N29" s="9"/>
      <c r="O29" s="9"/>
      <c r="P29" s="9"/>
      <c r="Q29" s="9"/>
      <c r="R29" s="9"/>
      <c r="S29" s="9"/>
      <c r="T29" s="9"/>
      <c r="U29" s="9"/>
      <c r="V29" s="9"/>
      <c r="W29" s="9"/>
      <c r="X29" s="9"/>
      <c r="Y29" s="9"/>
      <c r="Z29" s="9"/>
      <c r="AA29" s="9"/>
      <c r="AB29" s="9"/>
      <c r="AC29" s="9"/>
      <c r="AD29" s="9"/>
      <c r="AE29" s="9"/>
      <c r="AF29" s="9"/>
      <c r="AG29" s="9" t="s">
        <v>2670</v>
      </c>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65" customHeight="1" x14ac:dyDescent="0.25">
      <c r="A30" s="9" t="str">
        <f>IF(ISBLANK('Signal Definition'!J30),"",'Signal Definition'!J30)</f>
        <v>ExhATSysMdl_tASCDs_PHY</v>
      </c>
      <c r="B30" s="9">
        <f t="array" ref="B30">COUNT(FIND("input",$D30:$BY30))</f>
        <v>0</v>
      </c>
      <c r="C30" s="9">
        <f t="array" ref="C30">COUNT(FIND("output",$D30:$BY30))</f>
        <v>1</v>
      </c>
      <c r="D30" s="9"/>
      <c r="E30" s="9"/>
      <c r="F30" s="9"/>
      <c r="G30" s="9"/>
      <c r="H30" s="9"/>
      <c r="I30" s="9"/>
      <c r="J30" s="9"/>
      <c r="K30" s="9"/>
      <c r="L30" s="9" t="s">
        <v>2661</v>
      </c>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65" customHeight="1" x14ac:dyDescent="0.25">
      <c r="A31" s="9" t="str">
        <f>IF(ISBLANK('Signal Definition'!J31),"",'Signal Definition'!J31)</f>
        <v>TCU_stVeh_PHY</v>
      </c>
      <c r="B31" s="9">
        <f t="array" ref="B31">COUNT(FIND("input",$D31:$BY31))</f>
        <v>0</v>
      </c>
      <c r="C31" s="9">
        <f t="array" ref="C31">COUNT(FIND("output",$D31:$BY31))</f>
        <v>1</v>
      </c>
      <c r="H31"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65" customHeight="1" x14ac:dyDescent="0.25">
      <c r="A32" s="9" t="str">
        <f>IF(ISBLANK('Signal Definition'!J32),"",'Signal Definition'!J32)</f>
        <v>TCU_numLaunchGear_PHY</v>
      </c>
      <c r="B32" s="9">
        <f t="array" ref="B32">COUNT(FIND("input",$D32:$BY32))</f>
        <v>0</v>
      </c>
      <c r="C32" s="9">
        <f t="array" ref="C32">COUNT(FIND("output",$D32:$BY32))</f>
        <v>1</v>
      </c>
      <c r="D32" s="9"/>
      <c r="E32" s="9"/>
      <c r="F32" s="9"/>
      <c r="G32" s="9"/>
      <c r="H32" s="9" t="s">
        <v>2661</v>
      </c>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65" customHeight="1" x14ac:dyDescent="0.25">
      <c r="A33" s="9" t="str">
        <f>IF(ISBLANK('Signal Definition'!J33),"",'Signal Definition'!J33)</f>
        <v>TCU_numGearDmd_PHY</v>
      </c>
      <c r="B33" s="9">
        <f t="array" ref="B33">COUNT(FIND("input",$D33:$BY33))</f>
        <v>0</v>
      </c>
      <c r="C33" s="9">
        <f t="array" ref="C33">COUNT(FIND("output",$D33:$BY33))</f>
        <v>1</v>
      </c>
      <c r="H33"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65" customHeight="1" x14ac:dyDescent="0.25">
      <c r="A34" s="9" t="str">
        <f>IF(ISBLANK('Signal Definition'!J34),"",'Signal Definition'!J34)</f>
        <v>TCU_numGear_PHY</v>
      </c>
      <c r="B34" s="9">
        <f t="array" ref="B34">COUNT(FIND("input",$D34:$BY34))</f>
        <v>3</v>
      </c>
      <c r="C34" s="9">
        <f t="array" ref="C34">COUNT(FIND("output",$D34:$BY34))</f>
        <v>1</v>
      </c>
      <c r="H34" t="s">
        <v>2661</v>
      </c>
      <c r="I34" t="s">
        <v>2670</v>
      </c>
      <c r="J34" t="s">
        <v>2670</v>
      </c>
      <c r="V34" s="9"/>
      <c r="W34" s="9"/>
      <c r="X34" s="9"/>
      <c r="Y34" s="9"/>
      <c r="Z34" s="9"/>
      <c r="AA34" s="9"/>
      <c r="AB34" s="9"/>
      <c r="AC34" s="9"/>
      <c r="AD34" s="9"/>
      <c r="AE34" s="9"/>
      <c r="AF34" s="9"/>
      <c r="AG34" s="9" t="s">
        <v>2670</v>
      </c>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65" customHeight="1" x14ac:dyDescent="0.25">
      <c r="A35" s="9" t="str">
        <f>IF(ISBLANK('Signal Definition'!J35),"",'Signal Definition'!J35)</f>
        <v>TCU_prcTqReq_PHY</v>
      </c>
      <c r="B35" s="9">
        <f t="array" ref="B35">COUNT(FIND("input",$D35:$BY35))</f>
        <v>2</v>
      </c>
      <c r="C35" s="9">
        <f t="array" ref="C35">COUNT(FIND("output",$D35:$BY35))</f>
        <v>1</v>
      </c>
      <c r="D35" s="9"/>
      <c r="E35" s="9"/>
      <c r="F35" s="9"/>
      <c r="G35" s="9"/>
      <c r="H35" s="9" t="s">
        <v>2661</v>
      </c>
      <c r="I35" s="9"/>
      <c r="J35" s="9" t="s">
        <v>2670</v>
      </c>
      <c r="K35" s="9"/>
      <c r="L35" s="9"/>
      <c r="M35" s="9"/>
      <c r="N35" s="9"/>
      <c r="O35" s="9"/>
      <c r="P35" s="9"/>
      <c r="Q35" s="9"/>
      <c r="R35" s="9"/>
      <c r="S35" s="9"/>
      <c r="T35" s="9"/>
      <c r="U35" s="9"/>
      <c r="V35" s="9"/>
      <c r="W35" s="9"/>
      <c r="X35" s="9"/>
      <c r="Y35" s="9"/>
      <c r="Z35" s="9"/>
      <c r="AA35" s="9"/>
      <c r="AB35" s="9"/>
      <c r="AC35" s="9"/>
      <c r="AD35" s="9"/>
      <c r="AE35" s="9"/>
      <c r="AF35" s="9"/>
      <c r="AG35" s="9" t="s">
        <v>2670</v>
      </c>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65" customHeight="1" x14ac:dyDescent="0.25">
      <c r="A36" s="9" t="str">
        <f>IF(ISBLANK('Signal Definition'!J36),"",'Signal Definition'!J36)</f>
        <v>TCU_nEngSpdReq_PHY</v>
      </c>
      <c r="B36" s="9">
        <f t="array" ref="B36">COUNT(FIND("input",$D36:$BY36))</f>
        <v>2</v>
      </c>
      <c r="C36" s="9">
        <f t="array" ref="C36">COUNT(FIND("output",$D36:$BY36))</f>
        <v>1</v>
      </c>
      <c r="D36" s="9"/>
      <c r="E36" s="9"/>
      <c r="F36" s="9"/>
      <c r="G36" s="9"/>
      <c r="H36" s="9" t="s">
        <v>2661</v>
      </c>
      <c r="I36" s="9"/>
      <c r="J36" s="9" t="s">
        <v>2670</v>
      </c>
      <c r="K36" s="9"/>
      <c r="L36" s="9"/>
      <c r="M36" s="9"/>
      <c r="N36" s="9"/>
      <c r="O36" s="9"/>
      <c r="P36" s="9"/>
      <c r="Q36" s="9"/>
      <c r="R36" s="9"/>
      <c r="S36" s="9"/>
      <c r="T36" s="9"/>
      <c r="U36" s="9"/>
      <c r="V36" s="9"/>
      <c r="W36" s="9"/>
      <c r="X36" s="9"/>
      <c r="Y36" s="9"/>
      <c r="Z36" s="9"/>
      <c r="AA36" s="9"/>
      <c r="AB36" s="9"/>
      <c r="AC36" s="9"/>
      <c r="AD36" s="9"/>
      <c r="AE36" s="9"/>
      <c r="AF36" s="9"/>
      <c r="AG36" s="9" t="s">
        <v>2670</v>
      </c>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65" customHeight="1" x14ac:dyDescent="0.25">
      <c r="A37" s="9" t="str">
        <f>IF(ISBLANK('Signal Definition'!J37),"",'Signal Definition'!J37)</f>
        <v>TCU_numOverCtrl_PHY</v>
      </c>
      <c r="B37" s="9">
        <f t="array" ref="B37">COUNT(FIND("input",$D37:$BY37))</f>
        <v>2</v>
      </c>
      <c r="C37" s="9">
        <f t="array" ref="C37">COUNT(FIND("output",$D37:$BY37))</f>
        <v>1</v>
      </c>
      <c r="D37" s="9"/>
      <c r="E37" s="9"/>
      <c r="F37" s="9"/>
      <c r="G37" s="9"/>
      <c r="H37" s="9" t="s">
        <v>2661</v>
      </c>
      <c r="I37" s="9"/>
      <c r="J37" s="9" t="s">
        <v>2670</v>
      </c>
      <c r="K37" s="9"/>
      <c r="L37" s="9"/>
      <c r="M37" s="9"/>
      <c r="N37" s="9"/>
      <c r="O37" s="9"/>
      <c r="P37" s="9"/>
      <c r="Q37" s="9"/>
      <c r="R37" s="9"/>
      <c r="S37" s="9"/>
      <c r="T37" s="9"/>
      <c r="U37" s="9"/>
      <c r="V37" s="9"/>
      <c r="W37" s="9"/>
      <c r="X37" s="9"/>
      <c r="Y37" s="9"/>
      <c r="Z37" s="9"/>
      <c r="AA37" s="9"/>
      <c r="AB37" s="9"/>
      <c r="AC37" s="9"/>
      <c r="AD37" s="9"/>
      <c r="AE37" s="9"/>
      <c r="AF37" s="9"/>
      <c r="AG37" s="9" t="s">
        <v>2670</v>
      </c>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65" customHeight="1" x14ac:dyDescent="0.25">
      <c r="A38" s="9" t="str">
        <f>IF(ISBLANK('Signal Definition'!J38),"",'Signal Definition'!J38)</f>
        <v>TCU_prcCluPosn_PHY</v>
      </c>
      <c r="B38" s="9">
        <f t="array" ref="B38">COUNT(FIND("input",$D38:$BY38))</f>
        <v>2</v>
      </c>
      <c r="C38" s="9">
        <f t="array" ref="C38">COUNT(FIND("output",$D38:$BY38))</f>
        <v>1</v>
      </c>
      <c r="H38" t="s">
        <v>2661</v>
      </c>
      <c r="I38" t="s">
        <v>2670</v>
      </c>
      <c r="M38" t="s">
        <v>2670</v>
      </c>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65" customHeight="1" x14ac:dyDescent="0.25">
      <c r="A39" s="9" t="str">
        <f>IF(ISBLANK('Signal Definition'!J39),"",'Signal Definition'!J39)</f>
        <v>TCU_stShiftInProgs_PHY</v>
      </c>
      <c r="B39" s="9">
        <f t="array" ref="B39">COUNT(FIND("input",$D39:$BY39))</f>
        <v>0</v>
      </c>
      <c r="C39" s="9">
        <f t="array" ref="C39">COUNT(FIND("output",$D39:$BY39))</f>
        <v>1</v>
      </c>
      <c r="H39" t="s">
        <v>2661</v>
      </c>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65" customHeight="1" x14ac:dyDescent="0.25">
      <c r="A40" s="9" t="str">
        <f>IF(ISBLANK('Signal Definition'!J40),"",'Signal Definition'!J40)</f>
        <v>TCU_stClu_PHY</v>
      </c>
      <c r="B40" s="9">
        <f t="array" ref="B40">COUNT(FIND("input",$D40:$BY40))</f>
        <v>1</v>
      </c>
      <c r="C40" s="9">
        <f t="array" ref="C40">COUNT(FIND("output",$D40:$BY40))</f>
        <v>1</v>
      </c>
      <c r="H40" t="s">
        <v>2661</v>
      </c>
      <c r="J40" t="s">
        <v>2670</v>
      </c>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65" customHeight="1" x14ac:dyDescent="0.25">
      <c r="A41" s="9" t="str">
        <f>IF(ISBLANK('Signal Definition'!J41),"",'Signal Definition'!J41)</f>
        <v>TCU_stGearShiftMod_PHY</v>
      </c>
      <c r="B41" s="9">
        <f t="array" ref="B41">COUNT(FIND("input",$D41:$BY41))</f>
        <v>0</v>
      </c>
      <c r="C41" s="9">
        <f t="array" ref="C41">COUNT(FIND("output",$D41:$BY41))</f>
        <v>1</v>
      </c>
      <c r="H41" t="s">
        <v>2661</v>
      </c>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65" customHeight="1" x14ac:dyDescent="0.25">
      <c r="A42" s="9" t="str">
        <f>IF(ISBLANK('Signal Definition'!J42),"",'Signal Definition'!J42)</f>
        <v>TCU_trqTrsmIntvReq_PHY</v>
      </c>
      <c r="B42" s="9">
        <f t="array" ref="B42">COUNT(FIND("input",$D42:$BY42))</f>
        <v>0</v>
      </c>
      <c r="C42" s="9">
        <f t="array" ref="C42">COUNT(FIND("output",$D42:$BY42))</f>
        <v>1</v>
      </c>
      <c r="H42" t="s">
        <v>2661</v>
      </c>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65" customHeight="1" x14ac:dyDescent="0.25">
      <c r="A43" s="9" t="str">
        <f>IF(ISBLANK('Signal Definition'!J43),"",'Signal Definition'!J43)</f>
        <v>TrsmMdl_trqClu_PHY</v>
      </c>
      <c r="B43" s="9">
        <f t="array" ref="B43">COUNT(FIND("input",$D43:$BY43))</f>
        <v>0</v>
      </c>
      <c r="C43" s="9">
        <f t="array" ref="C43">COUNT(FIND("output",$D43:$BY43))</f>
        <v>1</v>
      </c>
      <c r="I43" t="s">
        <v>2661</v>
      </c>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65" customHeight="1" x14ac:dyDescent="0.25">
      <c r="A44" s="9" t="str">
        <f>IF(ISBLANK('Signal Definition'!J44),"",'Signal Definition'!J44)</f>
        <v>TrsmMdl_nCrksft_PHY</v>
      </c>
      <c r="B44" s="9">
        <f t="array" ref="B44">COUNT(FIND("input",$D44:$BY44))</f>
        <v>12</v>
      </c>
      <c r="C44" s="9">
        <f t="array" ref="C44">COUNT(FIND("output",$D44:$BY44))</f>
        <v>1</v>
      </c>
      <c r="E44" t="s">
        <v>2670</v>
      </c>
      <c r="H44" t="s">
        <v>2670</v>
      </c>
      <c r="I44" t="s">
        <v>2661</v>
      </c>
      <c r="J44" t="s">
        <v>2670</v>
      </c>
      <c r="K44" t="s">
        <v>2670</v>
      </c>
      <c r="L44" t="s">
        <v>2670</v>
      </c>
      <c r="O44" t="s">
        <v>2670</v>
      </c>
      <c r="Q44" t="s">
        <v>2670</v>
      </c>
      <c r="R44" t="s">
        <v>2670</v>
      </c>
      <c r="S44" t="s">
        <v>2670</v>
      </c>
      <c r="T44" t="s">
        <v>2670</v>
      </c>
      <c r="AD44" t="s">
        <v>2670</v>
      </c>
      <c r="AG44" t="s">
        <v>2670</v>
      </c>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65" customHeight="1" x14ac:dyDescent="0.25">
      <c r="A45" s="9" t="str">
        <f>IF(ISBLANK('Signal Definition'!J45),"",'Signal Definition'!J45)</f>
        <v>TrsmMdl_trqCluReactn_PHY</v>
      </c>
      <c r="B45" s="9">
        <f t="array" ref="B45">COUNT(FIND("input",$D45:$BY45))</f>
        <v>0</v>
      </c>
      <c r="C45" s="9">
        <f t="array" ref="C45">COUNT(FIND("output",$D45:$BY45))</f>
        <v>1</v>
      </c>
      <c r="I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65" customHeight="1" x14ac:dyDescent="0.25">
      <c r="A46" s="9" t="str">
        <f>IF(ISBLANK('Signal Definition'!J46),"",'Signal Definition'!J46)</f>
        <v>TrsmMdl_trqInpShaft_PHY</v>
      </c>
      <c r="B46" s="9">
        <f t="array" ref="B46">COUNT(FIND("input",$D46:$BY46))</f>
        <v>1</v>
      </c>
      <c r="C46" s="9">
        <f t="array" ref="C46">COUNT(FIND("output",$D46:$BY46))</f>
        <v>1</v>
      </c>
      <c r="I46" t="s">
        <v>2661</v>
      </c>
      <c r="M46" t="s">
        <v>2670</v>
      </c>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65" customHeight="1" x14ac:dyDescent="0.25">
      <c r="A47" s="9" t="str">
        <f>IF(ISBLANK('Signal Definition'!J47),"",'Signal Definition'!J47)</f>
        <v>TrsmMdl_trqCluFric_PHY</v>
      </c>
      <c r="B47" s="9">
        <f t="array" ref="B47">COUNT(FIND("input",$D47:$BY47))</f>
        <v>0</v>
      </c>
      <c r="C47" s="9">
        <f t="array" ref="C47">COUNT(FIND("output",$D47:$BY47))</f>
        <v>1</v>
      </c>
      <c r="D47" s="9"/>
      <c r="E47" s="9"/>
      <c r="F47" s="9"/>
      <c r="G47" s="9"/>
      <c r="H47" s="9"/>
      <c r="I47" s="9" t="s">
        <v>2661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65" customHeight="1" x14ac:dyDescent="0.25">
      <c r="A48" s="9" t="str">
        <f>IF(ISBLANK('Signal Definition'!J48),"",'Signal Definition'!J48)</f>
        <v>TrsmMdl_stCluLock_PHY</v>
      </c>
      <c r="B48" s="9">
        <f t="array" ref="B48">COUNT(FIND("input",$D48:$BY48))</f>
        <v>1</v>
      </c>
      <c r="C48" s="9">
        <f t="array" ref="C48">COUNT(FIND("output",$D48:$BY48))</f>
        <v>1</v>
      </c>
      <c r="D48" s="9"/>
      <c r="E48" s="9"/>
      <c r="F48" s="9"/>
      <c r="G48" s="9"/>
      <c r="H48" s="9" t="s">
        <v>2670</v>
      </c>
      <c r="I48" s="9" t="s">
        <v>2661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65" customHeight="1" x14ac:dyDescent="0.25">
      <c r="A49" s="9" t="str">
        <f>IF(ISBLANK('Signal Definition'!J49),"",'Signal Definition'!J49)</f>
        <v>TrsmMdl_nOutpShaft_PHY</v>
      </c>
      <c r="B49" s="9">
        <f t="array" ref="B49">COUNT(FIND("input",$D49:$BY49))</f>
        <v>2</v>
      </c>
      <c r="C49" s="9">
        <f t="array" ref="C49">COUNT(FIND("output",$D49:$BY49))</f>
        <v>1</v>
      </c>
      <c r="H49" t="s">
        <v>2670</v>
      </c>
      <c r="I49" t="s">
        <v>2661</v>
      </c>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65" customHeight="1" x14ac:dyDescent="0.25">
      <c r="A50" s="9" t="str">
        <f>IF(ISBLANK('Signal Definition'!J50),"",'Signal Definition'!J50)</f>
        <v>TrsmMdl_trqOutpShaft_PHY</v>
      </c>
      <c r="B50" s="9">
        <f t="array" ref="B50">COUNT(FIND("input",$D50:$BY50))</f>
        <v>0</v>
      </c>
      <c r="C50" s="9">
        <f t="array" ref="C50">COUNT(FIND("output",$D50:$BY50))</f>
        <v>1</v>
      </c>
      <c r="D50" s="9"/>
      <c r="E50" s="9"/>
      <c r="F50" s="9"/>
      <c r="G50" s="9"/>
      <c r="H50" s="9"/>
      <c r="I50" s="9" t="s">
        <v>2661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65" customHeight="1" x14ac:dyDescent="0.25">
      <c r="A51" s="9" t="str">
        <f>IF(ISBLANK('Signal Definition'!J51),"",'Signal Definition'!J51)</f>
        <v>TrsmMdl_ratCurrGear_PHY</v>
      </c>
      <c r="B51" s="9">
        <f t="array" ref="B51">COUNT(FIND("input",$D51:$BY51))</f>
        <v>4</v>
      </c>
      <c r="C51" s="9">
        <f t="array" ref="C51">COUNT(FIND("output",$D51:$BY51))</f>
        <v>1</v>
      </c>
      <c r="H51" t="s">
        <v>2670</v>
      </c>
      <c r="I51" t="s">
        <v>2661</v>
      </c>
      <c r="J51" t="s">
        <v>2670</v>
      </c>
      <c r="M51" t="s">
        <v>2670</v>
      </c>
      <c r="O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65" customHeight="1" x14ac:dyDescent="0.25">
      <c r="A52" s="9" t="str">
        <f>IF(ISBLANK('Signal Definition'!J52),"",'Signal Definition'!J52)</f>
        <v>TrsmMdl_jCurrGear_PHY</v>
      </c>
      <c r="B52" s="9">
        <f t="array" ref="B52">COUNT(FIND("input",$D52:$BY52))</f>
        <v>0</v>
      </c>
      <c r="C52" s="9">
        <f t="array" ref="C52">COUNT(FIND("output",$D52:$BY52))</f>
        <v>1</v>
      </c>
      <c r="D52" s="9"/>
      <c r="E52" s="9"/>
      <c r="F52" s="9"/>
      <c r="G52" s="9"/>
      <c r="H52" s="9"/>
      <c r="I52" s="9" t="s">
        <v>2661</v>
      </c>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65" customHeight="1" x14ac:dyDescent="0.25">
      <c r="A53" s="9" t="str">
        <f>IF(ISBLANK('Signal Definition'!J53),"",'Signal Definition'!J53)</f>
        <v>TrsmMdl_trqTrsmLoss_PHY</v>
      </c>
      <c r="B53" s="9">
        <f t="array" ref="B53">COUNT(FIND("input",$D53:$BY53))</f>
        <v>0</v>
      </c>
      <c r="C53" s="9">
        <f t="array" ref="C53">COUNT(FIND("output",$D53:$BY53))</f>
        <v>1</v>
      </c>
      <c r="I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65" customHeight="1" x14ac:dyDescent="0.25">
      <c r="A54" s="9" t="str">
        <f>IF(ISBLANK('Signal Definition'!J54),"",'Signal Definition'!J54)</f>
        <v>TrsmMdl_trqDrvShaft_PHY</v>
      </c>
      <c r="B54" s="9">
        <f t="array" ref="B54">COUNT(FIND("input",$D54:$BY54))</f>
        <v>2</v>
      </c>
      <c r="C54" s="9">
        <f t="array" ref="C54">COUNT(FIND("output",$D54:$BY54))</f>
        <v>1</v>
      </c>
      <c r="G54" t="s">
        <v>2670</v>
      </c>
      <c r="I54" t="s">
        <v>2661</v>
      </c>
      <c r="M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65" customHeight="1" x14ac:dyDescent="0.25">
      <c r="A55" s="9" t="str">
        <f>IF(ISBLANK('Signal Definition'!J55),"",'Signal Definition'!J55)</f>
        <v>TrsmMdl_ratDftl_PHY</v>
      </c>
      <c r="B55" s="9">
        <f t="array" ref="B55">COUNT(FIND("input",$D55:$BY55))</f>
        <v>3</v>
      </c>
      <c r="C55" s="9">
        <f t="array" ref="C55">COUNT(FIND("output",$D55:$BY55))</f>
        <v>1</v>
      </c>
      <c r="H55" t="s">
        <v>2670</v>
      </c>
      <c r="I55" t="s">
        <v>2661</v>
      </c>
      <c r="J55" t="s">
        <v>2670</v>
      </c>
      <c r="M55" t="s">
        <v>2670</v>
      </c>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65" customHeight="1" x14ac:dyDescent="0.25">
      <c r="A56" s="9" t="str">
        <f>IF(ISBLANK('Signal Definition'!J56),"",'Signal Definition'!J56)</f>
        <v>TrsmMdl_jDftl_PHY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65" customHeight="1" x14ac:dyDescent="0.25">
      <c r="A57" s="9" t="str">
        <f>IF(ISBLANK('Signal Definition'!J57),"",'Signal Definition'!J57)</f>
        <v>TrsmMdl_trqItdrLoss_PHY</v>
      </c>
      <c r="B57" s="9">
        <f t="array" ref="B57">COUNT(FIND("input",$D57:$BY57))</f>
        <v>0</v>
      </c>
      <c r="C57" s="9">
        <f t="array" ref="C57">COUNT(FIND("output",$D57:$BY57))</f>
        <v>1</v>
      </c>
      <c r="D57" s="9"/>
      <c r="E57" s="9"/>
      <c r="F57" s="9"/>
      <c r="G57" s="9"/>
      <c r="H57" s="9"/>
      <c r="I57" s="9" t="s">
        <v>2661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65" customHeight="1" x14ac:dyDescent="0.25">
      <c r="A58" s="9" t="str">
        <f>IF(ISBLANK('Signal Definition'!J58),"",'Signal Definition'!J58)</f>
        <v>TrsmMdl_trqDftlLoss_PHY</v>
      </c>
      <c r="B58" s="9">
        <f t="array" ref="B58">COUNT(FIND("input",$D58:$BY58))</f>
        <v>0</v>
      </c>
      <c r="C58" s="9">
        <f t="array" ref="C58">COUNT(FIND("output",$D58:$BY58))</f>
        <v>1</v>
      </c>
      <c r="D58" s="9"/>
      <c r="E58" s="9"/>
      <c r="F58" s="9"/>
      <c r="G58" s="9"/>
      <c r="H58" s="9"/>
      <c r="I58" s="9" t="s">
        <v>2661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65" customHeight="1" x14ac:dyDescent="0.25">
      <c r="A59" s="9" t="str">
        <f>IF(ISBLANK('Signal Definition'!J59),"",'Signal Definition'!J59)</f>
        <v>TrsmMdl_nInpShaft_PHY</v>
      </c>
      <c r="B59" s="9">
        <f t="array" ref="B59">COUNT(FIND("input",$D59:$BY59))</f>
        <v>3</v>
      </c>
      <c r="C59" s="9">
        <f t="array" ref="C59">COUNT(FIND("output",$D59:$BY59))</f>
        <v>1</v>
      </c>
      <c r="H59" t="s">
        <v>2670</v>
      </c>
      <c r="I59" t="s">
        <v>2661</v>
      </c>
      <c r="N59" s="9"/>
      <c r="O59" s="9"/>
      <c r="P59" s="9"/>
      <c r="Q59" s="9"/>
      <c r="R59" s="9"/>
      <c r="S59" s="9"/>
      <c r="T59" s="9"/>
      <c r="U59" s="9"/>
      <c r="V59" s="9" t="s">
        <v>2670</v>
      </c>
      <c r="W59" s="9"/>
      <c r="X59" s="9"/>
      <c r="Y59" s="9"/>
      <c r="Z59" s="9"/>
      <c r="AA59" s="9"/>
      <c r="AB59" s="9"/>
      <c r="AC59" s="9"/>
      <c r="AD59" s="9"/>
      <c r="AE59" s="9"/>
      <c r="AF59" s="9"/>
      <c r="AG59" s="9" t="s">
        <v>2670</v>
      </c>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65" customHeight="1" x14ac:dyDescent="0.25">
      <c r="A60" s="9" t="str">
        <f>IF(ISBLANK('Signal Definition'!J60),"",'Signal Definition'!J60)</f>
        <v>TrsmMdl_dnCrksft_PHY</v>
      </c>
      <c r="B60" s="9">
        <f t="array" ref="B60">COUNT(FIND("input",$D60:$BY60))</f>
        <v>1</v>
      </c>
      <c r="C60" s="9">
        <f t="array" ref="C60">COUNT(FIND("output",$D60:$BY60))</f>
        <v>1</v>
      </c>
      <c r="I60" t="s">
        <v>2661</v>
      </c>
      <c r="J60" t="s">
        <v>2670</v>
      </c>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65" customHeight="1" x14ac:dyDescent="0.25">
      <c r="A61" s="9" t="str">
        <f>IF(ISBLANK('Signal Definition'!J61),"",'Signal Definition'!J61)</f>
        <v>EngMdl_pwrEgrClrHeatTrf_PHY</v>
      </c>
      <c r="B61" s="9">
        <f t="array" ref="B61">COUNT(FIND("input",$D61:$BY61))</f>
        <v>1</v>
      </c>
      <c r="C61" s="9">
        <f t="array" ref="C61">COUNT(FIND("output",$D61:$BY61))</f>
        <v>1</v>
      </c>
      <c r="K61" t="s">
        <v>2661</v>
      </c>
      <c r="P61" t="s">
        <v>2670</v>
      </c>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65" customHeight="1" x14ac:dyDescent="0.25">
      <c r="A62" s="9" t="str">
        <f>IF(ISBLANK('Signal Definition'!J62),"",'Signal Definition'!J62)</f>
        <v>EngMdl_pwrIcoHeatTrf_PHY</v>
      </c>
      <c r="B62" s="9">
        <f t="array" ref="B62">COUNT(FIND("input",$D62:$BY62))</f>
        <v>1</v>
      </c>
      <c r="C62" s="9">
        <f t="array" ref="C62">COUNT(FIND("output",$D62:$BY62))</f>
        <v>1</v>
      </c>
      <c r="K62" t="s">
        <v>2661</v>
      </c>
      <c r="P62" t="s">
        <v>2670</v>
      </c>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65" customHeight="1" x14ac:dyDescent="0.25">
      <c r="A63" s="9" t="str">
        <f>IF(ISBLANK('Signal Definition'!J63),"",'Signal Definition'!J63)</f>
        <v>EngMdl_pwrCylHeatTrfRate_PHY</v>
      </c>
      <c r="B63" s="9">
        <f t="array" ref="B63">COUNT(FIND("input",$D63:$BY63))</f>
        <v>1</v>
      </c>
      <c r="C63" s="9">
        <f t="array" ref="C63">COUNT(FIND("output",$D63:$BY63))</f>
        <v>1</v>
      </c>
      <c r="K63" t="s">
        <v>2661</v>
      </c>
      <c r="P63" t="s">
        <v>2670</v>
      </c>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65" customHeight="1" x14ac:dyDescent="0.25">
      <c r="A64" s="9" t="str">
        <f>IF(ISBLANK('Signal Definition'!J64),"",'Signal Definition'!J64)</f>
        <v>EngMdl_sfcBrkSpcFuCns_PHY</v>
      </c>
      <c r="B64" s="9">
        <f t="array" ref="B64">COUNT(FIND("input",$D64:$BY64))</f>
        <v>0</v>
      </c>
      <c r="C64" s="9">
        <f t="array" ref="C64">COUNT(FIND("output",$D64:$BY64))</f>
        <v>1</v>
      </c>
      <c r="D64" s="9"/>
      <c r="E64" s="9"/>
      <c r="F64" s="9"/>
      <c r="G64" s="9"/>
      <c r="H64" s="9"/>
      <c r="I64" s="9"/>
      <c r="J64" s="9"/>
      <c r="K64" s="9" t="s">
        <v>2661</v>
      </c>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65" customHeight="1" x14ac:dyDescent="0.25">
      <c r="A65" s="9" t="str">
        <f>IF(ISBLANK('Signal Definition'!J65),"",'Signal Definition'!J65)</f>
        <v>EngMdl_trqEngTqOut_PHY</v>
      </c>
      <c r="B65" s="9">
        <f t="array" ref="B65">COUNT(FIND("input",$D65:$BY65))</f>
        <v>6</v>
      </c>
      <c r="C65" s="9">
        <f t="array" ref="C65">COUNT(FIND("output",$D65:$BY65))</f>
        <v>1</v>
      </c>
      <c r="E65" t="s">
        <v>2670</v>
      </c>
      <c r="H65" t="s">
        <v>2670</v>
      </c>
      <c r="I65" t="s">
        <v>2670</v>
      </c>
      <c r="K65" t="s">
        <v>2661</v>
      </c>
      <c r="L65" t="s">
        <v>2670</v>
      </c>
      <c r="U65" s="9"/>
      <c r="V65" s="9" t="s">
        <v>2670</v>
      </c>
      <c r="W65" s="9"/>
      <c r="X65" s="9"/>
      <c r="Y65" s="9"/>
      <c r="Z65" s="9"/>
      <c r="AA65" s="9"/>
      <c r="AB65" s="9" t="s">
        <v>2670</v>
      </c>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65" customHeight="1" x14ac:dyDescent="0.25">
      <c r="A66" s="9" t="str">
        <f>IF(ISBLANK('Signal Definition'!J66),"",'Signal Definition'!J66)</f>
        <v>EngMdl_nEngSpdOut_PHY</v>
      </c>
      <c r="B66" s="9">
        <f t="array" ref="B66">COUNT(FIND("input",$D66:$BY66))</f>
        <v>1</v>
      </c>
      <c r="C66" s="9">
        <f t="array" ref="C66">COUNT(FIND("output",$D66:$BY66))</f>
        <v>1</v>
      </c>
      <c r="K66" t="s">
        <v>2661</v>
      </c>
      <c r="V66" s="9"/>
      <c r="W66" s="9"/>
      <c r="X66" s="9"/>
      <c r="Y66" s="9"/>
      <c r="Z66" s="9"/>
      <c r="AA66" s="9"/>
      <c r="AB66" s="9" t="s">
        <v>2670</v>
      </c>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65" customHeight="1" x14ac:dyDescent="0.25">
      <c r="A67" s="9" t="str">
        <f>IF(ISBLANK('Signal Definition'!J67),"",'Signal Definition'!J67)</f>
        <v>EngMdl_ratNOx_PHY</v>
      </c>
      <c r="B67" s="9">
        <f t="array" ref="B67">COUNT(FIND("input",$D67:$BY67))</f>
        <v>4</v>
      </c>
      <c r="C67" s="9">
        <f t="array" ref="C67">COUNT(FIND("output",$D67:$BY67))</f>
        <v>1</v>
      </c>
      <c r="J67" t="s">
        <v>2670</v>
      </c>
      <c r="K67" t="s">
        <v>2661</v>
      </c>
      <c r="L67" t="s">
        <v>2670</v>
      </c>
      <c r="V67" s="9"/>
      <c r="W67" s="9"/>
      <c r="X67" s="9"/>
      <c r="Y67" s="9"/>
      <c r="Z67" s="9"/>
      <c r="AA67" s="9"/>
      <c r="AB67" s="9" t="s">
        <v>2670</v>
      </c>
      <c r="AC67" s="9"/>
      <c r="AD67" s="9"/>
      <c r="AE67" s="9"/>
      <c r="AF67" s="9"/>
      <c r="AG67" s="9" t="s">
        <v>2670</v>
      </c>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65" customHeight="1" x14ac:dyDescent="0.25">
      <c r="A68" s="9" t="str">
        <f>IF(ISBLANK('Signal Definition'!J68),"",'Signal Definition'!J68)</f>
        <v>EngMdl_ratNO2_PHY</v>
      </c>
      <c r="B68" s="9">
        <f t="array" ref="B68">COUNT(FIND("input",$D68:$BY68))</f>
        <v>1</v>
      </c>
      <c r="C68" s="9">
        <f t="array" ref="C68">COUNT(FIND("output",$D68:$BY68))</f>
        <v>1</v>
      </c>
      <c r="K68" t="s">
        <v>2661</v>
      </c>
      <c r="L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65" customHeight="1" x14ac:dyDescent="0.25">
      <c r="A69" s="9" t="str">
        <f>IF(ISBLANK('Signal Definition'!J69),"",'Signal Definition'!J69)</f>
        <v>EngMdl_ratCO_PHY</v>
      </c>
      <c r="B69" s="9">
        <f t="array" ref="B69">COUNT(FIND("input",$D69:$BY69))</f>
        <v>0</v>
      </c>
      <c r="C69" s="9">
        <f t="array" ref="C69">COUNT(FIND("output",$D69:$BY69))</f>
        <v>1</v>
      </c>
      <c r="D69" s="9"/>
      <c r="E69" s="9"/>
      <c r="F69" s="9"/>
      <c r="G69" s="9"/>
      <c r="H69" s="9"/>
      <c r="I69" s="9"/>
      <c r="J69" s="9"/>
      <c r="K69" s="9" t="s">
        <v>2661</v>
      </c>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65" customHeight="1" x14ac:dyDescent="0.25">
      <c r="A70" s="9" t="str">
        <f>IF(ISBLANK('Signal Definition'!J70),"",'Signal Definition'!J70)</f>
        <v>EngMdl_ratHC_PHY</v>
      </c>
      <c r="B70" s="9">
        <f t="array" ref="B70">COUNT(FIND("input",$D70:$BY70))</f>
        <v>0</v>
      </c>
      <c r="C70" s="9">
        <f t="array" ref="C70">COUNT(FIND("output",$D70:$BY70))</f>
        <v>1</v>
      </c>
      <c r="D70" s="9"/>
      <c r="E70" s="9"/>
      <c r="F70" s="9"/>
      <c r="G70" s="9"/>
      <c r="H70" s="9"/>
      <c r="I70" s="9"/>
      <c r="J70" s="9"/>
      <c r="K70" s="9" t="s">
        <v>2661</v>
      </c>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65" customHeight="1" x14ac:dyDescent="0.25">
      <c r="A71" s="9" t="str">
        <f>IF(ISBLANK('Signal Definition'!J71),"",'Signal Definition'!J71)</f>
        <v>EngMdl_ratCO2_PHY</v>
      </c>
      <c r="B71" s="9">
        <f t="array" ref="B71">COUNT(FIND("input",$D71:$BY71))</f>
        <v>0</v>
      </c>
      <c r="C71" s="9">
        <f t="array" ref="C71">COUNT(FIND("output",$D71:$BY71))</f>
        <v>1</v>
      </c>
      <c r="D71" s="9"/>
      <c r="E71" s="9"/>
      <c r="F71" s="9"/>
      <c r="G71" s="9"/>
      <c r="H71" s="9"/>
      <c r="I71" s="9"/>
      <c r="J71" s="9"/>
      <c r="K71" s="9" t="s">
        <v>2661</v>
      </c>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65" customHeight="1" x14ac:dyDescent="0.25">
      <c r="A72" s="9" t="str">
        <f>IF(ISBLANK('Signal Definition'!J72),"",'Signal Definition'!J72)</f>
        <v>EngMdl_ratO2ConcInExh_PHY</v>
      </c>
      <c r="B72" s="9">
        <f t="array" ref="B72">COUNT(FIND("input",$D72:$BY72))</f>
        <v>1</v>
      </c>
      <c r="C72" s="9">
        <f t="array" ref="C72">COUNT(FIND("output",$D72:$BY72))</f>
        <v>1</v>
      </c>
      <c r="D72" s="9"/>
      <c r="E72" s="9"/>
      <c r="F72" s="9"/>
      <c r="G72" s="9"/>
      <c r="H72" s="9"/>
      <c r="I72" s="9"/>
      <c r="J72" s="9"/>
      <c r="K72" s="9" t="s">
        <v>2661</v>
      </c>
      <c r="L72" s="9" t="s">
        <v>2670</v>
      </c>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65" customHeight="1" x14ac:dyDescent="0.25">
      <c r="A73" s="9" t="str">
        <f>IF(ISBLANK('Signal Definition'!J73),"",'Signal Definition'!J73)</f>
        <v>PnmSys_trqAirCmpr_PHY</v>
      </c>
      <c r="B73" s="9">
        <f t="array" ref="B73">COUNT(FIND("input",$D73:$BY73))</f>
        <v>0</v>
      </c>
      <c r="C73" s="9">
        <f t="array" ref="C73">COUNT(FIND("output",$D73:$BY73))</f>
        <v>1</v>
      </c>
      <c r="D73" s="9"/>
      <c r="E73" s="9"/>
      <c r="F73" s="9"/>
      <c r="G73" s="9"/>
      <c r="H73" s="9"/>
      <c r="I73" s="9"/>
      <c r="J73" s="9"/>
      <c r="K73" s="9"/>
      <c r="L73" s="9"/>
      <c r="M73" s="9"/>
      <c r="N73" s="9"/>
      <c r="O73" s="9" t="s">
        <v>2661</v>
      </c>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65" customHeight="1" x14ac:dyDescent="0.25">
      <c r="A74" s="9" t="str">
        <f>IF(ISBLANK('Signal Definition'!J74),"",'Signal Definition'!J74)</f>
        <v>CoolgSys_tCooltRadrOut_PHY</v>
      </c>
      <c r="B74" s="9">
        <f t="array" ref="B74">COUNT(FIND("input",$D74:$BY74))</f>
        <v>0</v>
      </c>
      <c r="C74" s="9">
        <f t="array" ref="C74">COUNT(FIND("output",$D74:$BY74))</f>
        <v>1</v>
      </c>
      <c r="D74" s="9"/>
      <c r="E74" s="9"/>
      <c r="F74" s="9"/>
      <c r="G74" s="9"/>
      <c r="H74" s="9"/>
      <c r="I74" s="9"/>
      <c r="J74" s="9"/>
      <c r="K74" s="9"/>
      <c r="L74" s="9"/>
      <c r="M74" s="9"/>
      <c r="N74" s="9"/>
      <c r="O74" s="9"/>
      <c r="P74" s="9" t="s">
        <v>2661</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65" customHeight="1" x14ac:dyDescent="0.25">
      <c r="A75" s="9" t="str">
        <f>IF(ISBLANK('Signal Definition'!J75),"",'Signal Definition'!J75)</f>
        <v>CoolgSys_tCooltRadrIn_PHY</v>
      </c>
      <c r="B75" s="9">
        <f t="array" ref="B75">COUNT(FIND("input",$D75:$BY75))</f>
        <v>0</v>
      </c>
      <c r="C75" s="9">
        <f t="array" ref="C75">COUNT(FIND("output",$D75:$BY75))</f>
        <v>1</v>
      </c>
      <c r="D75" s="9"/>
      <c r="E75" s="9"/>
      <c r="F75" s="9"/>
      <c r="G75" s="9"/>
      <c r="H75" s="9"/>
      <c r="I75" s="9"/>
      <c r="J75" s="9"/>
      <c r="K75" s="9"/>
      <c r="L75" s="9"/>
      <c r="M75" s="9"/>
      <c r="N75" s="9"/>
      <c r="O75" s="9"/>
      <c r="P75" s="9" t="s">
        <v>2661</v>
      </c>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65" customHeight="1" x14ac:dyDescent="0.25">
      <c r="A76" s="9" t="str">
        <f>IF(ISBLANK('Signal Definition'!J76),"",'Signal Definition'!J76)</f>
        <v>CoolgSys_stThOpend_INT</v>
      </c>
      <c r="B76" s="9">
        <f t="array" ref="B76">COUNT(FIND("input",$D76:$BY76))</f>
        <v>1</v>
      </c>
      <c r="C76" s="9">
        <f t="array" ref="C76">COUNT(FIND("output",$D76:$BY76))</f>
        <v>1</v>
      </c>
      <c r="D76" s="9"/>
      <c r="E76" s="9"/>
      <c r="F76" s="9"/>
      <c r="G76" s="9"/>
      <c r="H76" s="9"/>
      <c r="I76" s="9"/>
      <c r="J76" s="9"/>
      <c r="K76" s="9"/>
      <c r="L76" s="9"/>
      <c r="M76" s="9"/>
      <c r="N76" s="9"/>
      <c r="O76" s="9"/>
      <c r="P76" s="9" t="s">
        <v>2661</v>
      </c>
      <c r="Q76" s="9"/>
      <c r="R76" s="9" t="s">
        <v>2670</v>
      </c>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65" customHeight="1" x14ac:dyDescent="0.25">
      <c r="A77" s="9" t="str">
        <f>IF(ISBLANK('Signal Definition'!J77),"",'Signal Definition'!J77)</f>
        <v>WtrPmp_nWtrPmp_PHY</v>
      </c>
      <c r="B77" s="9">
        <f t="array" ref="B77">COUNT(FIND("input",$D77:$BY77))</f>
        <v>0</v>
      </c>
      <c r="C77" s="9">
        <f t="array" ref="C77">COUNT(FIND("output",$D77:$BY77))</f>
        <v>1</v>
      </c>
      <c r="D77" s="9"/>
      <c r="E77" s="9"/>
      <c r="F77" s="9"/>
      <c r="G77" s="9"/>
      <c r="H77" s="9"/>
      <c r="I77" s="9"/>
      <c r="J77" s="9"/>
      <c r="K77" s="9"/>
      <c r="L77" s="9"/>
      <c r="M77" s="9"/>
      <c r="N77" s="9"/>
      <c r="O77" s="9"/>
      <c r="P77" s="9"/>
      <c r="Q77" s="9"/>
      <c r="R77" s="9"/>
      <c r="S77" s="9" t="s">
        <v>2661</v>
      </c>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65" customHeight="1" x14ac:dyDescent="0.25">
      <c r="A78" s="9" t="str">
        <f>IF(ISBLANK('Signal Definition'!J78),"",'Signal Definition'!J78)</f>
        <v>WtrPmp_trqWtrPmpReqd_PHY</v>
      </c>
      <c r="B78" s="9">
        <f t="array" ref="B78">COUNT(FIND("input",$D78:$BY78))</f>
        <v>0</v>
      </c>
      <c r="C78" s="9">
        <f t="array" ref="C78">COUNT(FIND("output",$D78:$BY78))</f>
        <v>1</v>
      </c>
      <c r="D78" s="9"/>
      <c r="E78" s="9"/>
      <c r="F78" s="9"/>
      <c r="G78" s="9"/>
      <c r="H78" s="9"/>
      <c r="I78" s="9"/>
      <c r="J78" s="9"/>
      <c r="K78" s="9"/>
      <c r="L78" s="9"/>
      <c r="M78" s="9"/>
      <c r="N78" s="9"/>
      <c r="O78" s="9"/>
      <c r="P78" s="9"/>
      <c r="Q78" s="9"/>
      <c r="R78" s="9"/>
      <c r="S78" s="9" t="s">
        <v>2661</v>
      </c>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65" customHeight="1" x14ac:dyDescent="0.25">
      <c r="A79" s="9" t="str">
        <f>IF(ISBLANK('Signal Definition'!J79),"",'Signal Definition'!J79)</f>
        <v>WtrPmp_stThEnag_INT</v>
      </c>
      <c r="B79" s="9">
        <f t="array" ref="B79">COUNT(FIND("input",$D79:$BY79))</f>
        <v>1</v>
      </c>
      <c r="C79" s="9">
        <f t="array" ref="C79">COUNT(FIND("output",$D79:$BY79))</f>
        <v>1</v>
      </c>
      <c r="D79" s="9"/>
      <c r="E79" s="9"/>
      <c r="F79" s="9"/>
      <c r="G79" s="9"/>
      <c r="H79" s="9"/>
      <c r="I79" s="9"/>
      <c r="J79" s="9"/>
      <c r="K79" s="9"/>
      <c r="L79" s="9"/>
      <c r="M79" s="9"/>
      <c r="N79" s="9"/>
      <c r="O79" s="9"/>
      <c r="P79" s="9" t="s">
        <v>2670</v>
      </c>
      <c r="Q79" s="9"/>
      <c r="R79" s="9"/>
      <c r="S79" s="9" t="s">
        <v>2661</v>
      </c>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65" customHeight="1" x14ac:dyDescent="0.25">
      <c r="A80" s="9" t="str">
        <f>IF(ISBLANK('Signal Definition'!J80),"",'Signal Definition'!J80)</f>
        <v>WtrPmp_mflWtrPmpCoolt_INT</v>
      </c>
      <c r="B80" s="9">
        <f t="array" ref="B80">COUNT(FIND("input",$D80:$BY80))</f>
        <v>1</v>
      </c>
      <c r="C80" s="9">
        <f t="array" ref="C80">COUNT(FIND("output",$D80:$BY80))</f>
        <v>1</v>
      </c>
      <c r="D80" s="9"/>
      <c r="E80" s="9"/>
      <c r="F80" s="9"/>
      <c r="G80" s="9"/>
      <c r="H80" s="9"/>
      <c r="I80" s="9"/>
      <c r="J80" s="9"/>
      <c r="K80" s="9"/>
      <c r="L80" s="9"/>
      <c r="M80" s="9"/>
      <c r="N80" s="9"/>
      <c r="O80" s="9"/>
      <c r="P80" s="9" t="s">
        <v>2670</v>
      </c>
      <c r="Q80" s="9"/>
      <c r="R80" s="9"/>
      <c r="S80" s="9" t="s">
        <v>2661</v>
      </c>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65" customHeight="1" x14ac:dyDescent="0.25">
      <c r="A81" s="9" t="str">
        <f>IF(ISBLANK('Signal Definition'!J81),"",'Signal Definition'!J81)</f>
        <v>CoolgFan_mflCoolgFanAir_INT</v>
      </c>
      <c r="B81" s="9">
        <f t="array" ref="B81">COUNT(FIND("input",$D81:$BY81))</f>
        <v>1</v>
      </c>
      <c r="C81" s="9">
        <f t="array" ref="C81">COUNT(FIND("output",$D81:$BY81))</f>
        <v>1</v>
      </c>
      <c r="D81" s="9"/>
      <c r="E81" s="9"/>
      <c r="F81" s="9"/>
      <c r="G81" s="9"/>
      <c r="H81" s="9"/>
      <c r="I81" s="9"/>
      <c r="J81" s="9"/>
      <c r="K81" s="9"/>
      <c r="L81" s="9"/>
      <c r="M81" s="9"/>
      <c r="N81" s="9"/>
      <c r="O81" s="9"/>
      <c r="P81" s="9" t="s">
        <v>2670</v>
      </c>
      <c r="Q81" s="9"/>
      <c r="R81" s="9" t="s">
        <v>2661</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65" customHeight="1" x14ac:dyDescent="0.25">
      <c r="A82" s="9" t="str">
        <f>IF(ISBLANK('Signal Definition'!J82),"",'Signal Definition'!J82)</f>
        <v>CoolgFan_nCoolgFan_PHY</v>
      </c>
      <c r="B82" s="9">
        <f t="array" ref="B82">COUNT(FIND("input",$D82:$BY82))</f>
        <v>2</v>
      </c>
      <c r="C82" s="9">
        <f t="array" ref="C82">COUNT(FIND("output",$D82:$BY82))</f>
        <v>1</v>
      </c>
      <c r="D82" s="9"/>
      <c r="E82" s="9"/>
      <c r="F82" s="9"/>
      <c r="G82" s="9"/>
      <c r="H82" s="9"/>
      <c r="I82" s="9"/>
      <c r="J82" s="9" t="s">
        <v>2670</v>
      </c>
      <c r="K82" s="9"/>
      <c r="L82" s="9"/>
      <c r="M82" s="9"/>
      <c r="N82" s="9"/>
      <c r="O82" s="9"/>
      <c r="P82" s="9"/>
      <c r="Q82" s="9"/>
      <c r="R82" s="9" t="s">
        <v>2661</v>
      </c>
      <c r="S82" s="9"/>
      <c r="T82" s="9"/>
      <c r="U82" s="9"/>
      <c r="V82" s="9"/>
      <c r="W82" s="9"/>
      <c r="X82" s="9"/>
      <c r="Y82" s="9"/>
      <c r="Z82" s="9"/>
      <c r="AA82" s="9"/>
      <c r="AB82" s="9"/>
      <c r="AC82" s="9"/>
      <c r="AD82" s="9"/>
      <c r="AE82" s="9"/>
      <c r="AF82" s="9"/>
      <c r="AG82" s="9" t="s">
        <v>2670</v>
      </c>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65" customHeight="1" x14ac:dyDescent="0.25">
      <c r="A83" s="9" t="str">
        <f>IF(ISBLANK('Signal Definition'!J83),"",'Signal Definition'!J83)</f>
        <v>AirCdn_nAirCdn_PHY</v>
      </c>
      <c r="B83" s="9">
        <f t="array" ref="B83">COUNT(FIND("input",$D83:$BY83))</f>
        <v>0</v>
      </c>
      <c r="C83" s="9">
        <f t="array" ref="C83">COUNT(FIND("output",$D83:$BY83))</f>
        <v>1</v>
      </c>
      <c r="Q83" t="s">
        <v>2661</v>
      </c>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65" customHeight="1" x14ac:dyDescent="0.25">
      <c r="A84" s="9" t="str">
        <f>IF(ISBLANK('Signal Definition'!J84),"",'Signal Definition'!J84)</f>
        <v>PnmSys_pwrAirCmprMecl_PHY</v>
      </c>
      <c r="B84" s="9">
        <f t="array" ref="B84">COUNT(FIND("input",$D84:$BY84))</f>
        <v>0</v>
      </c>
      <c r="C84" s="9">
        <f t="array" ref="C84">COUNT(FIND("output",$D84:$BY84))</f>
        <v>1</v>
      </c>
      <c r="D84" s="9"/>
      <c r="E84" s="9"/>
      <c r="F84" s="9"/>
      <c r="G84" s="9"/>
      <c r="H84" s="9"/>
      <c r="I84" s="9"/>
      <c r="J84" s="9"/>
      <c r="K84" s="9"/>
      <c r="L84" s="9"/>
      <c r="M84" s="9"/>
      <c r="N84" s="9"/>
      <c r="O84" s="9" t="s">
        <v>2661</v>
      </c>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65" customHeight="1" x14ac:dyDescent="0.25">
      <c r="A85" s="9" t="str">
        <f>IF(ISBLANK('Signal Definition'!J85),"",'Signal Definition'!J85)</f>
        <v>PnmSys_volAirRqrdStdLiters_PHY</v>
      </c>
      <c r="B85" s="9">
        <f t="array" ref="B85">COUNT(FIND("input",$D85:$BY85))</f>
        <v>0</v>
      </c>
      <c r="C85" s="9">
        <f t="array" ref="C85">COUNT(FIND("output",$D85:$BY85))</f>
        <v>1</v>
      </c>
      <c r="D85" s="9"/>
      <c r="E85" s="9"/>
      <c r="F85" s="9"/>
      <c r="G85" s="9"/>
      <c r="H85" s="9"/>
      <c r="I85" s="9"/>
      <c r="J85" s="9"/>
      <c r="K85" s="9"/>
      <c r="L85" s="9"/>
      <c r="M85" s="9"/>
      <c r="N85" s="9"/>
      <c r="O85" s="9" t="s">
        <v>2661</v>
      </c>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65" customHeight="1" x14ac:dyDescent="0.25">
      <c r="A86" s="9" t="str">
        <f>IF(ISBLANK('Signal Definition'!J86),"",'Signal Definition'!J86)</f>
        <v>PnmSys_volflAirCompressed_PHY</v>
      </c>
      <c r="B86" s="9">
        <f t="array" ref="B86">COUNT(FIND("input",$D86:$BY86))</f>
        <v>0</v>
      </c>
      <c r="C86" s="9">
        <f t="array" ref="C86">COUNT(FIND("output",$D86:$BY86))</f>
        <v>1</v>
      </c>
      <c r="D86" s="9"/>
      <c r="E86" s="9"/>
      <c r="F86" s="9"/>
      <c r="G86" s="9"/>
      <c r="H86" s="9"/>
      <c r="I86" s="9"/>
      <c r="J86" s="9"/>
      <c r="K86" s="9"/>
      <c r="L86" s="9"/>
      <c r="M86" s="9"/>
      <c r="N86" s="9"/>
      <c r="O86" s="9" t="s">
        <v>2661</v>
      </c>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65" customHeight="1" x14ac:dyDescent="0.25">
      <c r="A87" s="9" t="str">
        <f>IF(ISBLANK('Signal Definition'!J87),"",'Signal Definition'!J87)</f>
        <v>PnmSys_volflAirRqrdSysStdLiters_PHY</v>
      </c>
      <c r="B87" s="9">
        <f t="array" ref="B87">COUNT(FIND("input",$D87:$BY87))</f>
        <v>0</v>
      </c>
      <c r="C87" s="9">
        <f t="array" ref="C87">COUNT(FIND("output",$D87:$BY87))</f>
        <v>1</v>
      </c>
      <c r="D87" s="9"/>
      <c r="E87" s="9"/>
      <c r="F87" s="9"/>
      <c r="G87" s="9"/>
      <c r="H87" s="9"/>
      <c r="I87" s="9"/>
      <c r="J87" s="9"/>
      <c r="K87" s="9"/>
      <c r="L87" s="9"/>
      <c r="M87" s="9"/>
      <c r="N87" s="9"/>
      <c r="O87" s="9" t="s">
        <v>2661</v>
      </c>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65" customHeight="1" x14ac:dyDescent="0.25">
      <c r="A88" s="9" t="str">
        <f>IF(ISBLANK('Signal Definition'!J88),"",'Signal Definition'!J88)</f>
        <v>PnmSys_volflAirRqrdMeanSysStdLiters_PHY</v>
      </c>
      <c r="B88" s="9">
        <f t="array" ref="B88">COUNT(FIND("input",$D88:$BY88))</f>
        <v>0</v>
      </c>
      <c r="C88" s="9">
        <f t="array" ref="C88">COUNT(FIND("output",$D88:$BY88))</f>
        <v>1</v>
      </c>
      <c r="D88" s="9"/>
      <c r="E88" s="9"/>
      <c r="F88" s="9"/>
      <c r="G88" s="9"/>
      <c r="H88" s="9"/>
      <c r="I88" s="9"/>
      <c r="J88" s="9"/>
      <c r="K88" s="9"/>
      <c r="L88" s="9"/>
      <c r="M88" s="9"/>
      <c r="N88" s="9"/>
      <c r="O88" s="9" t="s">
        <v>2661</v>
      </c>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65" customHeight="1" x14ac:dyDescent="0.25">
      <c r="A89" s="9" t="str">
        <f>IF(ISBLANK('Signal Definition'!J89),"",'Signal Definition'!J89)</f>
        <v>PnmSys_volflAirCompressedStdLiters_PHY</v>
      </c>
      <c r="B89" s="9">
        <f t="array" ref="B89">COUNT(FIND("input",$D89:$BY89))</f>
        <v>0</v>
      </c>
      <c r="C89" s="9">
        <f t="array" ref="C89">COUNT(FIND("output",$D89:$BY89))</f>
        <v>1</v>
      </c>
      <c r="D89" s="9"/>
      <c r="E89" s="9"/>
      <c r="F89" s="9"/>
      <c r="G89" s="9"/>
      <c r="H89" s="9"/>
      <c r="I89" s="9"/>
      <c r="J89" s="9"/>
      <c r="K89" s="9"/>
      <c r="L89" s="9"/>
      <c r="M89" s="9"/>
      <c r="N89" s="9"/>
      <c r="O89" s="9" t="s">
        <v>2661</v>
      </c>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65" customHeight="1" x14ac:dyDescent="0.25">
      <c r="A90" s="9" t="str">
        <f>IF(ISBLANK('Signal Definition'!J90),"",'Signal Definition'!J90)</f>
        <v>PnmSys_volflAirCmprMapStdLiters_PHY</v>
      </c>
      <c r="B90" s="9">
        <f t="array" ref="B90">COUNT(FIND("input",$D90:$BY90))</f>
        <v>0</v>
      </c>
      <c r="C90" s="9">
        <f t="array" ref="C90">COUNT(FIND("output",$D90:$BY90))</f>
        <v>1</v>
      </c>
      <c r="D90" s="9"/>
      <c r="E90" s="9"/>
      <c r="F90" s="9"/>
      <c r="G90" s="9"/>
      <c r="H90" s="9"/>
      <c r="I90" s="9"/>
      <c r="J90" s="9"/>
      <c r="K90" s="9"/>
      <c r="L90" s="9"/>
      <c r="M90" s="9"/>
      <c r="N90" s="9"/>
      <c r="O90" s="9" t="s">
        <v>2661</v>
      </c>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65" customHeight="1" x14ac:dyDescent="0.25">
      <c r="A91" s="9" t="str">
        <f>IF(ISBLANK('Signal Definition'!J91),"",'Signal Definition'!J91)</f>
        <v>PnmSys_pAirTank_PHY</v>
      </c>
      <c r="B91" s="9">
        <f t="array" ref="B91">COUNT(FIND("input",$D91:$BY91))</f>
        <v>3</v>
      </c>
      <c r="C91" s="9">
        <f t="array" ref="C91">COUNT(FIND("output",$D91:$BY91))</f>
        <v>1</v>
      </c>
      <c r="D91" s="9"/>
      <c r="E91" s="9"/>
      <c r="F91" s="9"/>
      <c r="G91" s="9"/>
      <c r="H91" s="9"/>
      <c r="I91" s="9"/>
      <c r="J91" s="9" t="s">
        <v>2670</v>
      </c>
      <c r="K91" s="9"/>
      <c r="L91" s="9"/>
      <c r="M91" s="9"/>
      <c r="N91" s="9"/>
      <c r="O91" s="9" t="s">
        <v>2661</v>
      </c>
      <c r="P91" s="9"/>
      <c r="Q91" s="9"/>
      <c r="R91" s="9"/>
      <c r="S91" s="9"/>
      <c r="T91" s="9"/>
      <c r="U91" s="9"/>
      <c r="V91" s="9" t="s">
        <v>2670</v>
      </c>
      <c r="W91" s="9"/>
      <c r="X91" s="9"/>
      <c r="Y91" s="9"/>
      <c r="Z91" s="9"/>
      <c r="AA91" s="9"/>
      <c r="AB91" s="9"/>
      <c r="AC91" s="9"/>
      <c r="AD91" s="9"/>
      <c r="AE91" s="9"/>
      <c r="AF91" s="9"/>
      <c r="AG91" s="9" t="s">
        <v>2670</v>
      </c>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65" customHeight="1" x14ac:dyDescent="0.25">
      <c r="A92" s="9" t="str">
        <f>IF(ISBLANK('Signal Definition'!J92),"",'Signal Definition'!J92)</f>
        <v>PnmSys_nAirCmpr_PHY</v>
      </c>
      <c r="B92" s="9">
        <f t="array" ref="B92">COUNT(FIND("input",$D92:$BY92))</f>
        <v>0</v>
      </c>
      <c r="C92" s="9">
        <f t="array" ref="C92">COUNT(FIND("output",$D92:$BY92))</f>
        <v>1</v>
      </c>
      <c r="O92" t="s">
        <v>2661</v>
      </c>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65" customHeight="1" x14ac:dyDescent="0.25">
      <c r="A93" s="9" t="str">
        <f>IF(ISBLANK('Signal Definition'!J93),"",'Signal Definition'!J93)</f>
        <v>CoolgSys_tCooltRadrIn_INT</v>
      </c>
      <c r="B93" s="9">
        <f t="array" ref="B93">COUNT(FIND("input",$D93:$BY93))</f>
        <v>2</v>
      </c>
      <c r="C93" s="9">
        <f t="array" ref="C93">COUNT(FIND("output",$D93:$BY93))</f>
        <v>1</v>
      </c>
      <c r="D93" s="9"/>
      <c r="E93" s="9"/>
      <c r="F93" s="9"/>
      <c r="G93" s="9"/>
      <c r="H93" s="9"/>
      <c r="I93" s="9"/>
      <c r="J93" s="9"/>
      <c r="K93" s="9"/>
      <c r="L93" s="9"/>
      <c r="M93" s="9"/>
      <c r="N93" s="9"/>
      <c r="O93" s="9"/>
      <c r="P93" s="9" t="s">
        <v>2661</v>
      </c>
      <c r="Q93" s="9"/>
      <c r="R93" s="9" t="s">
        <v>2670</v>
      </c>
      <c r="S93" s="9" t="s">
        <v>2670</v>
      </c>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65" customHeight="1" x14ac:dyDescent="0.25">
      <c r="A94" s="9" t="str">
        <f>IF(ISBLANK('Signal Definition'!J94),"",'Signal Definition'!J94)</f>
        <v>DrvrMdl_prcAccrPedlPosn_PHY</v>
      </c>
      <c r="B94" s="9">
        <f t="array" ref="B94">COUNT(FIND("input",$D94:$BY94))</f>
        <v>3</v>
      </c>
      <c r="C94" s="9">
        <f t="array" ref="C94">COUNT(FIND("output",$D94:$BY94))</f>
        <v>1</v>
      </c>
      <c r="D94" s="9"/>
      <c r="E94" s="9" t="s">
        <v>2661</v>
      </c>
      <c r="F94" s="9"/>
      <c r="G94" s="9"/>
      <c r="H94" s="9" t="s">
        <v>2670</v>
      </c>
      <c r="I94" s="9"/>
      <c r="J94" s="9" t="s">
        <v>2670</v>
      </c>
      <c r="K94" s="9"/>
      <c r="L94" s="9"/>
      <c r="M94" s="9"/>
      <c r="N94" s="9"/>
      <c r="O94" s="9"/>
      <c r="P94" s="9"/>
      <c r="Q94" s="9"/>
      <c r="R94" s="9"/>
      <c r="S94" s="9"/>
      <c r="T94" s="9"/>
      <c r="U94" s="9"/>
      <c r="V94" s="9"/>
      <c r="W94" s="9"/>
      <c r="X94" s="9"/>
      <c r="Y94" s="9"/>
      <c r="Z94" s="9"/>
      <c r="AA94" s="9"/>
      <c r="AB94" s="9"/>
      <c r="AC94" s="9"/>
      <c r="AD94" s="9"/>
      <c r="AE94" s="9"/>
      <c r="AF94" s="9"/>
      <c r="AG94" s="9" t="s">
        <v>2670</v>
      </c>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65" customHeight="1" x14ac:dyDescent="0.25">
      <c r="A95" s="9" t="str">
        <f>IF(ISBLANK('Signal Definition'!J95),"",'Signal Definition'!J95)</f>
        <v>DrvrMdl_prcBrkPedlPosn_PHY</v>
      </c>
      <c r="B95" s="9">
        <f t="array" ref="B95">COUNT(FIND("input",$D95:$BY95))</f>
        <v>7</v>
      </c>
      <c r="C95" s="9">
        <f t="array" ref="C95">COUNT(FIND("output",$D95:$BY95))</f>
        <v>1</v>
      </c>
      <c r="E95" t="s">
        <v>2661</v>
      </c>
      <c r="G95" t="s">
        <v>2670</v>
      </c>
      <c r="H95" t="s">
        <v>2670</v>
      </c>
      <c r="I95" t="s">
        <v>2670</v>
      </c>
      <c r="J95" t="s">
        <v>2670</v>
      </c>
      <c r="M95" t="s">
        <v>2670</v>
      </c>
      <c r="O95" t="s">
        <v>2670</v>
      </c>
      <c r="U95" s="9"/>
      <c r="V95" s="9"/>
      <c r="W95" s="9"/>
      <c r="X95" s="9"/>
      <c r="Y95" s="9"/>
      <c r="Z95" s="9"/>
      <c r="AA95" s="9"/>
      <c r="AB95" s="9"/>
      <c r="AC95" s="9"/>
      <c r="AD95" s="9"/>
      <c r="AE95" s="9"/>
      <c r="AF95" s="9"/>
      <c r="AG95" s="9" t="s">
        <v>2670</v>
      </c>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65" customHeight="1" x14ac:dyDescent="0.25">
      <c r="A96" s="9" t="str">
        <f>IF(ISBLANK('Signal Definition'!J96),"",'Signal Definition'!J96)</f>
        <v>DrvrMdl_swtKeyOn_PHY</v>
      </c>
      <c r="B96" s="9">
        <f t="array" ref="B96">COUNT(FIND("input",$D96:$BY96))</f>
        <v>2</v>
      </c>
      <c r="C96" s="9">
        <f t="array" ref="C96">COUNT(FIND("output",$D96:$BY96))</f>
        <v>1</v>
      </c>
      <c r="E96" t="s">
        <v>2661</v>
      </c>
      <c r="J96" t="s">
        <v>2670</v>
      </c>
      <c r="U96" s="9"/>
      <c r="V96" s="9"/>
      <c r="W96" s="9"/>
      <c r="X96" s="9"/>
      <c r="Y96" s="9"/>
      <c r="Z96" s="9"/>
      <c r="AA96" s="9"/>
      <c r="AB96" s="9"/>
      <c r="AC96" s="9"/>
      <c r="AD96" s="9"/>
      <c r="AE96" s="9"/>
      <c r="AF96" s="9"/>
      <c r="AG96" s="9" t="s">
        <v>2670</v>
      </c>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65" customHeight="1" x14ac:dyDescent="0.25">
      <c r="A97" s="9" t="str">
        <f>IF(ISBLANK('Signal Definition'!J97),"",'Signal Definition'!J97)</f>
        <v>DrvrMdl_swtEngBrk_PHY</v>
      </c>
      <c r="B97" s="9">
        <f t="array" ref="B97">COUNT(FIND("input",$D97:$BY97))</f>
        <v>2</v>
      </c>
      <c r="C97" s="9">
        <f t="array" ref="C97">COUNT(FIND("output",$D97:$BY97))</f>
        <v>1</v>
      </c>
      <c r="E97" t="s">
        <v>2661</v>
      </c>
      <c r="J97" t="s">
        <v>2670</v>
      </c>
      <c r="U97" s="9"/>
      <c r="V97" s="9"/>
      <c r="W97" s="9"/>
      <c r="X97" s="9"/>
      <c r="Y97" s="9"/>
      <c r="Z97" s="9"/>
      <c r="AA97" s="9"/>
      <c r="AB97" s="9"/>
      <c r="AC97" s="9"/>
      <c r="AD97" s="9"/>
      <c r="AE97" s="9"/>
      <c r="AF97" s="9"/>
      <c r="AG97" s="9" t="s">
        <v>2670</v>
      </c>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65" customHeight="1" x14ac:dyDescent="0.25">
      <c r="A98" s="9" t="str">
        <f>IF(ISBLANK('Signal Definition'!J98),"",'Signal Definition'!J98)</f>
        <v>DrvrMdl_swtCrsCtrl_PHY</v>
      </c>
      <c r="B98" s="9">
        <f t="array" ref="B98">COUNT(FIND("input",$D98:$BY98))</f>
        <v>2</v>
      </c>
      <c r="C98" s="9">
        <f t="array" ref="C98">COUNT(FIND("output",$D98:$BY98))</f>
        <v>1</v>
      </c>
      <c r="E98" t="s">
        <v>2661</v>
      </c>
      <c r="J98" t="s">
        <v>2670</v>
      </c>
      <c r="U98" s="9"/>
      <c r="V98" s="9"/>
      <c r="W98" s="9"/>
      <c r="X98" s="9"/>
      <c r="Y98" s="9"/>
      <c r="Z98" s="9"/>
      <c r="AA98" s="9"/>
      <c r="AB98" s="9"/>
      <c r="AC98" s="9"/>
      <c r="AD98" s="9"/>
      <c r="AE98" s="9"/>
      <c r="AF98" s="9"/>
      <c r="AG98" s="9" t="s">
        <v>2670</v>
      </c>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65" customHeight="1" x14ac:dyDescent="0.25">
      <c r="A99" s="9" t="str">
        <f>IF(ISBLANK('Signal Definition'!J99),"",'Signal Definition'!J99)</f>
        <v>DrvrMdl_vDesCrsCtrl_PHY</v>
      </c>
      <c r="B99" s="9">
        <f t="array" ref="B99">COUNT(FIND("input",$D99:$BY99))</f>
        <v>1</v>
      </c>
      <c r="C99" s="9">
        <f t="array" ref="C99">COUNT(FIND("output",$D99:$BY99))</f>
        <v>1</v>
      </c>
      <c r="E99" t="s">
        <v>2661</v>
      </c>
      <c r="J99" t="s">
        <v>2670</v>
      </c>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65" customHeight="1" x14ac:dyDescent="0.25">
      <c r="A100" s="9" t="str">
        <f>IF(ISBLANK('Signal Definition'!J100),"",'Signal Definition'!J100)</f>
        <v>DrvrMdl_swtVehSpdLim_PHY</v>
      </c>
      <c r="B100" s="9">
        <f t="array" ref="B100">COUNT(FIND("input",$D100:$BY100))</f>
        <v>1</v>
      </c>
      <c r="C100" s="9">
        <f t="array" ref="C100">COUNT(FIND("output",$D100:$BY100))</f>
        <v>1</v>
      </c>
      <c r="E100" t="s">
        <v>2661</v>
      </c>
      <c r="J100" t="s">
        <v>2670</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65" customHeight="1" x14ac:dyDescent="0.25">
      <c r="A101" s="9" t="str">
        <f>IF(ISBLANK('Signal Definition'!J101),"",'Signal Definition'!J101)</f>
        <v>DrvrMdl_vVehSpdLimMax_PHY</v>
      </c>
      <c r="B101" s="9">
        <f t="array" ref="B101">COUNT(FIND("input",$D101:$BY101))</f>
        <v>1</v>
      </c>
      <c r="C101" s="9">
        <f t="array" ref="C101">COUNT(FIND("output",$D101:$BY101))</f>
        <v>1</v>
      </c>
      <c r="E101" t="s">
        <v>2661</v>
      </c>
      <c r="J101" t="s">
        <v>2670</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65" customHeight="1" x14ac:dyDescent="0.25">
      <c r="A102" s="9" t="str">
        <f>IF(ISBLANK('Signal Definition'!J102),"",'Signal Definition'!J102)</f>
        <v>EnvMdl_pEnv_PHY</v>
      </c>
      <c r="B102" s="9">
        <f t="array" ref="B102">COUNT(FIND("input",$D102:$BY102))</f>
        <v>7</v>
      </c>
      <c r="C102" s="9">
        <f t="array" ref="C102">COUNT(FIND("output",$D102:$BY102))</f>
        <v>1</v>
      </c>
      <c r="F102" t="s">
        <v>2661</v>
      </c>
      <c r="J102" t="s">
        <v>2670</v>
      </c>
      <c r="K102" t="s">
        <v>2670</v>
      </c>
      <c r="L102" t="s">
        <v>2670</v>
      </c>
      <c r="U102" s="9"/>
      <c r="V102" s="9"/>
      <c r="W102" s="9"/>
      <c r="X102" s="9"/>
      <c r="Y102" s="9"/>
      <c r="Z102" s="9"/>
      <c r="AA102" s="9"/>
      <c r="AB102" s="9"/>
      <c r="AC102" s="9"/>
      <c r="AD102" s="9" t="s">
        <v>2670</v>
      </c>
      <c r="AE102" s="9"/>
      <c r="AF102" s="9" t="s">
        <v>2670</v>
      </c>
      <c r="AG102" s="9"/>
      <c r="AH102" s="9"/>
      <c r="AI102" s="9"/>
      <c r="AJ102" s="9"/>
      <c r="AK102" s="9"/>
      <c r="AL102" s="9"/>
      <c r="AM102" s="9" t="s">
        <v>2670</v>
      </c>
      <c r="AN102" s="9" t="s">
        <v>2670</v>
      </c>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65" customHeight="1" x14ac:dyDescent="0.25">
      <c r="A103" s="9" t="str">
        <f>IF(ISBLANK('Signal Definition'!J103),"",'Signal Definition'!J103)</f>
        <v>EnvMdl_tEnv_PHY</v>
      </c>
      <c r="B103" s="9">
        <f t="array" ref="B103">COUNT(FIND("input",$D103:$BY103))</f>
        <v>11</v>
      </c>
      <c r="C103" s="9">
        <f t="array" ref="C103">COUNT(FIND("output",$D103:$BY103))</f>
        <v>1</v>
      </c>
      <c r="F103" t="s">
        <v>2661</v>
      </c>
      <c r="J103" t="s">
        <v>2670</v>
      </c>
      <c r="K103" t="s">
        <v>2670</v>
      </c>
      <c r="L103" t="s">
        <v>2670</v>
      </c>
      <c r="P103" t="s">
        <v>2670</v>
      </c>
      <c r="Q103" t="s">
        <v>2670</v>
      </c>
      <c r="R103" t="s">
        <v>2670</v>
      </c>
      <c r="T103" t="s">
        <v>2670</v>
      </c>
      <c r="V103" s="9"/>
      <c r="W103" s="9"/>
      <c r="X103" s="9"/>
      <c r="Y103" s="9"/>
      <c r="Z103" s="9"/>
      <c r="AA103" s="9"/>
      <c r="AB103" s="9"/>
      <c r="AC103" s="9"/>
      <c r="AD103" s="9" t="s">
        <v>2670</v>
      </c>
      <c r="AE103" s="9"/>
      <c r="AF103" s="9" t="s">
        <v>2670</v>
      </c>
      <c r="AG103" s="9"/>
      <c r="AH103" s="9"/>
      <c r="AI103" s="9"/>
      <c r="AJ103" s="9"/>
      <c r="AK103" s="9"/>
      <c r="AL103" s="9"/>
      <c r="AM103" s="9" t="s">
        <v>2670</v>
      </c>
      <c r="AN103" s="9" t="s">
        <v>2670</v>
      </c>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65" customHeight="1" x14ac:dyDescent="0.25">
      <c r="A104" s="9" t="str">
        <f>IF(ISBLANK('Signal Definition'!J104),"",'Signal Definition'!J104)</f>
        <v>EngMdl_pAirFilDs_PHY</v>
      </c>
      <c r="B104" s="9">
        <f t="array" ref="B104">COUNT(FIND("input",$D104:$BY104))</f>
        <v>1</v>
      </c>
      <c r="C104" s="9">
        <f t="array" ref="C104">COUNT(FIND("output",$D104:$BY104))</f>
        <v>1</v>
      </c>
      <c r="J104" t="s">
        <v>2670</v>
      </c>
      <c r="K104" t="s">
        <v>2661</v>
      </c>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65" customHeight="1" x14ac:dyDescent="0.25">
      <c r="A105" s="9" t="str">
        <f>IF(ISBLANK('Signal Definition'!J105),"",'Signal Definition'!J105)</f>
        <v>EngMdl_pAirClrDs_PHY</v>
      </c>
      <c r="B105" s="9">
        <f t="array" ref="B105">COUNT(FIND("input",$D105:$BY105))</f>
        <v>3</v>
      </c>
      <c r="C105" s="9">
        <f t="array" ref="C105">COUNT(FIND("output",$D105:$BY105))</f>
        <v>1</v>
      </c>
      <c r="J105" t="s">
        <v>2670</v>
      </c>
      <c r="K105" t="s">
        <v>2661</v>
      </c>
      <c r="U105" s="9"/>
      <c r="V105" s="9"/>
      <c r="W105" s="9"/>
      <c r="X105" s="9"/>
      <c r="Y105" s="9"/>
      <c r="Z105" s="9"/>
      <c r="AA105" s="9"/>
      <c r="AB105" s="9"/>
      <c r="AC105" s="9"/>
      <c r="AD105" s="9" t="s">
        <v>2670</v>
      </c>
      <c r="AE105" s="9"/>
      <c r="AF105" s="9"/>
      <c r="AG105" s="9" t="s">
        <v>2670</v>
      </c>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65" customHeight="1" x14ac:dyDescent="0.25">
      <c r="A106" s="9" t="str">
        <f>IF(ISBLANK('Signal Definition'!J106),"",'Signal Definition'!J106)</f>
        <v>EngMdl_pIntkMnfld_PHY</v>
      </c>
      <c r="B106" s="9">
        <f t="array" ref="B106">COUNT(FIND("input",$D106:$BY106))</f>
        <v>3</v>
      </c>
      <c r="C106" s="9">
        <f t="array" ref="C106">COUNT(FIND("output",$D106:$BY106))</f>
        <v>1</v>
      </c>
      <c r="J106" t="s">
        <v>2670</v>
      </c>
      <c r="K106" t="s">
        <v>2661</v>
      </c>
      <c r="U106" s="9"/>
      <c r="V106" s="9"/>
      <c r="W106" s="9"/>
      <c r="X106" s="9"/>
      <c r="Y106" s="9"/>
      <c r="Z106" s="9"/>
      <c r="AA106" s="9"/>
      <c r="AB106" s="9"/>
      <c r="AC106" s="9" t="s">
        <v>2670</v>
      </c>
      <c r="AD106" s="9"/>
      <c r="AE106" s="9"/>
      <c r="AF106" s="9" t="s">
        <v>2670</v>
      </c>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65" customHeight="1" x14ac:dyDescent="0.25">
      <c r="A107" s="9" t="str">
        <f>IF(ISBLANK('Signal Definition'!J107),"",'Signal Definition'!J107)</f>
        <v>EngMdl_tIntkMnfld_PHY</v>
      </c>
      <c r="B107" s="9">
        <f t="array" ref="B107">COUNT(FIND("input",$D107:$BY107))</f>
        <v>2</v>
      </c>
      <c r="C107" s="9">
        <f t="array" ref="C107">COUNT(FIND("output",$D107:$BY107))</f>
        <v>1</v>
      </c>
      <c r="J107" t="s">
        <v>2670</v>
      </c>
      <c r="K107" t="s">
        <v>2661</v>
      </c>
      <c r="U107" s="9"/>
      <c r="V107" s="9"/>
      <c r="W107" s="9"/>
      <c r="X107" s="9"/>
      <c r="Y107" s="9"/>
      <c r="Z107" s="9"/>
      <c r="AA107" s="9"/>
      <c r="AB107" s="9"/>
      <c r="AC107" s="9"/>
      <c r="AD107" s="9"/>
      <c r="AE107" s="9"/>
      <c r="AF107" s="9" t="s">
        <v>2670</v>
      </c>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65" customHeight="1" x14ac:dyDescent="0.25">
      <c r="A108" s="9" t="str">
        <f>IF(ISBLANK('Signal Definition'!J108),"",'Signal Definition'!J108)</f>
        <v>EngMdl_tEngCoolt_PHY</v>
      </c>
      <c r="B108" s="9">
        <f t="array" ref="B108">COUNT(FIND("input",$D108:$BY108))</f>
        <v>4</v>
      </c>
      <c r="C108" s="9">
        <f t="array" ref="C108">COUNT(FIND("output",$D108:$BY108))</f>
        <v>1</v>
      </c>
      <c r="J108" t="s">
        <v>2670</v>
      </c>
      <c r="K108" t="s">
        <v>2661</v>
      </c>
      <c r="U108" s="9"/>
      <c r="V108" s="9"/>
      <c r="W108" s="9"/>
      <c r="X108" s="9"/>
      <c r="Y108" s="9"/>
      <c r="Z108" s="9"/>
      <c r="AA108" s="9"/>
      <c r="AB108" s="9"/>
      <c r="AC108" s="9"/>
      <c r="AD108" s="9"/>
      <c r="AE108" s="9"/>
      <c r="AF108" s="9" t="s">
        <v>2670</v>
      </c>
      <c r="AG108" s="9" t="s">
        <v>2670</v>
      </c>
      <c r="AH108" s="9"/>
      <c r="AI108" s="9"/>
      <c r="AJ108" s="9"/>
      <c r="AK108" s="9"/>
      <c r="AL108" s="9"/>
      <c r="AM108" s="9" t="s">
        <v>2670</v>
      </c>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65" customHeight="1" x14ac:dyDescent="0.25">
      <c r="A109" s="9" t="str">
        <f>IF(ISBLANK('Signal Definition'!J109),"",'Signal Definition'!J109)</f>
        <v>EngMdl_tFu_PHY</v>
      </c>
      <c r="B109" s="9">
        <f t="array" ref="B109">COUNT(FIND("input",$D109:$BY109))</f>
        <v>3</v>
      </c>
      <c r="C109" s="9">
        <f t="array" ref="C109">COUNT(FIND("output",$D109:$BY109))</f>
        <v>1</v>
      </c>
      <c r="J109" t="s">
        <v>2670</v>
      </c>
      <c r="K109" t="s">
        <v>2661</v>
      </c>
      <c r="U109" s="9"/>
      <c r="V109" s="9"/>
      <c r="W109" s="9"/>
      <c r="X109" s="9"/>
      <c r="Y109" s="9"/>
      <c r="Z109" s="9"/>
      <c r="AA109" s="9"/>
      <c r="AB109" s="9"/>
      <c r="AC109" s="9"/>
      <c r="AD109" s="9"/>
      <c r="AE109" s="9"/>
      <c r="AF109" s="9" t="s">
        <v>2670</v>
      </c>
      <c r="AG109" s="9" t="s">
        <v>2670</v>
      </c>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65" customHeight="1" x14ac:dyDescent="0.25">
      <c r="A110" s="9" t="str">
        <f>IF(ISBLANK('Signal Definition'!J110),"",'Signal Definition'!J110)</f>
        <v>EngMdl_tOil_PHY</v>
      </c>
      <c r="B110" s="9">
        <f t="array" ref="B110">COUNT(FIND("input",$D110:$BY110))</f>
        <v>2</v>
      </c>
      <c r="C110" s="9">
        <f t="array" ref="C110">COUNT(FIND("output",$D110:$BY110))</f>
        <v>1</v>
      </c>
      <c r="J110" t="s">
        <v>2670</v>
      </c>
      <c r="K110" t="s">
        <v>2661</v>
      </c>
      <c r="U110" s="9"/>
      <c r="V110" s="9"/>
      <c r="W110" s="9"/>
      <c r="X110" s="9"/>
      <c r="Y110" s="9"/>
      <c r="Z110" s="9"/>
      <c r="AA110" s="9"/>
      <c r="AB110" s="9"/>
      <c r="AC110" s="9"/>
      <c r="AD110" s="9"/>
      <c r="AE110" s="9"/>
      <c r="AF110" s="9"/>
      <c r="AG110" s="9" t="s">
        <v>2670</v>
      </c>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65" customHeight="1" x14ac:dyDescent="0.25">
      <c r="A111" s="9" t="str">
        <f>IF(ISBLANK('Signal Definition'!J111),"",'Signal Definition'!J111)</f>
        <v>LgtVehMdl_aVeh_PHY</v>
      </c>
      <c r="B111" s="9">
        <f t="array" ref="B111">COUNT(FIND("input",$D111:$BY111))</f>
        <v>3</v>
      </c>
      <c r="C111" s="9">
        <f t="array" ref="C111">COUNT(FIND("output",$D111:$BY111))</f>
        <v>1</v>
      </c>
      <c r="G111" t="s">
        <v>2661</v>
      </c>
      <c r="H111" t="s">
        <v>2670</v>
      </c>
      <c r="I111" t="s">
        <v>2670</v>
      </c>
      <c r="U111" s="9"/>
      <c r="V111" s="9" t="s">
        <v>2670</v>
      </c>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65" customHeight="1" x14ac:dyDescent="0.25">
      <c r="A112" s="9" t="str">
        <f>IF(ISBLANK('Signal Definition'!J112),"",'Signal Definition'!J112)</f>
        <v>LgtVehMdl_mVehTot_PHY</v>
      </c>
      <c r="B112" s="9">
        <f t="array" ref="B112">COUNT(FIND("input",$D112:$BY112))</f>
        <v>2</v>
      </c>
      <c r="C112" s="9">
        <f t="array" ref="C112">COUNT(FIND("output",$D112:$BY112))</f>
        <v>1</v>
      </c>
      <c r="E112" t="s">
        <v>2670</v>
      </c>
      <c r="G112" t="s">
        <v>2661</v>
      </c>
      <c r="H112" t="s">
        <v>2670</v>
      </c>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65" customHeight="1" x14ac:dyDescent="0.25">
      <c r="A113" s="9" t="str">
        <f>IF(ISBLANK('Signal Definition'!J113),"",'Signal Definition'!J113)</f>
        <v>LgtVehMdl_trqVehRTot_PHY</v>
      </c>
      <c r="B113" s="9">
        <f t="array" ref="B113">COUNT(FIND("input",$D113:$BY113))</f>
        <v>1</v>
      </c>
      <c r="C113" s="9">
        <f t="array" ref="C113">COUNT(FIND("output",$D113:$BY113))</f>
        <v>1</v>
      </c>
      <c r="G113" t="s">
        <v>2661</v>
      </c>
      <c r="I113" t="s">
        <v>2670</v>
      </c>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65" customHeight="1" x14ac:dyDescent="0.25">
      <c r="A114" s="9" t="str">
        <f>IF(ISBLANK('Signal Definition'!J114),"",'Signal Definition'!J114)</f>
        <v>LgtVehMdl_jWhlTot_PHY</v>
      </c>
      <c r="B114" s="9">
        <f t="array" ref="B114">COUNT(FIND("input",$D114:$BY114))</f>
        <v>1</v>
      </c>
      <c r="C114" s="9">
        <f t="array" ref="C114">COUNT(FIND("output",$D114:$BY114))</f>
        <v>1</v>
      </c>
      <c r="G114" t="s">
        <v>2661</v>
      </c>
      <c r="I114" t="s">
        <v>2670</v>
      </c>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65" customHeight="1" x14ac:dyDescent="0.25">
      <c r="A115" s="9" t="str">
        <f>IF(ISBLANK('Signal Definition'!J115),"",'Signal Definition'!J115)</f>
        <v>LgtVehMdl_lWhlRd_PHY</v>
      </c>
      <c r="B115" s="9">
        <f t="array" ref="B115">COUNT(FIND("input",$D115:$BY115))</f>
        <v>1</v>
      </c>
      <c r="C115" s="9">
        <f t="array" ref="C115">COUNT(FIND("output",$D115:$BY115))</f>
        <v>1</v>
      </c>
      <c r="G115" t="s">
        <v>2661</v>
      </c>
      <c r="I115" t="s">
        <v>2670</v>
      </c>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65" customHeight="1" x14ac:dyDescent="0.25">
      <c r="A116" s="9" t="str">
        <f>IF(ISBLANK('Signal Definition'!J116),"",'Signal Definition'!J116)</f>
        <v>EngMdl_mflExhGas_PHY</v>
      </c>
      <c r="B116" s="9">
        <f t="array" ref="B116">COUNT(FIND("input",$D116:$BY116))</f>
        <v>3</v>
      </c>
      <c r="C116" s="9">
        <f t="array" ref="C116">COUNT(FIND("output",$D116:$BY116))</f>
        <v>1</v>
      </c>
      <c r="D116" s="9"/>
      <c r="E116" s="9"/>
      <c r="F116" s="9"/>
      <c r="G116" s="9"/>
      <c r="H116" s="9"/>
      <c r="I116" s="9"/>
      <c r="J116" s="9" t="s">
        <v>2670</v>
      </c>
      <c r="K116" s="9" t="s">
        <v>2661</v>
      </c>
      <c r="L116" s="9" t="s">
        <v>2670</v>
      </c>
      <c r="M116" s="9"/>
      <c r="N116" s="9"/>
      <c r="O116" s="9"/>
      <c r="P116" s="9"/>
      <c r="Q116" s="9"/>
      <c r="R116" s="9"/>
      <c r="S116" s="9"/>
      <c r="T116" s="9"/>
      <c r="U116" s="9"/>
      <c r="V116" s="9"/>
      <c r="W116" s="9"/>
      <c r="X116" s="9"/>
      <c r="Y116" s="9"/>
      <c r="Z116" s="9"/>
      <c r="AA116" s="9"/>
      <c r="AB116" s="9" t="s">
        <v>2670</v>
      </c>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65" customHeight="1" x14ac:dyDescent="0.25">
      <c r="A117" s="9" t="str">
        <f>IF(ISBLANK('Signal Definition'!J117),"",'Signal Definition'!J117)</f>
        <v>EngMdl_mflFu_PHY</v>
      </c>
      <c r="B117" s="9">
        <f t="array" ref="B117">COUNT(FIND("input",$D117:$BY117))</f>
        <v>0</v>
      </c>
      <c r="C117" s="9">
        <f t="array" ref="C117">COUNT(FIND("output",$D117:$BY117))</f>
        <v>1</v>
      </c>
      <c r="K117" t="s">
        <v>2661</v>
      </c>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65" customHeight="1" x14ac:dyDescent="0.25">
      <c r="A118" s="9" t="str">
        <f>IF(ISBLANK('Signal Definition'!J118),"",'Signal Definition'!J118)</f>
        <v>EngMdl_ratPM_PHY</v>
      </c>
      <c r="B118" s="9">
        <f t="array" ref="B118">COUNT(FIND("input",$D118:$BY118))</f>
        <v>1</v>
      </c>
      <c r="C118" s="9">
        <f t="array" ref="C118">COUNT(FIND("output",$D118:$BY118))</f>
        <v>1</v>
      </c>
      <c r="D118" s="9"/>
      <c r="E118" s="9"/>
      <c r="F118" s="9"/>
      <c r="G118" s="9"/>
      <c r="H118" s="9"/>
      <c r="I118" s="9"/>
      <c r="J118" s="9"/>
      <c r="K118" s="9" t="s">
        <v>2661</v>
      </c>
      <c r="L118" s="9" t="s">
        <v>2670</v>
      </c>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65" customHeight="1" x14ac:dyDescent="0.25">
      <c r="A119" s="9" t="str">
        <f>IF(ISBLANK('Signal Definition'!J119),"",'Signal Definition'!J119)</f>
        <v>EnvMdl_rhoAir_PHY</v>
      </c>
      <c r="B119" s="9">
        <f t="array" ref="B119">COUNT(FIND("input",$D119:$BY119))</f>
        <v>1</v>
      </c>
      <c r="C119" s="9">
        <f t="array" ref="C119">COUNT(FIND("output",$D119:$BY119))</f>
        <v>1</v>
      </c>
      <c r="F119" t="s">
        <v>2661</v>
      </c>
      <c r="G119" t="s">
        <v>2670</v>
      </c>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65" customHeight="1" x14ac:dyDescent="0.25">
      <c r="A120" s="9" t="str">
        <f>IF(ISBLANK('Signal Definition'!J120),"",'Signal Definition'!J120)</f>
        <v>EnvMdl_aGrvy_PHY</v>
      </c>
      <c r="B120" s="9">
        <f t="array" ref="B120">COUNT(FIND("input",$D120:$BY120))</f>
        <v>1</v>
      </c>
      <c r="C120" s="9">
        <f t="array" ref="C120">COUNT(FIND("output",$D120:$BY120))</f>
        <v>1</v>
      </c>
      <c r="F120" t="s">
        <v>2661</v>
      </c>
      <c r="G120" t="s">
        <v>2670</v>
      </c>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65" customHeight="1" x14ac:dyDescent="0.25">
      <c r="A121" s="9" t="str">
        <f>IF(ISBLANK('Signal Definition'!J121),"",'Signal Definition'!J121)</f>
        <v>RefSpdGenr_vRefSpd_CLD</v>
      </c>
      <c r="B121" s="9">
        <f t="array" ref="B121">COUNT(FIND("input",$D121:$BY121))</f>
        <v>2</v>
      </c>
      <c r="C121" s="9">
        <f t="array" ref="C121">COUNT(FIND("output",$D121:$BY121))</f>
        <v>1</v>
      </c>
      <c r="D121" t="s">
        <v>2661</v>
      </c>
      <c r="E121" t="s">
        <v>2670</v>
      </c>
      <c r="G121" t="s">
        <v>2670</v>
      </c>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65" customHeight="1" x14ac:dyDescent="0.25">
      <c r="A122" s="9" t="str">
        <f>IF(ISBLANK('Signal Definition'!J122),"",'Signal Definition'!J122)</f>
        <v>EngMdl_tExhMnfld_PHY</v>
      </c>
      <c r="B122" s="9">
        <f t="array" ref="B122">COUNT(FIND("input",$D122:$BY122))</f>
        <v>1</v>
      </c>
      <c r="C122" s="9">
        <f t="array" ref="C122">COUNT(FIND("output",$D122:$BY122))</f>
        <v>1</v>
      </c>
      <c r="K122" t="s">
        <v>2661</v>
      </c>
      <c r="V122" s="9"/>
      <c r="W122" s="9"/>
      <c r="X122" s="9"/>
      <c r="Y122" s="9"/>
      <c r="Z122" s="9"/>
      <c r="AA122" s="9"/>
      <c r="AB122" s="9"/>
      <c r="AC122" s="9"/>
      <c r="AD122" s="9"/>
      <c r="AE122" s="9"/>
      <c r="AF122" s="9"/>
      <c r="AG122" s="9" t="s">
        <v>2670</v>
      </c>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65" customHeight="1" x14ac:dyDescent="0.25">
      <c r="A123" s="9" t="str">
        <f>IF(ISBLANK('Signal Definition'!J123),"",'Signal Definition'!J123)</f>
        <v>EngMdl_tTrbDs_PHY</v>
      </c>
      <c r="B123" s="9">
        <f t="array" ref="B123">COUNT(FIND("input",$D123:$BY123))</f>
        <v>1</v>
      </c>
      <c r="C123" s="9">
        <f t="array" ref="C123">COUNT(FIND("output",$D123:$BY123))</f>
        <v>1</v>
      </c>
      <c r="K123" t="s">
        <v>2661</v>
      </c>
      <c r="V123" s="9"/>
      <c r="W123" s="9"/>
      <c r="X123" s="9"/>
      <c r="Y123" s="9"/>
      <c r="Z123" s="9"/>
      <c r="AA123" s="9"/>
      <c r="AB123" s="9"/>
      <c r="AC123" s="9"/>
      <c r="AD123" s="9" t="s">
        <v>2670</v>
      </c>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65" customHeight="1" x14ac:dyDescent="0.25">
      <c r="A124" s="9" t="str">
        <f>IF(ISBLANK('Signal Definition'!J124),"",'Signal Definition'!J124)</f>
        <v>EnvMdl_rdSunRadtn_PHY</v>
      </c>
      <c r="B124" s="9">
        <f t="array" ref="B124">COUNT(FIND("input",$D124:$BY124))</f>
        <v>1</v>
      </c>
      <c r="C124" s="9">
        <f t="array" ref="C124">COUNT(FIND("output",$D124:$BY124))</f>
        <v>1</v>
      </c>
      <c r="F124" t="s">
        <v>2661</v>
      </c>
      <c r="Q124" t="s">
        <v>2670</v>
      </c>
    </row>
    <row r="125" spans="1:65" ht="14.65" customHeight="1" x14ac:dyDescent="0.25">
      <c r="A125" s="9" t="str">
        <f>IF(ISBLANK('Signal Definition'!J125),"",'Signal Definition'!J125)</f>
        <v>ElecSys_stBattStOfChrg_PHY</v>
      </c>
      <c r="B125" s="9">
        <f t="array" ref="B125">COUNT(FIND("input",$D125:$BY125))</f>
        <v>1</v>
      </c>
      <c r="C125" s="9">
        <f t="array" ref="C125">COUNT(FIND("output",$D125:$BY125))</f>
        <v>1</v>
      </c>
      <c r="T125" t="s">
        <v>2661</v>
      </c>
      <c r="V125" t="s">
        <v>2670</v>
      </c>
    </row>
    <row r="126" spans="1:65" ht="14.65" customHeight="1" x14ac:dyDescent="0.25">
      <c r="A126" s="9" t="str">
        <f>IF(ISBLANK('Signal Definition'!J126),"",'Signal Definition'!J126)</f>
        <v>ElecSys_nGenr_PHY</v>
      </c>
      <c r="B126" s="9">
        <f t="array" ref="B126">COUNT(FIND("input",$D126:$BY126))</f>
        <v>1</v>
      </c>
      <c r="C126" s="9">
        <f t="array" ref="C126">COUNT(FIND("output",$D126:$BY126))</f>
        <v>1</v>
      </c>
      <c r="T126" t="s">
        <v>2661</v>
      </c>
      <c r="V126" t="s">
        <v>2670</v>
      </c>
    </row>
    <row r="127" spans="1:65" ht="14.65" customHeight="1" x14ac:dyDescent="0.25">
      <c r="A127" s="9" t="str">
        <f>IF(ISBLANK('Signal Definition'!J127),"",'Signal Definition'!J127)</f>
        <v>AirCdn_pwrRqrdMecl_PHY</v>
      </c>
      <c r="B127" s="9">
        <f t="array" ref="B127">COUNT(FIND("input",$D127:$BY127))</f>
        <v>0</v>
      </c>
      <c r="C127" s="9">
        <f t="array" ref="C127">COUNT(FIND("output",$D127:$BY127))</f>
        <v>1</v>
      </c>
      <c r="Q127" t="s">
        <v>2661</v>
      </c>
    </row>
    <row r="128" spans="1:65" ht="14.65" customHeight="1" x14ac:dyDescent="0.25">
      <c r="A128" s="9" t="str">
        <f>IF(ISBLANK('Signal Definition'!J128),"",'Signal Definition'!J128)</f>
        <v>AuxTqSum_trqAuxTqSum_PHY</v>
      </c>
      <c r="B128" s="9">
        <f t="array" ref="B128">COUNT(FIND("input",$D128:$BY128))</f>
        <v>2</v>
      </c>
      <c r="C128" s="9">
        <f t="array" ref="C128">COUNT(FIND("output",$D128:$BY128))</f>
        <v>1</v>
      </c>
      <c r="I128" t="s">
        <v>2670</v>
      </c>
      <c r="J128" t="s">
        <v>2670</v>
      </c>
      <c r="W128" t="s">
        <v>2661</v>
      </c>
    </row>
    <row r="129" spans="1:23" ht="14.65" customHeight="1" x14ac:dyDescent="0.25">
      <c r="A129" s="9" t="str">
        <f>IF(ISBLANK('Signal Definition'!J129),"",'Signal Definition'!J129)</f>
        <v>AuxTqSum_jAuxJSum_PHY</v>
      </c>
      <c r="B129" s="9">
        <f t="array" ref="B129">COUNT(FIND("input",$D129:$BY129))</f>
        <v>0</v>
      </c>
      <c r="C129" s="9">
        <f t="array" ref="C129">COUNT(FIND("output",$D129:$BY129))</f>
        <v>1</v>
      </c>
      <c r="W129" t="s">
        <v>2661</v>
      </c>
    </row>
    <row r="130" spans="1:23" ht="14.65" customHeight="1" x14ac:dyDescent="0.25">
      <c r="A130" s="9" t="str">
        <f>IF(ISBLANK('Signal Definition'!J130),"",'Signal Definition'!J130)</f>
        <v>WtrPmp_jWtrPmpDrvJ_INT</v>
      </c>
      <c r="B130" s="9">
        <f t="array" ref="B130">COUNT(FIND("input",$D130:$BY130))</f>
        <v>1</v>
      </c>
      <c r="C130" s="9">
        <f t="array" ref="C130">COUNT(FIND("output",$D130:$BY130))</f>
        <v>1</v>
      </c>
      <c r="S130" t="s">
        <v>2661</v>
      </c>
      <c r="W130" t="s">
        <v>2670</v>
      </c>
    </row>
    <row r="131" spans="1:23" ht="14.65" customHeight="1" x14ac:dyDescent="0.25">
      <c r="A131" s="9" t="str">
        <f>IF(ISBLANK('Signal Definition'!J131),"",'Signal Definition'!J131)</f>
        <v>ElecSys_jMotGenrDrvJ_INT</v>
      </c>
      <c r="B131" s="9">
        <f t="array" ref="B131">COUNT(FIND("input",$D131:$BY131))</f>
        <v>1</v>
      </c>
      <c r="C131" s="9">
        <f t="array" ref="C131">COUNT(FIND("output",$D131:$BY131))</f>
        <v>1</v>
      </c>
      <c r="T131" t="s">
        <v>2661</v>
      </c>
      <c r="W131" t="s">
        <v>2670</v>
      </c>
    </row>
    <row r="132" spans="1:23" ht="14.65" customHeight="1" x14ac:dyDescent="0.25">
      <c r="A132" s="9" t="str">
        <f>IF(ISBLANK('Signal Definition'!J132),"",'Signal Definition'!J132)</f>
        <v>ElecSys_trqMotGenrDrvTq_INT</v>
      </c>
      <c r="B132" s="9">
        <f t="array" ref="B132">COUNT(FIND("input",$D132:$BY132))</f>
        <v>1</v>
      </c>
      <c r="C132" s="9">
        <f t="array" ref="C132">COUNT(FIND("output",$D132:$BY132))</f>
        <v>1</v>
      </c>
      <c r="T132" t="s">
        <v>2661</v>
      </c>
      <c r="W132" t="s">
        <v>2670</v>
      </c>
    </row>
    <row r="133" spans="1:23" ht="14.65" customHeight="1" x14ac:dyDescent="0.25">
      <c r="A133" s="9" t="str">
        <f>IF(ISBLANK('Signal Definition'!J133),"",'Signal Definition'!J133)</f>
        <v>WtrPmp_trqWtrPmpDrvTq_INT</v>
      </c>
      <c r="B133" s="9">
        <f t="array" ref="B133">COUNT(FIND("input",$D133:$BY133))</f>
        <v>1</v>
      </c>
      <c r="C133" s="9">
        <f t="array" ref="C133">COUNT(FIND("output",$D133:$BY133))</f>
        <v>1</v>
      </c>
      <c r="S133" t="s">
        <v>2661</v>
      </c>
      <c r="W133" t="s">
        <v>2670</v>
      </c>
    </row>
    <row r="134" spans="1:23" ht="14.65" customHeight="1" x14ac:dyDescent="0.25">
      <c r="A134" s="9" t="str">
        <f>IF(ISBLANK('Signal Definition'!J134),"",'Signal Definition'!J134)</f>
        <v>PnmSys_jPnmSysDrvJ_INT</v>
      </c>
      <c r="B134" s="9">
        <f t="array" ref="B134">COUNT(FIND("input",$D134:$BY134))</f>
        <v>1</v>
      </c>
      <c r="C134" s="9">
        <f t="array" ref="C134">COUNT(FIND("output",$D134:$BY134))</f>
        <v>1</v>
      </c>
      <c r="O134" t="s">
        <v>2661</v>
      </c>
      <c r="W134" t="s">
        <v>2670</v>
      </c>
    </row>
    <row r="135" spans="1:23" ht="14.65" customHeight="1" x14ac:dyDescent="0.25">
      <c r="A135" s="9" t="str">
        <f>IF(ISBLANK('Signal Definition'!J135),"",'Signal Definition'!J135)</f>
        <v>PnmSys_trqAirCmprDrvTq_INT</v>
      </c>
      <c r="B135" s="9">
        <f t="array" ref="B135">COUNT(FIND("input",$D135:$BY135))</f>
        <v>1</v>
      </c>
      <c r="C135" s="9">
        <f t="array" ref="C135">COUNT(FIND("output",$D135:$BY135))</f>
        <v>1</v>
      </c>
      <c r="O135" t="s">
        <v>2661</v>
      </c>
      <c r="W135" t="s">
        <v>2670</v>
      </c>
    </row>
    <row r="136" spans="1:23" ht="14.65" customHeight="1" x14ac:dyDescent="0.25">
      <c r="A136" s="9" t="str">
        <f>IF(ISBLANK('Signal Definition'!J136),"",'Signal Definition'!J136)</f>
        <v>AirCdn_trqAirCdnReqd_INT</v>
      </c>
      <c r="B136" s="9">
        <f t="array" ref="B136">COUNT(FIND("input",$D136:$BY136))</f>
        <v>1</v>
      </c>
      <c r="C136" s="9">
        <f t="array" ref="C136">COUNT(FIND("output",$D136:$BY136))</f>
        <v>1</v>
      </c>
      <c r="Q136" t="s">
        <v>2661</v>
      </c>
      <c r="W136" t="s">
        <v>2670</v>
      </c>
    </row>
    <row r="137" spans="1:23" ht="14.65" customHeight="1" x14ac:dyDescent="0.25">
      <c r="A137" s="9" t="str">
        <f>IF(ISBLANK('Signal Definition'!J137),"",'Signal Definition'!J137)</f>
        <v>AirCdn_jAirCdnCmpr_INT</v>
      </c>
      <c r="B137" s="9">
        <f t="array" ref="B137">COUNT(FIND("input",$D137:$BY137))</f>
        <v>1</v>
      </c>
      <c r="C137" s="9">
        <f t="array" ref="C137">COUNT(FIND("output",$D137:$BY137))</f>
        <v>1</v>
      </c>
      <c r="Q137" t="s">
        <v>2661</v>
      </c>
      <c r="W137" t="s">
        <v>2670</v>
      </c>
    </row>
    <row r="138" spans="1:23" ht="14.65" customHeight="1" x14ac:dyDescent="0.25">
      <c r="A138" s="9" t="str">
        <f>IF(ISBLANK('Signal Definition'!J138),"",'Signal Definition'!J138)</f>
        <v>CoolgFan_trqCoolgFanDrvTq_INT</v>
      </c>
      <c r="B138" s="9">
        <f t="array" ref="B138">COUNT(FIND("input",$D138:$BY138))</f>
        <v>1</v>
      </c>
      <c r="C138" s="9">
        <f t="array" ref="C138">COUNT(FIND("output",$D138:$BY138))</f>
        <v>1</v>
      </c>
      <c r="R138" t="s">
        <v>2661</v>
      </c>
      <c r="W138" t="s">
        <v>2670</v>
      </c>
    </row>
    <row r="139" spans="1:23" ht="14.65" customHeight="1" x14ac:dyDescent="0.25">
      <c r="A139" s="9" t="str">
        <f>IF(ISBLANK('Signal Definition'!J139),"",'Signal Definition'!J139)</f>
        <v>CoolgFan_jCoolgFanDrvJ_INT</v>
      </c>
      <c r="B139" s="9">
        <f t="array" ref="B139">COUNT(FIND("input",$D139:$BY139))</f>
        <v>1</v>
      </c>
      <c r="C139" s="9">
        <f t="array" ref="C139">COUNT(FIND("output",$D139:$BY139))</f>
        <v>1</v>
      </c>
      <c r="R139" t="s">
        <v>2661</v>
      </c>
      <c r="W139" t="s">
        <v>2670</v>
      </c>
    </row>
    <row r="140" spans="1:23" ht="14.65" customHeight="1" x14ac:dyDescent="0.25">
      <c r="A140" s="9" t="str">
        <f>IF(ISBLANK('Signal Definition'!J140),"",'Signal Definition'!J140)</f>
        <v>CoolgFan_trqCoolgFan_PHY</v>
      </c>
      <c r="B140" s="9">
        <f t="array" ref="B140">COUNT(FIND("input",$D140:$BY140))</f>
        <v>0</v>
      </c>
      <c r="C140" s="9">
        <f t="array" ref="C140">COUNT(FIND("output",$D140:$BY140))</f>
        <v>1</v>
      </c>
      <c r="R140" t="s">
        <v>2661</v>
      </c>
    </row>
    <row r="141" spans="1:23" ht="14.65" customHeight="1" x14ac:dyDescent="0.25">
      <c r="A141" s="9" t="str">
        <f>IF(ISBLANK('Signal Definition'!J141),"",'Signal Definition'!J141)</f>
        <v>ElecSys_pwrBattPwr_PHY</v>
      </c>
      <c r="B141" s="9">
        <f t="array" ref="B141">COUNT(FIND("input",$D141:$BY141))</f>
        <v>0</v>
      </c>
      <c r="C141" s="9">
        <f t="array" ref="C141">COUNT(FIND("output",$D141:$BY141))</f>
        <v>1</v>
      </c>
      <c r="T141" t="s">
        <v>2661</v>
      </c>
    </row>
    <row r="142" spans="1:23" ht="14.65" customHeight="1" x14ac:dyDescent="0.25">
      <c r="A142" s="9" t="str">
        <f>IF(ISBLANK('Signal Definition'!J142),"",'Signal Definition'!J142)</f>
        <v>ElecSys_uBattTerminalU_PHY</v>
      </c>
      <c r="B142" s="9">
        <f t="array" ref="B142">COUNT(FIND("input",$D142:$BY142))</f>
        <v>0</v>
      </c>
      <c r="C142" s="9">
        <f t="array" ref="C142">COUNT(FIND("output",$D142:$BY142))</f>
        <v>1</v>
      </c>
      <c r="T142" t="s">
        <v>2661</v>
      </c>
    </row>
    <row r="143" spans="1:23" ht="14.65" customHeight="1" x14ac:dyDescent="0.25">
      <c r="A143" s="9" t="str">
        <f>IF(ISBLANK('Signal Definition'!J143),"",'Signal Definition'!J143)</f>
        <v>ElecSys_chrgBattChrg_PHY</v>
      </c>
      <c r="B143" s="9">
        <f t="array" ref="B143">COUNT(FIND("input",$D143:$BY143))</f>
        <v>0</v>
      </c>
      <c r="C143" s="9">
        <f t="array" ref="C143">COUNT(FIND("output",$D143:$BY143))</f>
        <v>1</v>
      </c>
      <c r="T143" t="s">
        <v>2661</v>
      </c>
    </row>
    <row r="144" spans="1:23" ht="14.65" customHeight="1" x14ac:dyDescent="0.25">
      <c r="A144" s="9" t="str">
        <f>IF(ISBLANK('Signal Definition'!J144),"",'Signal Definition'!J144)</f>
        <v>ElecSys_tBattT_PHY</v>
      </c>
      <c r="B144" s="9">
        <f t="array" ref="B144">COUNT(FIND("input",$D144:$BY144))</f>
        <v>0</v>
      </c>
      <c r="C144" s="9">
        <f t="array" ref="C144">COUNT(FIND("output",$D144:$BY144))</f>
        <v>1</v>
      </c>
      <c r="T144" t="s">
        <v>2661</v>
      </c>
    </row>
    <row r="145" spans="1:40" ht="14.65" customHeight="1" x14ac:dyDescent="0.25">
      <c r="A145" s="9" t="str">
        <f>IF(ISBLANK('Signal Definition'!J145),"",'Signal Definition'!J145)</f>
        <v>ElecSys_pwrBattPwrMaxAvl_PHY</v>
      </c>
      <c r="B145" s="9">
        <f t="array" ref="B145">COUNT(FIND("input",$D145:$BY145))</f>
        <v>1</v>
      </c>
      <c r="C145" s="9">
        <f t="array" ref="C145">COUNT(FIND("output",$D145:$BY145))</f>
        <v>1</v>
      </c>
      <c r="T145" t="s">
        <v>2661</v>
      </c>
      <c r="V145" t="s">
        <v>2670</v>
      </c>
    </row>
    <row r="146" spans="1:40" ht="14.65" customHeight="1" x14ac:dyDescent="0.25">
      <c r="A146" s="9" t="str">
        <f>IF(ISBLANK('Signal Definition'!J146),"",'Signal Definition'!J146)</f>
        <v>ElecSys_pwrBattPwrMinAvl_PHY</v>
      </c>
      <c r="B146" s="9">
        <f t="array" ref="B146">COUNT(FIND("input",$D146:$BY146))</f>
        <v>1</v>
      </c>
      <c r="C146" s="9">
        <f t="array" ref="C146">COUNT(FIND("output",$D146:$BY146))</f>
        <v>1</v>
      </c>
      <c r="T146" t="s">
        <v>2661</v>
      </c>
      <c r="V146" t="s">
        <v>2670</v>
      </c>
    </row>
    <row r="147" spans="1:40" ht="14.65" customHeight="1" x14ac:dyDescent="0.25">
      <c r="A147" s="9" t="str">
        <f>IF(ISBLANK('Signal Definition'!J147),"",'Signal Definition'!J147)</f>
        <v>ElecSys_pwrMotGenrPwrMax_PHY</v>
      </c>
      <c r="B147" s="9">
        <f t="array" ref="B147">COUNT(FIND("input",$D147:$BY147))</f>
        <v>1</v>
      </c>
      <c r="C147" s="9">
        <f t="array" ref="C147">COUNT(FIND("output",$D147:$BY147))</f>
        <v>1</v>
      </c>
      <c r="T147" t="s">
        <v>2661</v>
      </c>
      <c r="V147" t="s">
        <v>2670</v>
      </c>
    </row>
    <row r="148" spans="1:40" ht="14.65" customHeight="1" x14ac:dyDescent="0.25">
      <c r="A148" s="9" t="str">
        <f>IF(ISBLANK('Signal Definition'!J148),"",'Signal Definition'!J148)</f>
        <v>ElecSys_pwrMotGenrPwrMin_PHY</v>
      </c>
      <c r="B148" s="9">
        <f t="array" ref="B148">COUNT(FIND("input",$D148:$BY148))</f>
        <v>1</v>
      </c>
      <c r="C148" s="9">
        <f t="array" ref="C148">COUNT(FIND("output",$D148:$BY148))</f>
        <v>1</v>
      </c>
      <c r="T148" t="s">
        <v>2661</v>
      </c>
      <c r="V148" t="s">
        <v>2670</v>
      </c>
    </row>
    <row r="149" spans="1:40" ht="14.65" customHeight="1" x14ac:dyDescent="0.25">
      <c r="A149" s="9" t="str">
        <f>IF(ISBLANK('Signal Definition'!J149),"",'Signal Definition'!J149)</f>
        <v>ElecSys_trqMotGenr_PHY</v>
      </c>
      <c r="B149" s="9">
        <f t="array" ref="B149">COUNT(FIND("input",$D149:$BY149))</f>
        <v>1</v>
      </c>
      <c r="C149" s="9">
        <f t="array" ref="C149">COUNT(FIND("output",$D149:$BY149))</f>
        <v>1</v>
      </c>
      <c r="T149" t="s">
        <v>2661</v>
      </c>
      <c r="V149" t="s">
        <v>2670</v>
      </c>
    </row>
    <row r="150" spans="1:40" ht="14.65" customHeight="1" x14ac:dyDescent="0.25">
      <c r="A150" s="9" t="str">
        <f>IF(ISBLANK('Signal Definition'!J150),"",'Signal Definition'!J150)</f>
        <v>ElecSys_pwrMotGenrElecPwr_PHY</v>
      </c>
      <c r="B150" s="9">
        <f t="array" ref="B150">COUNT(FIND("input",$D150:$BY150))</f>
        <v>0</v>
      </c>
      <c r="C150" s="9">
        <f t="array" ref="C150">COUNT(FIND("output",$D150:$BY150))</f>
        <v>1</v>
      </c>
      <c r="T150" t="s">
        <v>2661</v>
      </c>
    </row>
    <row r="151" spans="1:40" ht="14.65" customHeight="1" x14ac:dyDescent="0.25">
      <c r="A151" s="9" t="str">
        <f>IF(ISBLANK('Signal Definition'!J151),"",'Signal Definition'!J151)</f>
        <v>CoolgFan_nCoolgFan_INT</v>
      </c>
      <c r="B151" s="9">
        <f t="array" ref="B151">COUNT(FIND("input",$D151:$BY151))</f>
        <v>1</v>
      </c>
      <c r="C151" s="9">
        <f t="array" ref="C151">COUNT(FIND("output",$D151:$BY151))</f>
        <v>1</v>
      </c>
      <c r="P151" t="s">
        <v>2670</v>
      </c>
      <c r="R151" t="s">
        <v>2661</v>
      </c>
    </row>
    <row r="152" spans="1:40" ht="14.65" customHeight="1" x14ac:dyDescent="0.25">
      <c r="A152" s="9" t="str">
        <f>IF(ISBLANK('Signal Definition'!J152),"",'Signal Definition'!J152)</f>
        <v>DrvrMdl_trqDynoReactn_PHY</v>
      </c>
      <c r="B152" s="9">
        <f t="array" ref="B152">COUNT(FIND("input",$D152:$BY152))</f>
        <v>1</v>
      </c>
      <c r="C152" s="9">
        <f t="array" ref="C152">COUNT(FIND("output",$D152:$BY152))</f>
        <v>1</v>
      </c>
      <c r="E152" t="s">
        <v>2661</v>
      </c>
      <c r="I152" t="s">
        <v>2670</v>
      </c>
    </row>
    <row r="153" spans="1:40" ht="14.65" customHeight="1" x14ac:dyDescent="0.25">
      <c r="A153" s="9" t="str">
        <f>IF(ISBLANK('Signal Definition'!J153),"",'Signal Definition'!J153)</f>
        <v>VirtEngDyno_swtDynoActvd_PHY</v>
      </c>
      <c r="B153" s="9">
        <f t="array" ref="B153">COUNT(FIND("input",$D153:$BY153))</f>
        <v>2</v>
      </c>
      <c r="C153" s="9">
        <f t="array" ref="C153">COUNT(FIND("output",$D153:$BY153))</f>
        <v>1</v>
      </c>
      <c r="E153" t="s">
        <v>2670</v>
      </c>
      <c r="I153" t="s">
        <v>2670</v>
      </c>
      <c r="W153" t="s">
        <v>2661</v>
      </c>
    </row>
    <row r="154" spans="1:40" ht="14.65" customHeight="1" x14ac:dyDescent="0.25">
      <c r="A154" s="9" t="str">
        <f>IF(ISBLANK('Signal Definition'!J154),"",'Signal Definition'!J154)</f>
        <v>VirtEngDyno_numDynoMod_PHY</v>
      </c>
      <c r="B154" s="9">
        <f t="array" ref="B154">COUNT(FIND("input",$D154:$BY154))</f>
        <v>1</v>
      </c>
      <c r="C154" s="9">
        <f t="array" ref="C154">COUNT(FIND("output",$D154:$BY154))</f>
        <v>1</v>
      </c>
      <c r="E154" t="s">
        <v>2670</v>
      </c>
      <c r="W154" t="s">
        <v>2661</v>
      </c>
    </row>
    <row r="155" spans="1:40" ht="14.65" customHeight="1" x14ac:dyDescent="0.25">
      <c r="A155" s="9" t="str">
        <f>IF(ISBLANK('Signal Definition'!J155),"",'Signal Definition'!J155)</f>
        <v>VirtEngDyno_nDynoDes_PHY</v>
      </c>
      <c r="B155" s="9">
        <f t="array" ref="B155">COUNT(FIND("input",$D155:$BY155))</f>
        <v>1</v>
      </c>
      <c r="C155" s="9">
        <f t="array" ref="C155">COUNT(FIND("output",$D155:$BY155))</f>
        <v>1</v>
      </c>
      <c r="E155" t="s">
        <v>2670</v>
      </c>
      <c r="W155" t="s">
        <v>2661</v>
      </c>
    </row>
    <row r="156" spans="1:40" ht="14.65" customHeight="1" x14ac:dyDescent="0.25">
      <c r="A156" s="9" t="str">
        <f>IF(ISBLANK('Signal Definition'!J156),"",'Signal Definition'!J156)</f>
        <v>VirtEngDyno_trqDynoDes_PHY</v>
      </c>
      <c r="B156" s="9">
        <f t="array" ref="B156">COUNT(FIND("input",$D156:$BY156))</f>
        <v>1</v>
      </c>
      <c r="C156" s="9">
        <f t="array" ref="C156">COUNT(FIND("output",$D156:$BY156))</f>
        <v>1</v>
      </c>
      <c r="E156" t="s">
        <v>2670</v>
      </c>
      <c r="W156" t="s">
        <v>2661</v>
      </c>
    </row>
    <row r="157" spans="1:40" ht="14.65" customHeight="1" x14ac:dyDescent="0.25">
      <c r="A157" s="9" t="str">
        <f>IF(ISBLANK('Signal Definition'!J157),"",'Signal Definition'!J157)</f>
        <v>VirtEngDyno_prcDynoAccrPedlPosnDes_PHY</v>
      </c>
      <c r="B157" s="9">
        <f t="array" ref="B157">COUNT(FIND("input",$D157:$BY157))</f>
        <v>1</v>
      </c>
      <c r="C157" s="9">
        <f t="array" ref="C157">COUNT(FIND("output",$D157:$BY157))</f>
        <v>1</v>
      </c>
      <c r="E157" t="s">
        <v>2670</v>
      </c>
      <c r="W157" t="s">
        <v>2661</v>
      </c>
    </row>
    <row r="158" spans="1:40" ht="14.65" customHeight="1" x14ac:dyDescent="0.25">
      <c r="A158" s="9" t="str">
        <f>IF(ISBLANK('Signal Definition'!J158),"",'Signal Definition'!J158)</f>
        <v>ElecSys_pwrRqrdElecPwrConsumer_PHY</v>
      </c>
      <c r="B158" s="9">
        <f t="array" ref="B158">COUNT(FIND("input",$D158:$BY158))</f>
        <v>1</v>
      </c>
      <c r="C158" s="9">
        <f t="array" ref="C158">COUNT(FIND("output",$D158:$BY158))</f>
        <v>1</v>
      </c>
      <c r="T158" t="s">
        <v>2661</v>
      </c>
      <c r="V158" t="s">
        <v>2670</v>
      </c>
    </row>
    <row r="159" spans="1:40" ht="14.65" customHeight="1" x14ac:dyDescent="0.25">
      <c r="A159" s="9" t="str">
        <f>IF(ISBLANK('Signal Definition'!J159),"",'Signal Definition'!J159)</f>
        <v>TestCfg_mIniNh3LoadUreaCat_PHY</v>
      </c>
      <c r="B159" s="9">
        <f t="array" ref="B159">COUNT(FIND("input",$D159:$BY159))</f>
        <v>4</v>
      </c>
      <c r="C159" s="9">
        <f t="array" ref="C159">COUNT(FIND("output",$D159:$BY159))</f>
        <v>1</v>
      </c>
      <c r="J159" t="s">
        <v>2670</v>
      </c>
      <c r="L159" t="s">
        <v>2670</v>
      </c>
      <c r="AA159" t="s">
        <v>2661</v>
      </c>
      <c r="AM159" t="s">
        <v>2670</v>
      </c>
      <c r="AN159" t="s">
        <v>2670</v>
      </c>
    </row>
    <row r="160" spans="1:40" ht="14.65" customHeight="1" x14ac:dyDescent="0.25">
      <c r="A160" s="9" t="str">
        <f>IF(ISBLANK('Signal Definition'!J160),"",'Signal Definition'!J160)</f>
        <v>EngMdl_pExhMnfld_PHY</v>
      </c>
      <c r="B160" s="9">
        <f t="array" ref="B160">COUNT(FIND("input",$D160:$BY160))</f>
        <v>1</v>
      </c>
      <c r="C160" s="9">
        <f t="array" ref="C160">COUNT(FIND("output",$D160:$BY160))</f>
        <v>1</v>
      </c>
      <c r="K160" t="s">
        <v>2661</v>
      </c>
      <c r="AG160" t="s">
        <v>2670</v>
      </c>
    </row>
    <row r="161" spans="1:40" ht="14.65" customHeight="1" x14ac:dyDescent="0.25">
      <c r="A161" s="9" t="str">
        <f>IF(ISBLANK('Signal Definition'!J161),"",'Signal Definition'!J161)</f>
        <v>EngMdl_pAftTrb_PHY</v>
      </c>
      <c r="B161" s="9">
        <f t="array" ref="B161">COUNT(FIND("input",$D161:$BY161))</f>
        <v>0</v>
      </c>
      <c r="C161" s="9">
        <f t="array" ref="C161">COUNT(FIND("output",$D161:$BY161))</f>
        <v>1</v>
      </c>
      <c r="K161" t="s">
        <v>2661</v>
      </c>
    </row>
    <row r="162" spans="1:40" ht="14.65" customHeight="1" x14ac:dyDescent="0.25">
      <c r="A162" s="9" t="str">
        <f>IF(ISBLANK('Signal Definition'!J162),"",'Signal Definition'!J162)</f>
        <v>EngMdl_nTrbSpd_PHY</v>
      </c>
      <c r="B162" s="9">
        <f t="array" ref="B162">COUNT(FIND("input",$D162:$BY162))</f>
        <v>2</v>
      </c>
      <c r="C162" s="9">
        <f t="array" ref="C162">COUNT(FIND("output",$D162:$BY162))</f>
        <v>1</v>
      </c>
      <c r="K162" t="s">
        <v>2661</v>
      </c>
      <c r="AD162" t="s">
        <v>2670</v>
      </c>
      <c r="AG162" t="s">
        <v>2670</v>
      </c>
    </row>
    <row r="163" spans="1:40" ht="14.65" customHeight="1" x14ac:dyDescent="0.25">
      <c r="A163" s="9" t="str">
        <f>IF(ISBLANK('Signal Definition'!J163),"",'Signal Definition'!J163)</f>
        <v>AirCdn_tAirCdnIntrAirT_PHY</v>
      </c>
      <c r="B163" s="9">
        <f t="array" ref="B163">COUNT(FIND("input",$D163:$BY163))</f>
        <v>0</v>
      </c>
      <c r="C163" s="9">
        <f t="array" ref="C163">COUNT(FIND("output",$D163:$BY163))</f>
        <v>1</v>
      </c>
      <c r="Q163" t="s">
        <v>2661</v>
      </c>
    </row>
    <row r="164" spans="1:40" ht="14.65" customHeight="1" x14ac:dyDescent="0.25">
      <c r="A164" s="9" t="str">
        <f>IF(ISBLANK('Signal Definition'!J164),"",'Signal Definition'!J164)</f>
        <v>ExhATSysMdl_rNo2PerNoxUreaCatUs_PHY</v>
      </c>
      <c r="B164" s="9">
        <f t="array" ref="B164">COUNT(FIND("input",$D164:$BY164))</f>
        <v>1</v>
      </c>
      <c r="C164" s="9">
        <f t="array" ref="C164">COUNT(FIND("output",$D164:$BY164))</f>
        <v>1</v>
      </c>
      <c r="J164" t="s">
        <v>2670</v>
      </c>
      <c r="L164" t="s">
        <v>2661</v>
      </c>
    </row>
    <row r="165" spans="1:40" ht="14.65" customHeight="1" x14ac:dyDescent="0.25">
      <c r="A165" s="9" t="str">
        <f>IF(ISBLANK('Signal Definition'!J165),"",'Signal Definition'!J165)</f>
        <v>TestCfg_tIniDOCUs_PHY</v>
      </c>
      <c r="B165" s="9">
        <f t="array" ref="B165">COUNT(FIND("input",$D165:$BY165))</f>
        <v>2</v>
      </c>
      <c r="C165" s="9">
        <f t="array" ref="C165">COUNT(FIND("output",$D165:$BY165))</f>
        <v>1</v>
      </c>
      <c r="L165" t="s">
        <v>2670</v>
      </c>
      <c r="AA165" t="s">
        <v>2661</v>
      </c>
      <c r="AN165" t="s">
        <v>2670</v>
      </c>
    </row>
    <row r="166" spans="1:40" ht="14.65" customHeight="1" x14ac:dyDescent="0.25">
      <c r="A166" s="9" t="str">
        <f>IF(ISBLANK('Signal Definition'!J166),"",'Signal Definition'!J166)</f>
        <v>TestCfg_tIniDPFUs_PHY</v>
      </c>
      <c r="B166" s="9">
        <f t="array" ref="B166">COUNT(FIND("input",$D166:$BY166))</f>
        <v>2</v>
      </c>
      <c r="C166" s="9">
        <f t="array" ref="C166">COUNT(FIND("output",$D166:$BY166))</f>
        <v>1</v>
      </c>
      <c r="L166" t="s">
        <v>2670</v>
      </c>
      <c r="AA166" t="s">
        <v>2661</v>
      </c>
      <c r="AN166" t="s">
        <v>2670</v>
      </c>
    </row>
    <row r="167" spans="1:40" ht="14.65" customHeight="1" x14ac:dyDescent="0.25">
      <c r="A167" s="9" t="str">
        <f>IF(ISBLANK('Signal Definition'!J167),"",'Signal Definition'!J167)</f>
        <v>TestCfg_tIniSCRUs_PHY</v>
      </c>
      <c r="B167" s="9">
        <f t="array" ref="B167">COUNT(FIND("input",$D167:$BY167))</f>
        <v>4</v>
      </c>
      <c r="C167" s="9">
        <f t="array" ref="C167">COUNT(FIND("output",$D167:$BY167))</f>
        <v>1</v>
      </c>
      <c r="J167" t="s">
        <v>2670</v>
      </c>
      <c r="L167" t="s">
        <v>2670</v>
      </c>
      <c r="AA167" t="s">
        <v>2661</v>
      </c>
      <c r="AM167" t="s">
        <v>2670</v>
      </c>
      <c r="AN167" t="s">
        <v>2670</v>
      </c>
    </row>
    <row r="168" spans="1:40" ht="14.65" customHeight="1" x14ac:dyDescent="0.25">
      <c r="A168" s="9" t="str">
        <f>IF(ISBLANK('Signal Definition'!J168),"",'Signal Definition'!J168)</f>
        <v>TestCfg_tIniASCUs_PHY</v>
      </c>
      <c r="B168" s="9">
        <f t="array" ref="B168">COUNT(FIND("input",$D168:$BY168))</f>
        <v>2</v>
      </c>
      <c r="C168" s="9">
        <f t="array" ref="C168">COUNT(FIND("output",$D168:$BY168))</f>
        <v>1</v>
      </c>
      <c r="L168" t="s">
        <v>2670</v>
      </c>
      <c r="AA168" t="s">
        <v>2661</v>
      </c>
      <c r="AN168" t="s">
        <v>2670</v>
      </c>
    </row>
    <row r="169" spans="1:40" ht="14.65" customHeight="1" x14ac:dyDescent="0.25">
      <c r="A169" s="9" t="str">
        <f>IF(ISBLANK('Signal Definition'!J169),"",'Signal Definition'!J169)</f>
        <v>EngMdl_trqIndcdTqOut_PHY</v>
      </c>
      <c r="B169" s="9">
        <f t="array" ref="B169">COUNT(FIND("input",$D169:$BY169))</f>
        <v>0</v>
      </c>
      <c r="C169" s="9">
        <f t="array" ref="C169">COUNT(FIND("output",$D169:$BY169))</f>
        <v>1</v>
      </c>
      <c r="K169" t="s">
        <v>2661</v>
      </c>
    </row>
    <row r="170" spans="1:40" ht="14.65" customHeight="1" x14ac:dyDescent="0.25">
      <c r="A170" s="9" t="str">
        <f>IF(ISBLANK('Signal Definition'!J170),"",'Signal Definition'!J170)</f>
        <v>ExhATSysMdl_ratNh3SnsrDs_PHY</v>
      </c>
      <c r="B170" s="9">
        <f t="array" ref="B170">COUNT(FIND("input",$D170:$BY170))</f>
        <v>0</v>
      </c>
      <c r="C170" s="9">
        <f t="array" ref="C170">COUNT(FIND("output",$D170:$BY170))</f>
        <v>1</v>
      </c>
      <c r="L170" t="s">
        <v>2661</v>
      </c>
    </row>
    <row r="171" spans="1:40" ht="14.65" customHeight="1" x14ac:dyDescent="0.25">
      <c r="A171" s="9" t="str">
        <f>IF(ISBLANK('Signal Definition'!J171),"",'Signal Definition'!J171)</f>
        <v>ExhATSysMdl_mNh3SCR_PHY</v>
      </c>
      <c r="B171" s="9">
        <f t="array" ref="B171">COUNT(FIND("input",$D171:$BY171))</f>
        <v>0</v>
      </c>
      <c r="C171" s="9">
        <f t="array" ref="C171">COUNT(FIND("output",$D171:$BY171))</f>
        <v>1</v>
      </c>
      <c r="L171" t="s">
        <v>2661</v>
      </c>
    </row>
    <row r="172" spans="1:40" ht="14.65" customHeight="1" x14ac:dyDescent="0.25">
      <c r="A172" s="9" t="str">
        <f>IF(ISBLANK('Signal Definition'!J172),"",'Signal Definition'!J172)</f>
        <v>EngMdl_pwrCrksftPwr_PHY</v>
      </c>
      <c r="B172" s="9">
        <f t="array" ref="B172">COUNT(FIND("input",$D172:$BY172))</f>
        <v>1</v>
      </c>
      <c r="C172" s="9">
        <f t="array" ref="C172">COUNT(FIND("output",$D172:$BY172))</f>
        <v>1</v>
      </c>
      <c r="K172" t="s">
        <v>2661</v>
      </c>
      <c r="AB172" t="s">
        <v>2670</v>
      </c>
    </row>
    <row r="173" spans="1:40" ht="14.65" customHeight="1" x14ac:dyDescent="0.25">
      <c r="A173" s="9" t="str">
        <f>IF(ISBLANK('Signal Definition'!J173),"",'Signal Definition'!J173)</f>
        <v>EngMdl_tAirFilDs_PHY</v>
      </c>
      <c r="B173" s="9">
        <f t="array" ref="B173">COUNT(FIND("input",$D173:$BY173))</f>
        <v>2</v>
      </c>
      <c r="C173" s="9">
        <f t="array" ref="C173">COUNT(FIND("output",$D173:$BY173))</f>
        <v>1</v>
      </c>
      <c r="K173" t="s">
        <v>2661</v>
      </c>
      <c r="AD173" t="s">
        <v>2670</v>
      </c>
      <c r="AG173" t="s">
        <v>2670</v>
      </c>
    </row>
    <row r="174" spans="1:40" ht="14.65" customHeight="1" x14ac:dyDescent="0.25">
      <c r="A174" s="9" t="str">
        <f>IF(ISBLANK('Signal Definition'!J174),"",'Signal Definition'!J174)</f>
        <v>EngMdl_tAirClrDs_PHY</v>
      </c>
      <c r="B174" s="9">
        <f t="array" ref="B174">COUNT(FIND("input",$D174:$BY174))</f>
        <v>2</v>
      </c>
      <c r="C174" s="9">
        <f t="array" ref="C174">COUNT(FIND("output",$D174:$BY174))</f>
        <v>1</v>
      </c>
      <c r="K174" t="s">
        <v>2661</v>
      </c>
      <c r="AD174" t="s">
        <v>2670</v>
      </c>
      <c r="AG174" t="s">
        <v>2670</v>
      </c>
    </row>
    <row r="175" spans="1:40" ht="14.65" customHeight="1" x14ac:dyDescent="0.25">
      <c r="A175" s="9" t="str">
        <f>IF(ISBLANK('Signal Definition'!J175),"",'Signal Definition'!J175)</f>
        <v>RouteGenr_vVehSpd_PHY</v>
      </c>
      <c r="B175" s="9">
        <f t="array" ref="B175">COUNT(FIND("input",$D175:$BY175))</f>
        <v>1</v>
      </c>
      <c r="C175" s="9">
        <f t="array" ref="C175">COUNT(FIND("output",$D175:$BY175))</f>
        <v>1</v>
      </c>
      <c r="AI175" t="s">
        <v>2661</v>
      </c>
      <c r="AJ175" t="s">
        <v>2670</v>
      </c>
    </row>
    <row r="176" spans="1:40" ht="14.65" customHeight="1" x14ac:dyDescent="0.25">
      <c r="A176" s="9" t="str">
        <f>IF(ISBLANK('Signal Definition'!J176),"",'Signal Definition'!J176)</f>
        <v>RouteGenr_lDst_PHY</v>
      </c>
      <c r="B176" s="9">
        <f t="array" ref="B176">COUNT(FIND("input",$D176:$BY176))</f>
        <v>1</v>
      </c>
      <c r="C176" s="9">
        <f t="array" ref="C176">COUNT(FIND("output",$D176:$BY176))</f>
        <v>1</v>
      </c>
      <c r="AI176" t="s">
        <v>2661</v>
      </c>
      <c r="AJ176" t="s">
        <v>2670</v>
      </c>
    </row>
    <row r="177" spans="1:41" ht="14.65" customHeight="1" x14ac:dyDescent="0.25">
      <c r="A177" s="9" t="str">
        <f>IF(ISBLANK('Signal Definition'!J177),"",'Signal Definition'!J177)</f>
        <v>RouteGenr_pwrPwr_PHY</v>
      </c>
      <c r="B177" s="9">
        <f t="array" ref="B177">COUNT(FIND("input",$D177:$BY177))</f>
        <v>1</v>
      </c>
      <c r="C177" s="9">
        <f t="array" ref="C177">COUNT(FIND("output",$D177:$BY177))</f>
        <v>1</v>
      </c>
      <c r="AI177" t="s">
        <v>2661</v>
      </c>
      <c r="AJ177" t="s">
        <v>2670</v>
      </c>
    </row>
    <row r="178" spans="1:41" ht="14.65" customHeight="1" x14ac:dyDescent="0.25">
      <c r="A178" s="9" t="str">
        <f>IF(ISBLANK('Signal Definition'!J178),"",'Signal Definition'!J178)</f>
        <v>PCCMRPUIf_vVehSpdHrzn_PHY</v>
      </c>
      <c r="B178" s="9">
        <f t="array" ref="B178">COUNT(FIND("input",$D178:$BY178))</f>
        <v>3</v>
      </c>
      <c r="C178" s="9">
        <f t="array" ref="C178">COUNT(FIND("output",$D178:$BY178))</f>
        <v>1</v>
      </c>
      <c r="AJ178" t="s">
        <v>2661</v>
      </c>
      <c r="AK178" t="s">
        <v>2670</v>
      </c>
      <c r="AM178" t="s">
        <v>2670</v>
      </c>
      <c r="AO178" t="s">
        <v>2670</v>
      </c>
    </row>
    <row r="179" spans="1:41" ht="14.65" customHeight="1" x14ac:dyDescent="0.25">
      <c r="A179" s="9" t="str">
        <f>IF(ISBLANK('Signal Definition'!J179),"",'Signal Definition'!J179)</f>
        <v>PCCMRPUIf_lDstHrzn_PHY</v>
      </c>
      <c r="B179" s="9">
        <f t="array" ref="B179">COUNT(FIND("input",$D179:$BY179))</f>
        <v>2</v>
      </c>
      <c r="C179" s="9">
        <f t="array" ref="C179">COUNT(FIND("output",$D179:$BY179))</f>
        <v>1</v>
      </c>
      <c r="AJ179" t="s">
        <v>2661</v>
      </c>
      <c r="AK179" t="s">
        <v>2670</v>
      </c>
      <c r="AO179" t="s">
        <v>2670</v>
      </c>
    </row>
    <row r="180" spans="1:41" ht="14.65" customHeight="1" x14ac:dyDescent="0.25">
      <c r="A180" s="9" t="str">
        <f>IF(ISBLANK('Signal Definition'!J180),"",'Signal Definition'!J180)</f>
        <v>PCCMRPUIf_pwrPwrHrzn_PHY</v>
      </c>
      <c r="B180" s="9">
        <f t="array" ref="B180">COUNT(FIND("input",$D180:$BY180))</f>
        <v>2</v>
      </c>
      <c r="C180" s="9">
        <f t="array" ref="C180">COUNT(FIND("output",$D180:$BY180))</f>
        <v>1</v>
      </c>
      <c r="AJ180" t="s">
        <v>2661</v>
      </c>
      <c r="AK180" t="s">
        <v>2670</v>
      </c>
      <c r="AO180" t="s">
        <v>2670</v>
      </c>
    </row>
    <row r="181" spans="1:41" ht="14.65" customHeight="1" x14ac:dyDescent="0.25">
      <c r="A181" s="9" t="str">
        <f>IF(ISBLANK('Signal Definition'!J181),"",'Signal Definition'!J181)</f>
        <v>PCCMRPUIf_numNrHrznVldElm_PHY</v>
      </c>
      <c r="B181" s="9">
        <f t="array" ref="B181">COUNT(FIND("input",$D181:$BY181))</f>
        <v>2</v>
      </c>
      <c r="C181" s="9">
        <f t="array" ref="C181">COUNT(FIND("output",$D181:$BY181))</f>
        <v>1</v>
      </c>
      <c r="AJ181" t="s">
        <v>2661</v>
      </c>
      <c r="AK181" t="s">
        <v>2670</v>
      </c>
      <c r="AO181" t="s">
        <v>2670</v>
      </c>
    </row>
    <row r="182" spans="1:41" ht="14.65" customHeight="1" x14ac:dyDescent="0.25">
      <c r="A182" s="9" t="str">
        <f>IF(ISBLANK('Signal Definition'!J182),"",'Signal Definition'!J182)</f>
        <v>PCCMRPUIf_stRst_PHY</v>
      </c>
      <c r="B182" s="9">
        <f t="array" ref="B182">COUNT(FIND("input",$D182:$BY182))</f>
        <v>2</v>
      </c>
      <c r="C182" s="9">
        <f t="array" ref="C182">COUNT(FIND("output",$D182:$BY182))</f>
        <v>1</v>
      </c>
      <c r="AJ182" t="s">
        <v>2661</v>
      </c>
      <c r="AK182" t="s">
        <v>2670</v>
      </c>
      <c r="AO182" t="s">
        <v>2670</v>
      </c>
    </row>
    <row r="183" spans="1:41" ht="14.65" customHeight="1" x14ac:dyDescent="0.25">
      <c r="A183" s="9" t="str">
        <f>IF(ISBLANK('Signal Definition'!J183),"",'Signal Definition'!J183)</f>
        <v>PCCMRPUIf_stHrznVld_PHY</v>
      </c>
      <c r="B183" s="9">
        <f t="array" ref="B183">COUNT(FIND("input",$D183:$BY183))</f>
        <v>1</v>
      </c>
      <c r="C183" s="9">
        <f t="array" ref="C183">COUNT(FIND("output",$D183:$BY183))</f>
        <v>1</v>
      </c>
      <c r="AJ183" t="s">
        <v>2661</v>
      </c>
      <c r="AO183" t="s">
        <v>2670</v>
      </c>
    </row>
    <row r="184" spans="1:41" ht="14.65" customHeight="1" x14ac:dyDescent="0.25">
      <c r="A184" s="9" t="str">
        <f>IF(ISBLANK('Signal Definition'!J184),"",'Signal Definition'!J184)</f>
        <v>PCCMRPUIf_lVehPosn_PHY</v>
      </c>
      <c r="B184" s="9">
        <f t="array" ref="B184">COUNT(FIND("input",$D184:$BY184))</f>
        <v>1</v>
      </c>
      <c r="C184" s="9">
        <f t="array" ref="C184">COUNT(FIND("output",$D184:$BY184))</f>
        <v>1</v>
      </c>
      <c r="AJ184" t="s">
        <v>2661</v>
      </c>
      <c r="AO184" t="s">
        <v>2670</v>
      </c>
    </row>
    <row r="185" spans="1:41" ht="14.65" customHeight="1" x14ac:dyDescent="0.25">
      <c r="A185" s="9" t="str">
        <f>IF(ISBLANK('Signal Definition'!J185),"",'Signal Definition'!J185)</f>
        <v>InpOutp_numOperModAct_PHY</v>
      </c>
      <c r="B185" s="9">
        <f t="array" ref="B185">COUNT(FIND("input",$D185:$BY185))</f>
        <v>1</v>
      </c>
      <c r="C185" s="9">
        <f t="array" ref="C185">COUNT(FIND("output",$D185:$BY185))</f>
        <v>1</v>
      </c>
      <c r="AG185" t="s">
        <v>2661</v>
      </c>
      <c r="AH185" t="s">
        <v>2670</v>
      </c>
    </row>
    <row r="186" spans="1:41" ht="14.65" customHeight="1" x14ac:dyDescent="0.25">
      <c r="A186" s="9" t="str">
        <f>IF(ISBLANK('Signal Definition'!J186),"",'Signal Definition'!J186)</f>
        <v>InpOutp_qInjTot_PHY</v>
      </c>
      <c r="B186" s="9">
        <f t="array" ref="B186">COUNT(FIND("input",$D186:$BY186))</f>
        <v>1</v>
      </c>
      <c r="C186" s="9">
        <f t="array" ref="C186">COUNT(FIND("output",$D186:$BY186))</f>
        <v>1</v>
      </c>
      <c r="AG186" t="s">
        <v>2661</v>
      </c>
      <c r="AH186" t="s">
        <v>2670</v>
      </c>
    </row>
    <row r="187" spans="1:41" ht="14.65" customHeight="1" x14ac:dyDescent="0.25">
      <c r="A187" s="9" t="str">
        <f>IF(ISBLANK('Signal Definition'!J187),"",'Signal Definition'!J187)</f>
        <v>InpOutp_qInjMai1_PHY</v>
      </c>
      <c r="B187" s="9">
        <f t="array" ref="B187">COUNT(FIND("input",$D187:$BY187))</f>
        <v>1</v>
      </c>
      <c r="C187" s="9">
        <f t="array" ref="C187">COUNT(FIND("output",$D187:$BY187))</f>
        <v>1</v>
      </c>
      <c r="AG187" t="s">
        <v>2661</v>
      </c>
      <c r="AH187" t="s">
        <v>2670</v>
      </c>
    </row>
    <row r="188" spans="1:41" ht="14.65" customHeight="1" x14ac:dyDescent="0.25">
      <c r="A188" s="9" t="str">
        <f>IF(ISBLANK('Signal Definition'!J188),"",'Signal Definition'!J188)</f>
        <v>InpOutp_qInjPil1_PHY</v>
      </c>
      <c r="B188" s="9">
        <f t="array" ref="B188">COUNT(FIND("input",$D188:$BY188))</f>
        <v>1</v>
      </c>
      <c r="C188" s="9">
        <f t="array" ref="C188">COUNT(FIND("output",$D188:$BY188))</f>
        <v>1</v>
      </c>
      <c r="AG188" t="s">
        <v>2661</v>
      </c>
      <c r="AH188" t="s">
        <v>2670</v>
      </c>
    </row>
    <row r="189" spans="1:41" ht="14.65" customHeight="1" x14ac:dyDescent="0.25">
      <c r="A189" s="9" t="str">
        <f>IF(ISBLANK('Signal Definition'!J189),"",'Signal Definition'!J189)</f>
        <v>InpOutp_qInjPil2_PHY</v>
      </c>
      <c r="B189" s="9">
        <f t="array" ref="B189">COUNT(FIND("input",$D189:$BY189))</f>
        <v>1</v>
      </c>
      <c r="C189" s="9">
        <f t="array" ref="C189">COUNT(FIND("output",$D189:$BY189))</f>
        <v>1</v>
      </c>
      <c r="AG189" t="s">
        <v>2661</v>
      </c>
      <c r="AH189" t="s">
        <v>2670</v>
      </c>
    </row>
    <row r="190" spans="1:41" ht="14.65" customHeight="1" x14ac:dyDescent="0.25">
      <c r="A190" s="9" t="str">
        <f>IF(ISBLANK('Signal Definition'!J190),"",'Signal Definition'!J190)</f>
        <v>InpOutp_qInjPost1_PHY</v>
      </c>
      <c r="B190" s="9">
        <f t="array" ref="B190">COUNT(FIND("input",$D190:$BY190))</f>
        <v>1</v>
      </c>
      <c r="C190" s="9">
        <f t="array" ref="C190">COUNT(FIND("output",$D190:$BY190))</f>
        <v>1</v>
      </c>
      <c r="AG190" t="s">
        <v>2661</v>
      </c>
      <c r="AH190" t="s">
        <v>2670</v>
      </c>
    </row>
    <row r="191" spans="1:41" ht="14.65" customHeight="1" x14ac:dyDescent="0.25">
      <c r="A191" s="9" t="str">
        <f>IF(ISBLANK('Signal Definition'!J191),"",'Signal Definition'!J191)</f>
        <v>InpOutp_qInjPost2_PHY</v>
      </c>
      <c r="B191" s="9">
        <f t="array" ref="B191">COUNT(FIND("input",$D191:$BY191))</f>
        <v>1</v>
      </c>
      <c r="C191" s="9">
        <f t="array" ref="C191">COUNT(FIND("output",$D191:$BY191))</f>
        <v>1</v>
      </c>
      <c r="AG191" t="s">
        <v>2661</v>
      </c>
      <c r="AH191" t="s">
        <v>2670</v>
      </c>
    </row>
    <row r="192" spans="1:41" ht="14.65" customHeight="1" x14ac:dyDescent="0.25">
      <c r="A192" s="9" t="str">
        <f>IF(ISBLANK('Signal Definition'!J192),"",'Signal Definition'!J192)</f>
        <v>InpOutp_phiInjMai1_PHY</v>
      </c>
      <c r="B192" s="9">
        <f t="array" ref="B192">COUNT(FIND("input",$D192:$BY192))</f>
        <v>1</v>
      </c>
      <c r="C192" s="9">
        <f t="array" ref="C192">COUNT(FIND("output",$D192:$BY192))</f>
        <v>1</v>
      </c>
      <c r="AG192" t="s">
        <v>2661</v>
      </c>
      <c r="AH192" t="s">
        <v>2670</v>
      </c>
    </row>
    <row r="193" spans="1:34" ht="14.65" customHeight="1" x14ac:dyDescent="0.25">
      <c r="A193" s="9" t="str">
        <f>IF(ISBLANK('Signal Definition'!J193),"",'Signal Definition'!J193)</f>
        <v>InpOutp_phiInjPil1_PHY</v>
      </c>
      <c r="B193" s="9">
        <f t="array" ref="B193">COUNT(FIND("input",$D193:$BY193))</f>
        <v>1</v>
      </c>
      <c r="C193" s="9">
        <f t="array" ref="C193">COUNT(FIND("output",$D193:$BY193))</f>
        <v>1</v>
      </c>
      <c r="AG193" t="s">
        <v>2661</v>
      </c>
      <c r="AH193" t="s">
        <v>2670</v>
      </c>
    </row>
    <row r="194" spans="1:34" ht="14.65" customHeight="1" x14ac:dyDescent="0.25">
      <c r="A194" s="9" t="str">
        <f>IF(ISBLANK('Signal Definition'!J194),"",'Signal Definition'!J194)</f>
        <v>InpOutp_phiInjPil2_PHY</v>
      </c>
      <c r="B194" s="9">
        <f t="array" ref="B194">COUNT(FIND("input",$D194:$BY194))</f>
        <v>1</v>
      </c>
      <c r="C194" s="9">
        <f t="array" ref="C194">COUNT(FIND("output",$D194:$BY194))</f>
        <v>1</v>
      </c>
      <c r="AG194" t="s">
        <v>2661</v>
      </c>
      <c r="AH194" t="s">
        <v>2670</v>
      </c>
    </row>
    <row r="195" spans="1:34" ht="14.65" customHeight="1" x14ac:dyDescent="0.25">
      <c r="A195" s="9" t="str">
        <f>IF(ISBLANK('Signal Definition'!J195),"",'Signal Definition'!J195)</f>
        <v>InpOutp_phiInjPost1_PHY</v>
      </c>
      <c r="B195" s="9">
        <f t="array" ref="B195">COUNT(FIND("input",$D195:$BY195))</f>
        <v>1</v>
      </c>
      <c r="C195" s="9">
        <f t="array" ref="C195">COUNT(FIND("output",$D195:$BY195))</f>
        <v>1</v>
      </c>
      <c r="AG195" t="s">
        <v>2661</v>
      </c>
      <c r="AH195" t="s">
        <v>2670</v>
      </c>
    </row>
    <row r="196" spans="1:34" ht="14.65" customHeight="1" x14ac:dyDescent="0.25">
      <c r="A196" s="9" t="str">
        <f>IF(ISBLANK('Signal Definition'!J196),"",'Signal Definition'!J196)</f>
        <v>InpOutp_phiInjPost2_PHY</v>
      </c>
      <c r="B196" s="9">
        <f t="array" ref="B196">COUNT(FIND("input",$D196:$BY196))</f>
        <v>1</v>
      </c>
      <c r="C196" s="9">
        <f t="array" ref="C196">COUNT(FIND("output",$D196:$BY196))</f>
        <v>1</v>
      </c>
      <c r="AG196" t="s">
        <v>2661</v>
      </c>
      <c r="AH196" t="s">
        <v>2670</v>
      </c>
    </row>
    <row r="197" spans="1:34" ht="14.65" customHeight="1" x14ac:dyDescent="0.25">
      <c r="A197" s="9" t="str">
        <f>IF(ISBLANK('Signal Definition'!J197),"",'Signal Definition'!J197)</f>
        <v>InpOutp_pFuRailDes_PHY</v>
      </c>
      <c r="B197" s="9">
        <f t="array" ref="B197">COUNT(FIND("input",$D197:$BY197))</f>
        <v>1</v>
      </c>
      <c r="C197" s="9">
        <f t="array" ref="C197">COUNT(FIND("output",$D197:$BY197))</f>
        <v>1</v>
      </c>
      <c r="AG197" t="s">
        <v>2661</v>
      </c>
      <c r="AH197" t="s">
        <v>2670</v>
      </c>
    </row>
    <row r="198" spans="1:34" ht="14.65" customHeight="1" x14ac:dyDescent="0.25">
      <c r="A198" s="9" t="str">
        <f>IF(ISBLANK('Signal Definition'!J198),"",'Signal Definition'!J198)</f>
        <v>InpOutp_nEngSetLo_PHY</v>
      </c>
      <c r="B198" s="9">
        <f t="array" ref="B198">COUNT(FIND("input",$D198:$BY198))</f>
        <v>1</v>
      </c>
      <c r="C198" s="9">
        <f t="array" ref="C198">COUNT(FIND("output",$D198:$BY198))</f>
        <v>1</v>
      </c>
      <c r="AG198" t="s">
        <v>2661</v>
      </c>
      <c r="AH198" t="s">
        <v>2670</v>
      </c>
    </row>
    <row r="199" spans="1:34" ht="14.65" customHeight="1" x14ac:dyDescent="0.25">
      <c r="A199" s="9" t="str">
        <f>IF(ISBLANK('Signal Definition'!J199),"",'Signal Definition'!J199)</f>
        <v>InpOutp_trqEngMax_PHY</v>
      </c>
      <c r="B199" s="9">
        <f t="array" ref="B199">COUNT(FIND("input",$D199:$BY199))</f>
        <v>1</v>
      </c>
      <c r="C199" s="9">
        <f t="array" ref="C199">COUNT(FIND("output",$D199:$BY199))</f>
        <v>1</v>
      </c>
      <c r="AG199" t="s">
        <v>2661</v>
      </c>
      <c r="AH199" t="s">
        <v>2670</v>
      </c>
    </row>
    <row r="200" spans="1:34" ht="14.65" customHeight="1" x14ac:dyDescent="0.25">
      <c r="A200" s="9" t="str">
        <f>IF(ISBLANK('Signal Definition'!J200),"",'Signal Definition'!J200)</f>
        <v>InpOutp_prcEngActTq_PHY</v>
      </c>
      <c r="B200" s="9">
        <f t="array" ref="B200">COUNT(FIND("input",$D200:$BY200))</f>
        <v>1</v>
      </c>
      <c r="C200" s="9">
        <f t="array" ref="C200">COUNT(FIND("output",$D200:$BY200))</f>
        <v>1</v>
      </c>
      <c r="AG200" t="s">
        <v>2661</v>
      </c>
      <c r="AH200" t="s">
        <v>2670</v>
      </c>
    </row>
    <row r="201" spans="1:34" ht="14.65" customHeight="1" x14ac:dyDescent="0.25">
      <c r="A201" s="9" t="str">
        <f>IF(ISBLANK('Signal Definition'!J201),"",'Signal Definition'!J201)</f>
        <v>InpOutp_prcEngActTqFrac_PHY</v>
      </c>
      <c r="B201" s="9">
        <f t="array" ref="B201">COUNT(FIND("input",$D201:$BY201))</f>
        <v>1</v>
      </c>
      <c r="C201" s="9">
        <f t="array" ref="C201">COUNT(FIND("output",$D201:$BY201))</f>
        <v>1</v>
      </c>
      <c r="AG201" t="s">
        <v>2661</v>
      </c>
      <c r="AH201" t="s">
        <v>2670</v>
      </c>
    </row>
    <row r="202" spans="1:34" ht="14.65" customHeight="1" x14ac:dyDescent="0.25">
      <c r="A202" s="9" t="str">
        <f>IF(ISBLANK('Signal Definition'!J202),"",'Signal Definition'!J202)</f>
        <v>InpOutp_prcEngFricTq_PHY</v>
      </c>
      <c r="B202" s="9">
        <f t="array" ref="B202">COUNT(FIND("input",$D202:$BY202))</f>
        <v>1</v>
      </c>
      <c r="C202" s="9">
        <f t="array" ref="C202">COUNT(FIND("output",$D202:$BY202))</f>
        <v>1</v>
      </c>
      <c r="AG202" t="s">
        <v>2661</v>
      </c>
      <c r="AH202" t="s">
        <v>2670</v>
      </c>
    </row>
    <row r="203" spans="1:34" ht="14.65" customHeight="1" x14ac:dyDescent="0.25">
      <c r="A203" s="9" t="str">
        <f>IF(ISBLANK('Signal Definition'!J203),"",'Signal Definition'!J203)</f>
        <v>InpOutp_mflUreaDes_PHY</v>
      </c>
      <c r="B203" s="9">
        <f t="array" ref="B203">COUNT(FIND("input",$D203:$BY203))</f>
        <v>1</v>
      </c>
      <c r="C203" s="9">
        <f t="array" ref="C203">COUNT(FIND("output",$D203:$BY203))</f>
        <v>1</v>
      </c>
      <c r="AG203" t="s">
        <v>2661</v>
      </c>
      <c r="AH203" t="s">
        <v>2670</v>
      </c>
    </row>
    <row r="204" spans="1:34" ht="14.65" customHeight="1" x14ac:dyDescent="0.25">
      <c r="A204" s="9" t="str">
        <f>IF(ISBLANK('Signal Definition'!J204),"",'Signal Definition'!J204)</f>
        <v>InpOutp_nFanDes_PHY</v>
      </c>
      <c r="B204" s="9">
        <f t="array" ref="B204">COUNT(FIND("input",$D204:$BY204))</f>
        <v>1</v>
      </c>
      <c r="C204" s="9">
        <f t="array" ref="C204">COUNT(FIND("output",$D204:$BY204))</f>
        <v>1</v>
      </c>
      <c r="AG204" t="s">
        <v>2661</v>
      </c>
      <c r="AH204" t="s">
        <v>2670</v>
      </c>
    </row>
    <row r="205" spans="1:34" ht="14.65" customHeight="1" x14ac:dyDescent="0.25">
      <c r="A205" s="9" t="str">
        <f>IF(ISBLANK('Signal Definition'!J205),"",'Signal Definition'!J205)</f>
        <v>InpOutp_prcEngDrvrDmdTq_PHY</v>
      </c>
      <c r="B205" s="9">
        <f t="array" ref="B205">COUNT(FIND("input",$D205:$BY205))</f>
        <v>1</v>
      </c>
      <c r="C205" s="9">
        <f t="array" ref="C205">COUNT(FIND("output",$D205:$BY205))</f>
        <v>1</v>
      </c>
      <c r="AG205" t="s">
        <v>2661</v>
      </c>
      <c r="AH205" t="s">
        <v>2670</v>
      </c>
    </row>
    <row r="206" spans="1:34" ht="14.65" customHeight="1" x14ac:dyDescent="0.25">
      <c r="A206" s="9" t="str">
        <f>IF(ISBLANK('Signal Definition'!J206),"",'Signal Definition'!J206)</f>
        <v>InpOutp_trqEngSetInr_PHY</v>
      </c>
      <c r="B206" s="9">
        <f t="array" ref="B206">COUNT(FIND("input",$D206:$BY206))</f>
        <v>1</v>
      </c>
      <c r="C206" s="9">
        <f t="array" ref="C206">COUNT(FIND("output",$D206:$BY206))</f>
        <v>1</v>
      </c>
      <c r="AG206" t="s">
        <v>2661</v>
      </c>
      <c r="AH206" t="s">
        <v>2670</v>
      </c>
    </row>
    <row r="207" spans="1:34" ht="14.65" customHeight="1" x14ac:dyDescent="0.25">
      <c r="A207" s="9" t="str">
        <f>IF(ISBLANK('Signal Definition'!J207),"",'Signal Definition'!J207)</f>
        <v>InpOutp_prcTrbVlvDes_PHY</v>
      </c>
      <c r="B207" s="9">
        <f t="array" ref="B207">COUNT(FIND("input",$D207:$BY207))</f>
        <v>1</v>
      </c>
      <c r="C207" s="9">
        <f t="array" ref="C207">COUNT(FIND("output",$D207:$BY207))</f>
        <v>1</v>
      </c>
      <c r="AG207" t="s">
        <v>2661</v>
      </c>
      <c r="AH207" t="s">
        <v>2670</v>
      </c>
    </row>
    <row r="208" spans="1:34" ht="14.65" customHeight="1" x14ac:dyDescent="0.25">
      <c r="A208" s="9" t="str">
        <f>IF(ISBLANK('Signal Definition'!J208),"",'Signal Definition'!J208)</f>
        <v>InpOutp_prcEgrVlvDes_PHY</v>
      </c>
      <c r="B208" s="9">
        <f t="array" ref="B208">COUNT(FIND("input",$D208:$BY208))</f>
        <v>1</v>
      </c>
      <c r="C208" s="9">
        <f t="array" ref="C208">COUNT(FIND("output",$D208:$BY208))</f>
        <v>1</v>
      </c>
      <c r="AG208" t="s">
        <v>2661</v>
      </c>
      <c r="AH208" t="s">
        <v>2670</v>
      </c>
    </row>
    <row r="209" spans="1:34" ht="14.65" customHeight="1" x14ac:dyDescent="0.25">
      <c r="A209" s="9" t="str">
        <f>IF(ISBLANK('Signal Definition'!J209),"",'Signal Definition'!J209)</f>
        <v>InpOutp_prcThrVlvDes_PHY</v>
      </c>
      <c r="B209" s="9">
        <f t="array" ref="B209">COUNT(FIND("input",$D209:$BY209))</f>
        <v>1</v>
      </c>
      <c r="C209" s="9">
        <f t="array" ref="C209">COUNT(FIND("output",$D209:$BY209))</f>
        <v>1</v>
      </c>
      <c r="AG209" t="s">
        <v>2661</v>
      </c>
      <c r="AH209" t="s">
        <v>2670</v>
      </c>
    </row>
    <row r="210" spans="1:34" ht="14.65" customHeight="1" x14ac:dyDescent="0.25">
      <c r="A210" s="9" t="str">
        <f>IF(ISBLANK('Signal Definition'!J210),"",'Signal Definition'!J210)</f>
        <v>InpOutp_stCrsCtrl_PHY</v>
      </c>
      <c r="B210" s="9">
        <f t="array" ref="B210">COUNT(FIND("input",$D210:$BY210))</f>
        <v>1</v>
      </c>
      <c r="C210" s="9">
        <f t="array" ref="C210">COUNT(FIND("output",$D210:$BY210))</f>
        <v>1</v>
      </c>
      <c r="AG210" t="s">
        <v>2661</v>
      </c>
      <c r="AH210" t="s">
        <v>2670</v>
      </c>
    </row>
    <row r="211" spans="1:34" ht="14.65" customHeight="1" x14ac:dyDescent="0.25">
      <c r="A211" s="9" t="str">
        <f>IF(ISBLANK('Signal Definition'!J211),"",'Signal Definition'!J211)</f>
        <v>InpOutp_vVehDesCrsCtrl_PHY</v>
      </c>
      <c r="B211" s="9">
        <f t="array" ref="B211">COUNT(FIND("input",$D211:$BY211))</f>
        <v>1</v>
      </c>
      <c r="C211" s="9">
        <f t="array" ref="C211">COUNT(FIND("output",$D211:$BY211))</f>
        <v>1</v>
      </c>
      <c r="AG211" t="s">
        <v>2661</v>
      </c>
      <c r="AH211" t="s">
        <v>2670</v>
      </c>
    </row>
    <row r="212" spans="1:34" ht="14.65" customHeight="1" x14ac:dyDescent="0.25">
      <c r="A212" s="9" t="str">
        <f>IF(ISBLANK('Signal Definition'!J212),"",'Signal Definition'!J212)</f>
        <v>InpOutp_vVehCrsCtrl_PHY</v>
      </c>
      <c r="B212" s="9">
        <f t="array" ref="B212">COUNT(FIND("input",$D212:$BY212))</f>
        <v>1</v>
      </c>
      <c r="C212" s="9">
        <f t="array" ref="C212">COUNT(FIND("output",$D212:$BY212))</f>
        <v>1</v>
      </c>
      <c r="AG212" t="s">
        <v>2661</v>
      </c>
      <c r="AH212" t="s">
        <v>2670</v>
      </c>
    </row>
    <row r="213" spans="1:34" ht="14.65" customHeight="1" x14ac:dyDescent="0.25">
      <c r="A213" s="9" t="str">
        <f>IF(ISBLANK('Signal Definition'!J213),"",'Signal Definition'!J213)</f>
        <v>InpOutp_pIntkMnfldDes_PHY</v>
      </c>
      <c r="B213" s="9">
        <f t="array" ref="B213">COUNT(FIND("input",$D213:$BY213))</f>
        <v>1</v>
      </c>
      <c r="C213" s="9">
        <f t="array" ref="C213">COUNT(FIND("output",$D213:$BY213))</f>
        <v>1</v>
      </c>
      <c r="AG213" t="s">
        <v>2661</v>
      </c>
      <c r="AH213" t="s">
        <v>2670</v>
      </c>
    </row>
    <row r="214" spans="1:34" ht="14.65" customHeight="1" x14ac:dyDescent="0.25">
      <c r="A214" s="9" t="str">
        <f>IF(ISBLANK('Signal Definition'!J214),"",'Signal Definition'!J214)</f>
        <v>InpOutp_mflChrgdAirDes_PHY</v>
      </c>
      <c r="B214" s="9">
        <f t="array" ref="B214">COUNT(FIND("input",$D214:$BY214))</f>
        <v>1</v>
      </c>
      <c r="C214" s="9">
        <f t="array" ref="C214">COUNT(FIND("output",$D214:$BY214))</f>
        <v>1</v>
      </c>
      <c r="AG214" t="s">
        <v>2661</v>
      </c>
      <c r="AH214" t="s">
        <v>2670</v>
      </c>
    </row>
    <row r="215" spans="1:34" ht="14.65" customHeight="1" x14ac:dyDescent="0.25">
      <c r="A215" s="9" t="str">
        <f>IF(ISBLANK('Signal Definition'!J215),"",'Signal Definition'!J215)</f>
        <v>InpOutp_trqEstimdTotAux_PHY</v>
      </c>
      <c r="B215" s="9">
        <f t="array" ref="B215">COUNT(FIND("input",$D215:$BY215))</f>
        <v>1</v>
      </c>
      <c r="C215" s="9">
        <f t="array" ref="C215">COUNT(FIND("output",$D215:$BY215))</f>
        <v>1</v>
      </c>
      <c r="AG215" t="s">
        <v>2661</v>
      </c>
      <c r="AH215" t="s">
        <v>2670</v>
      </c>
    </row>
    <row r="216" spans="1:34" ht="14.65" customHeight="1" x14ac:dyDescent="0.25">
      <c r="A216" s="9" t="str">
        <f>IF(ISBLANK('Signal Definition'!J216),"",'Signal Definition'!J216)</f>
        <v>InpOutp_swtAirCmpr_PHY</v>
      </c>
      <c r="B216" s="9">
        <f t="array" ref="B216">COUNT(FIND("input",$D216:$BY216))</f>
        <v>1</v>
      </c>
      <c r="C216" s="9">
        <f t="array" ref="C216">COUNT(FIND("output",$D216:$BY216))</f>
        <v>1</v>
      </c>
      <c r="AG216" t="s">
        <v>2661</v>
      </c>
      <c r="AH216" t="s">
        <v>2670</v>
      </c>
    </row>
    <row r="217" spans="1:34" ht="14.65" customHeight="1" x14ac:dyDescent="0.25">
      <c r="A217" s="9" t="str">
        <f>IF(ISBLANK('Signal Definition'!J217),"",'Signal Definition'!J217)</f>
        <v>InpOutp_pAirTank_PHY</v>
      </c>
      <c r="B217" s="9">
        <f t="array" ref="B217">COUNT(FIND("input",$D217:$BY217))</f>
        <v>1</v>
      </c>
      <c r="C217" s="9">
        <f t="array" ref="C217">COUNT(FIND("output",$D217:$BY217))</f>
        <v>1</v>
      </c>
      <c r="AG217" t="s">
        <v>2661</v>
      </c>
      <c r="AH217" t="s">
        <v>2670</v>
      </c>
    </row>
    <row r="218" spans="1:34" ht="14.65" customHeight="1" x14ac:dyDescent="0.25">
      <c r="A218" s="9" t="str">
        <f>IF(ISBLANK('Signal Definition'!J218),"",'Signal Definition'!J218)</f>
        <v>InpOutp_swtAirCmprOpertgMod_PHY</v>
      </c>
      <c r="B218" s="9">
        <f t="array" ref="B218">COUNT(FIND("input",$D218:$BY218))</f>
        <v>1</v>
      </c>
      <c r="C218" s="9">
        <f t="array" ref="C218">COUNT(FIND("output",$D218:$BY218))</f>
        <v>1</v>
      </c>
      <c r="AG218" t="s">
        <v>2661</v>
      </c>
      <c r="AH218" t="s">
        <v>2670</v>
      </c>
    </row>
    <row r="219" spans="1:34" ht="14.65" customHeight="1" x14ac:dyDescent="0.25">
      <c r="A219" s="9" t="str">
        <f>IF(ISBLANK('Signal Definition'!J219),"",'Signal Definition'!J219)</f>
        <v>InpOutp_stBattStOfChrg_PHY</v>
      </c>
      <c r="B219" s="9">
        <f t="array" ref="B219">COUNT(FIND("input",$D219:$BY219))</f>
        <v>1</v>
      </c>
      <c r="C219" s="9">
        <f t="array" ref="C219">COUNT(FIND("output",$D219:$BY219))</f>
        <v>1</v>
      </c>
      <c r="AG219" t="s">
        <v>2661</v>
      </c>
      <c r="AH219" t="s">
        <v>2670</v>
      </c>
    </row>
    <row r="220" spans="1:34" ht="14.65" customHeight="1" x14ac:dyDescent="0.25">
      <c r="A220" s="9" t="str">
        <f>IF(ISBLANK('Signal Definition'!J220),"",'Signal Definition'!J220)</f>
        <v>InpOutp_trqGenr_PHY</v>
      </c>
      <c r="B220" s="9">
        <f t="array" ref="B220">COUNT(FIND("input",$D220:$BY220))</f>
        <v>1</v>
      </c>
      <c r="C220" s="9">
        <f t="array" ref="C220">COUNT(FIND("output",$D220:$BY220))</f>
        <v>1</v>
      </c>
      <c r="AG220" t="s">
        <v>2661</v>
      </c>
      <c r="AH220" t="s">
        <v>2670</v>
      </c>
    </row>
    <row r="221" spans="1:34" ht="14.65" customHeight="1" x14ac:dyDescent="0.25">
      <c r="A221" s="9" t="str">
        <f>IF(ISBLANK('Signal Definition'!J221),"",'Signal Definition'!J221)</f>
        <v>InpOutp_nGenr_PHY</v>
      </c>
      <c r="B221" s="9">
        <f t="array" ref="B221">COUNT(FIND("input",$D221:$BY221))</f>
        <v>1</v>
      </c>
      <c r="C221" s="9">
        <f t="array" ref="C221">COUNT(FIND("output",$D221:$BY221))</f>
        <v>1</v>
      </c>
      <c r="AG221" t="s">
        <v>2661</v>
      </c>
      <c r="AH221" t="s">
        <v>2670</v>
      </c>
    </row>
    <row r="222" spans="1:34" ht="14.65" customHeight="1" x14ac:dyDescent="0.25">
      <c r="A222" s="9" t="str">
        <f>IF(ISBLANK('Signal Definition'!J222),"",'Signal Definition'!J222)</f>
        <v>InpOutp_tCooltSp_PHY</v>
      </c>
      <c r="B222" s="9">
        <f t="array" ref="B222">COUNT(FIND("input",$D222:$BY222))</f>
        <v>1</v>
      </c>
      <c r="C222" s="9">
        <f t="array" ref="C222">COUNT(FIND("output",$D222:$BY222))</f>
        <v>1</v>
      </c>
      <c r="AG222" t="s">
        <v>2661</v>
      </c>
      <c r="AH222" t="s">
        <v>2670</v>
      </c>
    </row>
    <row r="223" spans="1:34" ht="14.65" customHeight="1" x14ac:dyDescent="0.25">
      <c r="A223" s="9" t="str">
        <f>IF(ISBLANK('Signal Definition'!J223),"",'Signal Definition'!J223)</f>
        <v>InpOutp_tIntrTSp_PHY</v>
      </c>
      <c r="B223" s="9">
        <f t="array" ref="B223">COUNT(FIND("input",$D223:$BY223))</f>
        <v>1</v>
      </c>
      <c r="C223" s="9">
        <f t="array" ref="C223">COUNT(FIND("output",$D223:$BY223))</f>
        <v>1</v>
      </c>
      <c r="AG223" t="s">
        <v>2661</v>
      </c>
      <c r="AH223" t="s">
        <v>2670</v>
      </c>
    </row>
    <row r="224" spans="1:34" ht="14.65" customHeight="1" x14ac:dyDescent="0.25">
      <c r="A224" s="9" t="str">
        <f>IF(ISBLANK('Signal Definition'!J224),"",'Signal Definition'!J224)</f>
        <v>InpOutp_nCrksft_PHY</v>
      </c>
      <c r="B224" s="9">
        <f t="array" ref="B224">COUNT(FIND("input",$D224:$BY224))</f>
        <v>1</v>
      </c>
      <c r="C224" s="9">
        <f t="array" ref="C224">COUNT(FIND("output",$D224:$BY224))</f>
        <v>1</v>
      </c>
      <c r="AG224" t="s">
        <v>2661</v>
      </c>
      <c r="AH224" t="s">
        <v>2670</v>
      </c>
    </row>
    <row r="225" spans="1:34" ht="14.65" customHeight="1" x14ac:dyDescent="0.25">
      <c r="A225" s="9" t="str">
        <f>IF(ISBLANK('Signal Definition'!J225),"",'Signal Definition'!J225)</f>
        <v>InpOutp_trqEngTqOut_PHY</v>
      </c>
      <c r="B225" s="9">
        <f t="array" ref="B225">COUNT(FIND("input",$D225:$BY225))</f>
        <v>1</v>
      </c>
      <c r="C225" s="9">
        <f t="array" ref="C225">COUNT(FIND("output",$D225:$BY225))</f>
        <v>1</v>
      </c>
      <c r="AG225" t="s">
        <v>2661</v>
      </c>
      <c r="AH225" t="s">
        <v>2670</v>
      </c>
    </row>
    <row r="226" spans="1:34" ht="14.65" customHeight="1" x14ac:dyDescent="0.25">
      <c r="A226" s="9" t="str">
        <f>IF(ISBLANK('Signal Definition'!J226),"",'Signal Definition'!J226)</f>
        <v>InpOutp_pwrRqrdElecPwrConsumer_PHY</v>
      </c>
      <c r="B226" s="9">
        <f t="array" ref="B226">COUNT(FIND("input",$D226:$BY226))</f>
        <v>1</v>
      </c>
      <c r="C226" s="9">
        <f t="array" ref="C226">COUNT(FIND("output",$D226:$BY226))</f>
        <v>1</v>
      </c>
      <c r="AG226" t="s">
        <v>2661</v>
      </c>
      <c r="AH226" t="s">
        <v>2670</v>
      </c>
    </row>
    <row r="227" spans="1:34" ht="14.65" customHeight="1" x14ac:dyDescent="0.25">
      <c r="A227" s="9" t="str">
        <f>IF(ISBLANK('Signal Definition'!J227),"",'Signal Definition'!J227)</f>
        <v>InpOutp_pwrMotGenrSetPwr_PHY</v>
      </c>
      <c r="B227" s="9">
        <f t="array" ref="B227">COUNT(FIND("input",$D227:$BY227))</f>
        <v>1</v>
      </c>
      <c r="C227" s="9">
        <f t="array" ref="C227">COUNT(FIND("output",$D227:$BY227))</f>
        <v>1</v>
      </c>
      <c r="AG227" t="s">
        <v>2661</v>
      </c>
      <c r="AH227" t="s">
        <v>2670</v>
      </c>
    </row>
    <row r="228" spans="1:34" ht="14.65" customHeight="1" x14ac:dyDescent="0.25">
      <c r="A228" s="9" t="str">
        <f>IF(ISBLANK('Signal Definition'!J228),"",'Signal Definition'!J228)</f>
        <v>InpOutp_pwrMotGenrPwrMax_PHY</v>
      </c>
      <c r="B228" s="9">
        <f t="array" ref="B228">COUNT(FIND("input",$D228:$BY228))</f>
        <v>1</v>
      </c>
      <c r="C228" s="9">
        <f t="array" ref="C228">COUNT(FIND("output",$D228:$BY228))</f>
        <v>1</v>
      </c>
      <c r="AG228" t="s">
        <v>2661</v>
      </c>
      <c r="AH228" t="s">
        <v>2670</v>
      </c>
    </row>
    <row r="229" spans="1:34" ht="14.65" customHeight="1" x14ac:dyDescent="0.25">
      <c r="A229" s="9" t="str">
        <f>IF(ISBLANK('Signal Definition'!J229),"",'Signal Definition'!J229)</f>
        <v>InpOutp_pwrMotGenrPwrMin_PHY</v>
      </c>
      <c r="B229" s="9">
        <f t="array" ref="B229">COUNT(FIND("input",$D229:$BY229))</f>
        <v>1</v>
      </c>
      <c r="C229" s="9">
        <f t="array" ref="C229">COUNT(FIND("output",$D229:$BY229))</f>
        <v>1</v>
      </c>
      <c r="AG229" t="s">
        <v>2661</v>
      </c>
      <c r="AH229" t="s">
        <v>2670</v>
      </c>
    </row>
    <row r="230" spans="1:34" ht="14.65" customHeight="1" x14ac:dyDescent="0.25">
      <c r="A230" s="9" t="str">
        <f>IF(ISBLANK('Signal Definition'!J230),"",'Signal Definition'!J230)</f>
        <v>InpOutp_pwrBattPwrMaxAvl_PHY</v>
      </c>
      <c r="B230" s="9">
        <f t="array" ref="B230">COUNT(FIND("input",$D230:$BY230))</f>
        <v>1</v>
      </c>
      <c r="C230" s="9">
        <f t="array" ref="C230">COUNT(FIND("output",$D230:$BY230))</f>
        <v>1</v>
      </c>
      <c r="AG230" t="s">
        <v>2661</v>
      </c>
      <c r="AH230" t="s">
        <v>2670</v>
      </c>
    </row>
    <row r="231" spans="1:34" ht="14.65" customHeight="1" x14ac:dyDescent="0.25">
      <c r="A231" s="9" t="str">
        <f>IF(ISBLANK('Signal Definition'!J231),"",'Signal Definition'!J231)</f>
        <v>InpOutp_pwrBattPwrMinAvl_PHY</v>
      </c>
      <c r="B231" s="9">
        <f t="array" ref="B231">COUNT(FIND("input",$D231:$BY231))</f>
        <v>1</v>
      </c>
      <c r="C231" s="9">
        <f t="array" ref="C231">COUNT(FIND("output",$D231:$BY231))</f>
        <v>1</v>
      </c>
      <c r="AG231" t="s">
        <v>2661</v>
      </c>
      <c r="AH231" t="s">
        <v>2670</v>
      </c>
    </row>
    <row r="232" spans="1:34" ht="14.65" customHeight="1" x14ac:dyDescent="0.25">
      <c r="A232" s="9" t="str">
        <f>IF(ISBLANK('Signal Definition'!J232),"",'Signal Definition'!J232)</f>
        <v>InpOutp_vVehSpd_PHY</v>
      </c>
      <c r="B232" s="9">
        <f t="array" ref="B232">COUNT(FIND("input",$D232:$BY232))</f>
        <v>1</v>
      </c>
      <c r="C232" s="9">
        <f t="array" ref="C232">COUNT(FIND("output",$D232:$BY232))</f>
        <v>1</v>
      </c>
      <c r="AG232" t="s">
        <v>2661</v>
      </c>
      <c r="AH232" t="s">
        <v>2670</v>
      </c>
    </row>
    <row r="233" spans="1:34" ht="14.65" customHeight="1" x14ac:dyDescent="0.25">
      <c r="A233" s="9" t="str">
        <f>IF(ISBLANK('Signal Definition'!J233),"",'Signal Definition'!J233)</f>
        <v>InpOutp_lDstTrvld_PHY</v>
      </c>
      <c r="B233" s="9">
        <f t="array" ref="B233">COUNT(FIND("input",$D233:$BY233))</f>
        <v>1</v>
      </c>
      <c r="C233" s="9">
        <f t="array" ref="C233">COUNT(FIND("output",$D233:$BY233))</f>
        <v>1</v>
      </c>
      <c r="AG233" t="s">
        <v>2661</v>
      </c>
      <c r="AH233" t="s">
        <v>2670</v>
      </c>
    </row>
    <row r="234" spans="1:34" ht="14.65" customHeight="1" x14ac:dyDescent="0.25">
      <c r="A234" s="9" t="str">
        <f>IF(ISBLANK('Signal Definition'!J234),"",'Signal Definition'!J234)</f>
        <v>InpOutp_aVeh_PHY</v>
      </c>
      <c r="B234" s="9">
        <f t="array" ref="B234">COUNT(FIND("input",$D234:$BY234))</f>
        <v>1</v>
      </c>
      <c r="C234" s="9">
        <f t="array" ref="C234">COUNT(FIND("output",$D234:$BY234))</f>
        <v>1</v>
      </c>
      <c r="AG234" t="s">
        <v>2661</v>
      </c>
      <c r="AH234" t="s">
        <v>2670</v>
      </c>
    </row>
    <row r="235" spans="1:34" ht="14.65" customHeight="1" x14ac:dyDescent="0.25">
      <c r="A235" s="9" t="str">
        <f>IF(ISBLANK('Signal Definition'!J235),"",'Signal Definition'!J235)</f>
        <v>InpOutp_omegaWhlSpd_PHY</v>
      </c>
      <c r="B235" s="9">
        <f t="array" ref="B235">COUNT(FIND("input",$D235:$BY235))</f>
        <v>1</v>
      </c>
      <c r="C235" s="9">
        <f t="array" ref="C235">COUNT(FIND("output",$D235:$BY235))</f>
        <v>1</v>
      </c>
      <c r="AG235" t="s">
        <v>2661</v>
      </c>
      <c r="AH235" t="s">
        <v>2670</v>
      </c>
    </row>
    <row r="236" spans="1:34" ht="14.65" customHeight="1" x14ac:dyDescent="0.25">
      <c r="A236" s="9" t="str">
        <f>IF(ISBLANK('Signal Definition'!J236),"",'Signal Definition'!J236)</f>
        <v>DrvrMdl_swtCrk_PHY</v>
      </c>
      <c r="B236" s="9">
        <f t="array" ref="B236">COUNT(FIND("input",$D236:$BY236))</f>
        <v>1</v>
      </c>
      <c r="C236" s="9">
        <f t="array" ref="C236">COUNT(FIND("output",$D236:$BY236))</f>
        <v>1</v>
      </c>
      <c r="E236" t="s">
        <v>2661</v>
      </c>
      <c r="AG236" t="s">
        <v>2670</v>
      </c>
    </row>
    <row r="237" spans="1:34" ht="14.65" customHeight="1" x14ac:dyDescent="0.25">
      <c r="A237" s="9" t="str">
        <f>IF(ISBLANK('Signal Definition'!J237),"",'Signal Definition'!J237)</f>
        <v>DrvrMdl_swtParkBrk_PHY</v>
      </c>
      <c r="B237" s="9">
        <f t="array" ref="B237">COUNT(FIND("input",$D237:$BY237))</f>
        <v>1</v>
      </c>
      <c r="C237" s="9">
        <f t="array" ref="C237">COUNT(FIND("output",$D237:$BY237))</f>
        <v>1</v>
      </c>
      <c r="E237" t="s">
        <v>2661</v>
      </c>
      <c r="AG237" t="s">
        <v>2670</v>
      </c>
    </row>
    <row r="238" spans="1:34" ht="14.65" customHeight="1" x14ac:dyDescent="0.25">
      <c r="A238" s="9" t="str">
        <f>IF(ISBLANK('Signal Definition'!J238),"",'Signal Definition'!J238)</f>
        <v>DrvrMdl_swtCrsCtrlSetPlus_PHY</v>
      </c>
      <c r="B238" s="9">
        <f t="array" ref="B238">COUNT(FIND("input",$D238:$BY238))</f>
        <v>1</v>
      </c>
      <c r="C238" s="9">
        <f t="array" ref="C238">COUNT(FIND("output",$D238:$BY238))</f>
        <v>1</v>
      </c>
      <c r="E238" t="s">
        <v>2661</v>
      </c>
      <c r="AG238" t="s">
        <v>2670</v>
      </c>
    </row>
    <row r="239" spans="1:34" ht="14.65" customHeight="1" x14ac:dyDescent="0.25">
      <c r="A239" s="9" t="str">
        <f>IF(ISBLANK('Signal Definition'!J239),"",'Signal Definition'!J239)</f>
        <v>DrvrMdl_swtCrsCtrlSetMinus_PHY</v>
      </c>
      <c r="B239" s="9">
        <f t="array" ref="B239">COUNT(FIND("input",$D239:$BY239))</f>
        <v>1</v>
      </c>
      <c r="C239" s="9">
        <f t="array" ref="C239">COUNT(FIND("output",$D239:$BY239))</f>
        <v>1</v>
      </c>
      <c r="E239" t="s">
        <v>2661</v>
      </c>
      <c r="AG239" t="s">
        <v>2670</v>
      </c>
    </row>
    <row r="240" spans="1:34" ht="14.65" customHeight="1" x14ac:dyDescent="0.25">
      <c r="A240" s="9" t="str">
        <f>IF(ISBLANK('Signal Definition'!J240),"",'Signal Definition'!J240)</f>
        <v>DrvrMdl_swtCrsCtrlOff_PHY</v>
      </c>
      <c r="B240" s="9">
        <f t="array" ref="B240">COUNT(FIND("input",$D240:$BY240))</f>
        <v>1</v>
      </c>
      <c r="C240" s="9">
        <f t="array" ref="C240">COUNT(FIND("output",$D240:$BY240))</f>
        <v>1</v>
      </c>
      <c r="E240" t="s">
        <v>2661</v>
      </c>
      <c r="AG240" t="s">
        <v>2670</v>
      </c>
    </row>
    <row r="241" spans="1:34" ht="14.65" customHeight="1" x14ac:dyDescent="0.25">
      <c r="A241" s="9" t="str">
        <f>IF(ISBLANK('Signal Definition'!J241),"",'Signal Definition'!J241)</f>
        <v>DrvrMdl_swtCrsCtrlResu_PHY</v>
      </c>
      <c r="B241" s="9">
        <f t="array" ref="B241">COUNT(FIND("input",$D241:$BY241))</f>
        <v>1</v>
      </c>
      <c r="C241" s="9">
        <f t="array" ref="C241">COUNT(FIND("output",$D241:$BY241))</f>
        <v>1</v>
      </c>
      <c r="E241" t="s">
        <v>2661</v>
      </c>
      <c r="AG241" t="s">
        <v>2670</v>
      </c>
    </row>
    <row r="242" spans="1:34" ht="14.65" customHeight="1" x14ac:dyDescent="0.25">
      <c r="A242" s="9" t="str">
        <f>IF(ISBLANK('Signal Definition'!J242),"",'Signal Definition'!J242)</f>
        <v>EngMdl_pFuRail_PHY</v>
      </c>
      <c r="B242" s="9">
        <f t="array" ref="B242">COUNT(FIND("input",$D242:$BY242))</f>
        <v>1</v>
      </c>
      <c r="C242" s="9">
        <f t="array" ref="C242">COUNT(FIND("output",$D242:$BY242))</f>
        <v>1</v>
      </c>
      <c r="K242" t="s">
        <v>2661</v>
      </c>
      <c r="AG242" t="s">
        <v>2670</v>
      </c>
    </row>
    <row r="243" spans="1:34" ht="14.65" customHeight="1" x14ac:dyDescent="0.25">
      <c r="A243" s="9" t="str">
        <f>IF(ISBLANK('Signal Definition'!J243),"",'Signal Definition'!J243)</f>
        <v>EngMdl_tEgrClrDs_PHY</v>
      </c>
      <c r="B243" s="9">
        <f t="array" ref="B243">COUNT(FIND("input",$D243:$BY243))</f>
        <v>1</v>
      </c>
      <c r="C243" s="9">
        <f t="array" ref="C243">COUNT(FIND("output",$D243:$BY243))</f>
        <v>1</v>
      </c>
      <c r="K243" t="s">
        <v>2661</v>
      </c>
      <c r="AG243" t="s">
        <v>2670</v>
      </c>
    </row>
    <row r="244" spans="1:34" ht="14.65" customHeight="1" x14ac:dyDescent="0.25">
      <c r="A244" s="9" t="str">
        <f>IF(ISBLANK('Signal Definition'!J244),"",'Signal Definition'!J244)</f>
        <v>ECU_numOperModAct_PHY</v>
      </c>
      <c r="B244" s="9">
        <f t="array" ref="B244">COUNT(FIND("input",$D244:$BY244))</f>
        <v>0</v>
      </c>
      <c r="C244" s="9">
        <f t="array" ref="C244">COUNT(FIND("output",$D244:$BY244))</f>
        <v>1</v>
      </c>
      <c r="AH244" t="s">
        <v>2661</v>
      </c>
    </row>
    <row r="245" spans="1:34" ht="14.65" customHeight="1" x14ac:dyDescent="0.25">
      <c r="A245" s="9" t="str">
        <f>IF(ISBLANK('Signal Definition'!J245),"",'Signal Definition'!J245)</f>
        <v>ECU_qInjTot_PHY</v>
      </c>
      <c r="B245" s="9">
        <f t="array" ref="B245">COUNT(FIND("input",$D245:$BY245))</f>
        <v>3</v>
      </c>
      <c r="C245" s="9">
        <f t="array" ref="C245">COUNT(FIND("output",$D245:$BY245))</f>
        <v>1</v>
      </c>
      <c r="K245" t="s">
        <v>2670</v>
      </c>
      <c r="L245" t="s">
        <v>2670</v>
      </c>
      <c r="AD245" t="s">
        <v>2670</v>
      </c>
      <c r="AH245" t="s">
        <v>2661</v>
      </c>
    </row>
    <row r="246" spans="1:34" ht="14.65" customHeight="1" x14ac:dyDescent="0.25">
      <c r="A246" s="9" t="str">
        <f>IF(ISBLANK('Signal Definition'!J246),"",'Signal Definition'!J246)</f>
        <v>ECU_qInjMai1_PHY</v>
      </c>
      <c r="B246" s="9">
        <f t="array" ref="B246">COUNT(FIND("input",$D246:$BY246))</f>
        <v>1</v>
      </c>
      <c r="C246" s="9">
        <f t="array" ref="C246">COUNT(FIND("output",$D246:$BY246))</f>
        <v>1</v>
      </c>
      <c r="K246" t="s">
        <v>2670</v>
      </c>
      <c r="AH246" t="s">
        <v>2661</v>
      </c>
    </row>
    <row r="247" spans="1:34" ht="14.65" customHeight="1" x14ac:dyDescent="0.25">
      <c r="A247" s="9" t="str">
        <f>IF(ISBLANK('Signal Definition'!J247),"",'Signal Definition'!J247)</f>
        <v>ECU_qInjPil1_PHY</v>
      </c>
      <c r="B247" s="9">
        <f t="array" ref="B247">COUNT(FIND("input",$D247:$BY247))</f>
        <v>1</v>
      </c>
      <c r="C247" s="9">
        <f t="array" ref="C247">COUNT(FIND("output",$D247:$BY247))</f>
        <v>1</v>
      </c>
      <c r="K247" t="s">
        <v>2670</v>
      </c>
      <c r="AH247" t="s">
        <v>2661</v>
      </c>
    </row>
    <row r="248" spans="1:34" ht="14.65" customHeight="1" x14ac:dyDescent="0.25">
      <c r="A248" s="9" t="str">
        <f>IF(ISBLANK('Signal Definition'!J248),"",'Signal Definition'!J248)</f>
        <v>ECU_qInjPil2_PHY</v>
      </c>
      <c r="B248" s="9">
        <f t="array" ref="B248">COUNT(FIND("input",$D248:$BY248))</f>
        <v>1</v>
      </c>
      <c r="C248" s="9">
        <f t="array" ref="C248">COUNT(FIND("output",$D248:$BY248))</f>
        <v>1</v>
      </c>
      <c r="K248" t="s">
        <v>2670</v>
      </c>
      <c r="AH248" t="s">
        <v>2661</v>
      </c>
    </row>
    <row r="249" spans="1:34" ht="14.65" customHeight="1" x14ac:dyDescent="0.25">
      <c r="A249" s="9" t="str">
        <f>IF(ISBLANK('Signal Definition'!J249),"",'Signal Definition'!J249)</f>
        <v>ECU_qInjPost1_PHY</v>
      </c>
      <c r="B249" s="9">
        <f t="array" ref="B249">COUNT(FIND("input",$D249:$BY249))</f>
        <v>2</v>
      </c>
      <c r="C249" s="9">
        <f t="array" ref="C249">COUNT(FIND("output",$D249:$BY249))</f>
        <v>1</v>
      </c>
      <c r="K249" t="s">
        <v>2670</v>
      </c>
      <c r="L249" t="s">
        <v>2670</v>
      </c>
      <c r="AH249" t="s">
        <v>2661</v>
      </c>
    </row>
    <row r="250" spans="1:34" ht="14.65" customHeight="1" x14ac:dyDescent="0.25">
      <c r="A250" s="9" t="str">
        <f>IF(ISBLANK('Signal Definition'!J250),"",'Signal Definition'!J250)</f>
        <v>ECU_qInjPost2_PHY</v>
      </c>
      <c r="B250" s="9">
        <f t="array" ref="B250">COUNT(FIND("input",$D250:$BY250))</f>
        <v>2</v>
      </c>
      <c r="C250" s="9">
        <f t="array" ref="C250">COUNT(FIND("output",$D250:$BY250))</f>
        <v>1</v>
      </c>
      <c r="K250" t="s">
        <v>2670</v>
      </c>
      <c r="L250" t="s">
        <v>2670</v>
      </c>
      <c r="AH250" t="s">
        <v>2661</v>
      </c>
    </row>
    <row r="251" spans="1:34" ht="14.65" customHeight="1" x14ac:dyDescent="0.25">
      <c r="A251" s="9" t="str">
        <f>IF(ISBLANK('Signal Definition'!J251),"",'Signal Definition'!J251)</f>
        <v>ECU_phiInjMai1_PHY</v>
      </c>
      <c r="B251" s="9">
        <f t="array" ref="B251">COUNT(FIND("input",$D251:$BY251))</f>
        <v>1</v>
      </c>
      <c r="C251" s="9">
        <f t="array" ref="C251">COUNT(FIND("output",$D251:$BY251))</f>
        <v>1</v>
      </c>
      <c r="K251" t="s">
        <v>2670</v>
      </c>
      <c r="AH251" t="s">
        <v>2661</v>
      </c>
    </row>
    <row r="252" spans="1:34" ht="14.65" customHeight="1" x14ac:dyDescent="0.25">
      <c r="A252" s="9" t="str">
        <f>IF(ISBLANK('Signal Definition'!J252),"",'Signal Definition'!J252)</f>
        <v>ECU_phiInjPil1_PHY</v>
      </c>
      <c r="B252" s="9">
        <f t="array" ref="B252">COUNT(FIND("input",$D252:$BY252))</f>
        <v>1</v>
      </c>
      <c r="C252" s="9">
        <f t="array" ref="C252">COUNT(FIND("output",$D252:$BY252))</f>
        <v>1</v>
      </c>
      <c r="K252" t="s">
        <v>2670</v>
      </c>
      <c r="AH252" t="s">
        <v>2661</v>
      </c>
    </row>
    <row r="253" spans="1:34" ht="14.65" customHeight="1" x14ac:dyDescent="0.25">
      <c r="A253" s="9" t="str">
        <f>IF(ISBLANK('Signal Definition'!J253),"",'Signal Definition'!J253)</f>
        <v>ECU_phiInjPil2_PHY</v>
      </c>
      <c r="B253" s="9">
        <f t="array" ref="B253">COUNT(FIND("input",$D253:$BY253))</f>
        <v>1</v>
      </c>
      <c r="C253" s="9">
        <f t="array" ref="C253">COUNT(FIND("output",$D253:$BY253))</f>
        <v>1</v>
      </c>
      <c r="K253" t="s">
        <v>2670</v>
      </c>
      <c r="AH253" t="s">
        <v>2661</v>
      </c>
    </row>
    <row r="254" spans="1:34" ht="14.65" customHeight="1" x14ac:dyDescent="0.25">
      <c r="A254" s="9" t="str">
        <f>IF(ISBLANK('Signal Definition'!J254),"",'Signal Definition'!J254)</f>
        <v>ECU_phiInjPost1_PHY</v>
      </c>
      <c r="B254" s="9">
        <f t="array" ref="B254">COUNT(FIND("input",$D254:$BY254))</f>
        <v>1</v>
      </c>
      <c r="C254" s="9">
        <f t="array" ref="C254">COUNT(FIND("output",$D254:$BY254))</f>
        <v>1</v>
      </c>
      <c r="K254" t="s">
        <v>2670</v>
      </c>
      <c r="AH254" t="s">
        <v>2661</v>
      </c>
    </row>
    <row r="255" spans="1:34" ht="14.65" customHeight="1" x14ac:dyDescent="0.25">
      <c r="A255" s="9" t="str">
        <f>IF(ISBLANK('Signal Definition'!J255),"",'Signal Definition'!J255)</f>
        <v>ECU_phiInjPost2_PHY</v>
      </c>
      <c r="B255" s="9">
        <f t="array" ref="B255">COUNT(FIND("input",$D255:$BY255))</f>
        <v>1</v>
      </c>
      <c r="C255" s="9">
        <f t="array" ref="C255">COUNT(FIND("output",$D255:$BY255))</f>
        <v>1</v>
      </c>
      <c r="K255" t="s">
        <v>2670</v>
      </c>
      <c r="AH255" t="s">
        <v>2661</v>
      </c>
    </row>
    <row r="256" spans="1:34" ht="14.65" customHeight="1" x14ac:dyDescent="0.25">
      <c r="A256" s="9" t="str">
        <f>IF(ISBLANK('Signal Definition'!J256),"",'Signal Definition'!J256)</f>
        <v>ECU_pFuRailDes_PHY</v>
      </c>
      <c r="B256" s="9">
        <f t="array" ref="B256">COUNT(FIND("input",$D256:$BY256))</f>
        <v>1</v>
      </c>
      <c r="C256" s="9">
        <f t="array" ref="C256">COUNT(FIND("output",$D256:$BY256))</f>
        <v>1</v>
      </c>
      <c r="K256" t="s">
        <v>2670</v>
      </c>
      <c r="AH256" t="s">
        <v>2661</v>
      </c>
    </row>
    <row r="257" spans="1:34" ht="14.65" customHeight="1" x14ac:dyDescent="0.25">
      <c r="A257" s="9" t="str">
        <f>IF(ISBLANK('Signal Definition'!J257),"",'Signal Definition'!J257)</f>
        <v>ECU_nEngSetLo_PHY</v>
      </c>
      <c r="B257" s="9">
        <f t="array" ref="B257">COUNT(FIND("input",$D257:$BY257))</f>
        <v>2</v>
      </c>
      <c r="C257" s="9">
        <f t="array" ref="C257">COUNT(FIND("output",$D257:$BY257))</f>
        <v>1</v>
      </c>
      <c r="H257" t="s">
        <v>2670</v>
      </c>
      <c r="I257" t="s">
        <v>2670</v>
      </c>
      <c r="AH257" t="s">
        <v>2661</v>
      </c>
    </row>
    <row r="258" spans="1:34" ht="14.65" customHeight="1" x14ac:dyDescent="0.25">
      <c r="A258" s="9" t="str">
        <f>IF(ISBLANK('Signal Definition'!J258),"",'Signal Definition'!J258)</f>
        <v>ECU_trqEngMax_PHY</v>
      </c>
      <c r="B258" s="9">
        <f t="array" ref="B258">COUNT(FIND("input",$D258:$BY258))</f>
        <v>1</v>
      </c>
      <c r="C258" s="9">
        <f t="array" ref="C258">COUNT(FIND("output",$D258:$BY258))</f>
        <v>1</v>
      </c>
      <c r="H258" t="s">
        <v>2670</v>
      </c>
      <c r="AH258" t="s">
        <v>2661</v>
      </c>
    </row>
    <row r="259" spans="1:34" ht="14.65" customHeight="1" x14ac:dyDescent="0.25">
      <c r="A259" s="9" t="str">
        <f>IF(ISBLANK('Signal Definition'!J259),"",'Signal Definition'!J259)</f>
        <v>ECU_prcEngActTq_PHY</v>
      </c>
      <c r="B259" s="9">
        <f t="array" ref="B259">COUNT(FIND("input",$D259:$BY259))</f>
        <v>1</v>
      </c>
      <c r="C259" s="9">
        <f t="array" ref="C259">COUNT(FIND("output",$D259:$BY259))</f>
        <v>1</v>
      </c>
      <c r="H259" t="s">
        <v>2670</v>
      </c>
      <c r="AH259" t="s">
        <v>2661</v>
      </c>
    </row>
    <row r="260" spans="1:34" ht="14.65" customHeight="1" x14ac:dyDescent="0.25">
      <c r="A260" s="9" t="str">
        <f>IF(ISBLANK('Signal Definition'!J260),"",'Signal Definition'!J260)</f>
        <v>ECU_prcEngActTqFrac_PHY</v>
      </c>
      <c r="B260" s="9">
        <f t="array" ref="B260">COUNT(FIND("input",$D260:$BY260))</f>
        <v>1</v>
      </c>
      <c r="C260" s="9">
        <f t="array" ref="C260">COUNT(FIND("output",$D260:$BY260))</f>
        <v>1</v>
      </c>
      <c r="H260" t="s">
        <v>2670</v>
      </c>
      <c r="AH260" t="s">
        <v>2661</v>
      </c>
    </row>
    <row r="261" spans="1:34" ht="14.65" customHeight="1" x14ac:dyDescent="0.25">
      <c r="A261" s="9" t="str">
        <f>IF(ISBLANK('Signal Definition'!J261),"",'Signal Definition'!J261)</f>
        <v>ECU_prcEngFricTq_PHY</v>
      </c>
      <c r="B261" s="9">
        <f t="array" ref="B261">COUNT(FIND("input",$D261:$BY261))</f>
        <v>1</v>
      </c>
      <c r="C261" s="9">
        <f t="array" ref="C261">COUNT(FIND("output",$D261:$BY261))</f>
        <v>1</v>
      </c>
      <c r="H261" t="s">
        <v>2670</v>
      </c>
      <c r="AH261" t="s">
        <v>2661</v>
      </c>
    </row>
    <row r="262" spans="1:34" ht="14.65" customHeight="1" x14ac:dyDescent="0.25">
      <c r="A262" s="9" t="str">
        <f>IF(ISBLANK('Signal Definition'!J262),"",'Signal Definition'!J262)</f>
        <v>ECU_mflUreaDes_PHY</v>
      </c>
      <c r="B262" s="9">
        <f t="array" ref="B262">COUNT(FIND("input",$D262:$BY262))</f>
        <v>1</v>
      </c>
      <c r="C262" s="9">
        <f t="array" ref="C262">COUNT(FIND("output",$D262:$BY262))</f>
        <v>1</v>
      </c>
      <c r="L262" t="s">
        <v>2670</v>
      </c>
      <c r="AH262" t="s">
        <v>2661</v>
      </c>
    </row>
    <row r="263" spans="1:34" ht="14.65" customHeight="1" x14ac:dyDescent="0.25">
      <c r="A263" s="9" t="str">
        <f>IF(ISBLANK('Signal Definition'!J263),"",'Signal Definition'!J263)</f>
        <v>ECU_nFanDes_PHY</v>
      </c>
      <c r="B263" s="9">
        <f t="array" ref="B263">COUNT(FIND("input",$D263:$BY263))</f>
        <v>0</v>
      </c>
      <c r="C263" s="9">
        <f t="array" ref="C263">COUNT(FIND("output",$D263:$BY263))</f>
        <v>1</v>
      </c>
      <c r="AH263" t="s">
        <v>2661</v>
      </c>
    </row>
    <row r="264" spans="1:34" ht="14.65" customHeight="1" x14ac:dyDescent="0.25">
      <c r="A264" s="9" t="str">
        <f>IF(ISBLANK('Signal Definition'!J264),"",'Signal Definition'!J264)</f>
        <v>ECU_prcEngDrvrDmdTq_PHY</v>
      </c>
      <c r="B264" s="9">
        <f t="array" ref="B264">COUNT(FIND("input",$D264:$BY264))</f>
        <v>1</v>
      </c>
      <c r="C264" s="9">
        <f t="array" ref="C264">COUNT(FIND("output",$D264:$BY264))</f>
        <v>1</v>
      </c>
      <c r="H264" t="s">
        <v>2670</v>
      </c>
      <c r="AH264" t="s">
        <v>2661</v>
      </c>
    </row>
    <row r="265" spans="1:34" ht="14.65" customHeight="1" x14ac:dyDescent="0.25">
      <c r="A265" s="9" t="str">
        <f>IF(ISBLANK('Signal Definition'!J265),"",'Signal Definition'!J265)</f>
        <v>ECU_trqEngSetInr_PHY</v>
      </c>
      <c r="B265" s="9">
        <f t="array" ref="B265">COUNT(FIND("input",$D265:$BY265))</f>
        <v>0</v>
      </c>
      <c r="C265" s="9">
        <f t="array" ref="C265">COUNT(FIND("output",$D265:$BY265))</f>
        <v>1</v>
      </c>
      <c r="AH265" t="s">
        <v>2661</v>
      </c>
    </row>
    <row r="266" spans="1:34" ht="14.65" customHeight="1" x14ac:dyDescent="0.25">
      <c r="A266" s="9" t="str">
        <f>IF(ISBLANK('Signal Definition'!J266),"",'Signal Definition'!J266)</f>
        <v>ECU_prcTrbVlvDes_PHY</v>
      </c>
      <c r="B266" s="9">
        <f t="array" ref="B266">COUNT(FIND("input",$D266:$BY266))</f>
        <v>2</v>
      </c>
      <c r="C266" s="9">
        <f t="array" ref="C266">COUNT(FIND("output",$D266:$BY266))</f>
        <v>1</v>
      </c>
      <c r="K266" t="s">
        <v>2670</v>
      </c>
      <c r="AD266" t="s">
        <v>2670</v>
      </c>
      <c r="AH266" t="s">
        <v>2661</v>
      </c>
    </row>
    <row r="267" spans="1:34" ht="14.65" customHeight="1" x14ac:dyDescent="0.25">
      <c r="A267" s="9" t="str">
        <f>IF(ISBLANK('Signal Definition'!J267),"",'Signal Definition'!J267)</f>
        <v>ECU_prcEgrVlvDes_PHY</v>
      </c>
      <c r="B267" s="9">
        <f t="array" ref="B267">COUNT(FIND("input",$D267:$BY267))</f>
        <v>2</v>
      </c>
      <c r="C267" s="9">
        <f t="array" ref="C267">COUNT(FIND("output",$D267:$BY267))</f>
        <v>1</v>
      </c>
      <c r="K267" t="s">
        <v>2670</v>
      </c>
      <c r="AD267" t="s">
        <v>2670</v>
      </c>
      <c r="AH267" t="s">
        <v>2661</v>
      </c>
    </row>
    <row r="268" spans="1:34" ht="14.65" customHeight="1" x14ac:dyDescent="0.25">
      <c r="A268" s="9" t="str">
        <f>IF(ISBLANK('Signal Definition'!J268),"",'Signal Definition'!J268)</f>
        <v>ECU_prcThrVlvDes_PHY</v>
      </c>
      <c r="B268" s="9">
        <f t="array" ref="B268">COUNT(FIND("input",$D268:$BY268))</f>
        <v>2</v>
      </c>
      <c r="C268" s="9">
        <f t="array" ref="C268">COUNT(FIND("output",$D268:$BY268))</f>
        <v>1</v>
      </c>
      <c r="K268" t="s">
        <v>2670</v>
      </c>
      <c r="AD268" t="s">
        <v>2670</v>
      </c>
      <c r="AH268" t="s">
        <v>2661</v>
      </c>
    </row>
    <row r="269" spans="1:34" ht="14.65" customHeight="1" x14ac:dyDescent="0.25">
      <c r="A269" s="9" t="str">
        <f>IF(ISBLANK('Signal Definition'!J269),"",'Signal Definition'!J269)</f>
        <v>ECU_stCrsCtrl_PHY</v>
      </c>
      <c r="B269" s="9">
        <f t="array" ref="B269">COUNT(FIND("input",$D269:$BY269))</f>
        <v>1</v>
      </c>
      <c r="C269" s="9">
        <f t="array" ref="C269">COUNT(FIND("output",$D269:$BY269))</f>
        <v>1</v>
      </c>
      <c r="H269" t="s">
        <v>2670</v>
      </c>
      <c r="AH269" t="s">
        <v>2661</v>
      </c>
    </row>
    <row r="270" spans="1:34" ht="14.65" customHeight="1" x14ac:dyDescent="0.25">
      <c r="A270" s="9" t="str">
        <f>IF(ISBLANK('Signal Definition'!J270),"",'Signal Definition'!J270)</f>
        <v>ECU_vVehDesCrsCtrl_PHY</v>
      </c>
      <c r="B270" s="9">
        <f t="array" ref="B270">COUNT(FIND("input",$D270:$BY270))</f>
        <v>0</v>
      </c>
      <c r="C270" s="9">
        <f t="array" ref="C270">COUNT(FIND("output",$D270:$BY270))</f>
        <v>1</v>
      </c>
      <c r="AH270" t="s">
        <v>2661</v>
      </c>
    </row>
    <row r="271" spans="1:34" ht="14.65" customHeight="1" x14ac:dyDescent="0.25">
      <c r="A271" s="9" t="str">
        <f>IF(ISBLANK('Signal Definition'!J271),"",'Signal Definition'!J271)</f>
        <v>ECU_vVehCrsCtrl_PHY</v>
      </c>
      <c r="B271" s="9">
        <f t="array" ref="B271">COUNT(FIND("input",$D271:$BY271))</f>
        <v>0</v>
      </c>
      <c r="C271" s="9">
        <f t="array" ref="C271">COUNT(FIND("output",$D271:$BY271))</f>
        <v>1</v>
      </c>
      <c r="AH271" t="s">
        <v>2661</v>
      </c>
    </row>
    <row r="272" spans="1:34" ht="14.65" customHeight="1" x14ac:dyDescent="0.25">
      <c r="A272" s="9" t="str">
        <f>IF(ISBLANK('Signal Definition'!J272),"",'Signal Definition'!J272)</f>
        <v>ECU_pIntkMnfldDes_PHY</v>
      </c>
      <c r="B272" s="9">
        <f t="array" ref="B272">COUNT(FIND("input",$D272:$BY272))</f>
        <v>1</v>
      </c>
      <c r="C272" s="9">
        <f t="array" ref="C272">COUNT(FIND("output",$D272:$BY272))</f>
        <v>1</v>
      </c>
      <c r="K272" t="s">
        <v>2670</v>
      </c>
      <c r="AH272" t="s">
        <v>2661</v>
      </c>
    </row>
    <row r="273" spans="1:34" ht="14.65" customHeight="1" x14ac:dyDescent="0.25">
      <c r="A273" s="9" t="str">
        <f>IF(ISBLANK('Signal Definition'!J273),"",'Signal Definition'!J273)</f>
        <v>ECU_mflChrgdAirDes_PHY</v>
      </c>
      <c r="B273" s="9">
        <f t="array" ref="B273">COUNT(FIND("input",$D273:$BY273))</f>
        <v>1</v>
      </c>
      <c r="C273" s="9">
        <f t="array" ref="C273">COUNT(FIND("output",$D273:$BY273))</f>
        <v>1</v>
      </c>
      <c r="K273" t="s">
        <v>2670</v>
      </c>
      <c r="AH273" t="s">
        <v>2661</v>
      </c>
    </row>
    <row r="274" spans="1:34" ht="14.65" customHeight="1" x14ac:dyDescent="0.25">
      <c r="A274" s="9" t="str">
        <f>IF(ISBLANK('Signal Definition'!J274),"",'Signal Definition'!J274)</f>
        <v>ECU_trqEstimdTotAux_PHY</v>
      </c>
      <c r="B274" s="9">
        <f t="array" ref="B274">COUNT(FIND("input",$D274:$BY274))</f>
        <v>0</v>
      </c>
      <c r="C274" s="9">
        <f t="array" ref="C274">COUNT(FIND("output",$D274:$BY274))</f>
        <v>1</v>
      </c>
      <c r="AH274" t="s">
        <v>2661</v>
      </c>
    </row>
    <row r="275" spans="1:34" ht="14.65" customHeight="1" x14ac:dyDescent="0.25">
      <c r="A275" s="9" t="str">
        <f>IF(ISBLANK('Signal Definition'!J275),"",'Signal Definition'!J275)</f>
        <v>ECU_swtAirCmpr_PHY</v>
      </c>
      <c r="B275" s="9">
        <f t="array" ref="B275">COUNT(FIND("input",$D275:$BY275))</f>
        <v>0</v>
      </c>
      <c r="C275" s="9">
        <f t="array" ref="C275">COUNT(FIND("output",$D275:$BY275))</f>
        <v>1</v>
      </c>
      <c r="AH275" t="s">
        <v>2661</v>
      </c>
    </row>
    <row r="276" spans="1:34" ht="14.65" customHeight="1" x14ac:dyDescent="0.25">
      <c r="A276" s="9" t="str">
        <f>IF(ISBLANK('Signal Definition'!J276),"",'Signal Definition'!J276)</f>
        <v>ECU_pAirTank_PHY</v>
      </c>
      <c r="B276" s="9">
        <f t="array" ref="B276">COUNT(FIND("input",$D276:$BY276))</f>
        <v>0</v>
      </c>
      <c r="C276" s="9">
        <f t="array" ref="C276">COUNT(FIND("output",$D276:$BY276))</f>
        <v>1</v>
      </c>
      <c r="AH276" t="s">
        <v>2661</v>
      </c>
    </row>
    <row r="277" spans="1:34" ht="14.65" customHeight="1" x14ac:dyDescent="0.25">
      <c r="A277" s="9" t="str">
        <f>IF(ISBLANK('Signal Definition'!J277),"",'Signal Definition'!J277)</f>
        <v>ECU_swtAirCmprOpertgMod_PHY</v>
      </c>
      <c r="B277" s="9">
        <f t="array" ref="B277">COUNT(FIND("input",$D277:$BY277))</f>
        <v>0</v>
      </c>
      <c r="C277" s="9">
        <f t="array" ref="C277">COUNT(FIND("output",$D277:$BY277))</f>
        <v>1</v>
      </c>
      <c r="AH277" t="s">
        <v>2661</v>
      </c>
    </row>
    <row r="278" spans="1:34" ht="14.65" customHeight="1" x14ac:dyDescent="0.25">
      <c r="A278" s="9" t="str">
        <f>IF(ISBLANK('Signal Definition'!J278),"",'Signal Definition'!J278)</f>
        <v>ECU_stBattStOfChrg_PHY</v>
      </c>
      <c r="B278" s="9">
        <f t="array" ref="B278">COUNT(FIND("input",$D278:$BY278))</f>
        <v>0</v>
      </c>
      <c r="C278" s="9">
        <f t="array" ref="C278">COUNT(FIND("output",$D278:$BY278))</f>
        <v>1</v>
      </c>
      <c r="AH278" t="s">
        <v>2661</v>
      </c>
    </row>
    <row r="279" spans="1:34" ht="14.65" customHeight="1" x14ac:dyDescent="0.25">
      <c r="A279" s="9" t="str">
        <f>IF(ISBLANK('Signal Definition'!J279),"",'Signal Definition'!J279)</f>
        <v>ECU_trqGenr_PHY</v>
      </c>
      <c r="B279" s="9">
        <f t="array" ref="B279">COUNT(FIND("input",$D279:$BY279))</f>
        <v>0</v>
      </c>
      <c r="C279" s="9">
        <f t="array" ref="C279">COUNT(FIND("output",$D279:$BY279))</f>
        <v>1</v>
      </c>
      <c r="AH279" t="s">
        <v>2661</v>
      </c>
    </row>
    <row r="280" spans="1:34" ht="14.65" customHeight="1" x14ac:dyDescent="0.25">
      <c r="A280" s="9" t="str">
        <f>IF(ISBLANK('Signal Definition'!J280),"",'Signal Definition'!J280)</f>
        <v>ECU_nGenr_PHY</v>
      </c>
      <c r="B280" s="9">
        <f t="array" ref="B280">COUNT(FIND("input",$D280:$BY280))</f>
        <v>0</v>
      </c>
      <c r="C280" s="9">
        <f t="array" ref="C280">COUNT(FIND("output",$D280:$BY280))</f>
        <v>1</v>
      </c>
      <c r="AH280" t="s">
        <v>2661</v>
      </c>
    </row>
    <row r="281" spans="1:34" ht="14.65" customHeight="1" x14ac:dyDescent="0.25">
      <c r="A281" s="9" t="str">
        <f>IF(ISBLANK('Signal Definition'!J281),"",'Signal Definition'!J281)</f>
        <v>ECU_tCooltSp_PHY</v>
      </c>
      <c r="B281" s="9">
        <f t="array" ref="B281">COUNT(FIND("input",$D281:$BY281))</f>
        <v>0</v>
      </c>
      <c r="C281" s="9">
        <f t="array" ref="C281">COUNT(FIND("output",$D281:$BY281))</f>
        <v>1</v>
      </c>
      <c r="AH281" t="s">
        <v>2661</v>
      </c>
    </row>
    <row r="282" spans="1:34" ht="14.65" customHeight="1" x14ac:dyDescent="0.25">
      <c r="A282" s="9" t="str">
        <f>IF(ISBLANK('Signal Definition'!J282),"",'Signal Definition'!J282)</f>
        <v>ECU_tIntrTSp_PHY</v>
      </c>
      <c r="B282" s="9">
        <f t="array" ref="B282">COUNT(FIND("input",$D282:$BY282))</f>
        <v>0</v>
      </c>
      <c r="C282" s="9">
        <f t="array" ref="C282">COUNT(FIND("output",$D282:$BY282))</f>
        <v>1</v>
      </c>
      <c r="AH282" t="s">
        <v>2661</v>
      </c>
    </row>
    <row r="283" spans="1:34" ht="14.65" customHeight="1" x14ac:dyDescent="0.25">
      <c r="A283" s="9" t="str">
        <f>IF(ISBLANK('Signal Definition'!J283),"",'Signal Definition'!J283)</f>
        <v>ECU_nCrksft_PHY</v>
      </c>
      <c r="B283" s="9">
        <f t="array" ref="B283">COUNT(FIND("input",$D283:$BY283))</f>
        <v>0</v>
      </c>
      <c r="C283" s="9">
        <f t="array" ref="C283">COUNT(FIND("output",$D283:$BY283))</f>
        <v>1</v>
      </c>
      <c r="AH283" t="s">
        <v>2661</v>
      </c>
    </row>
    <row r="284" spans="1:34" ht="14.65" customHeight="1" x14ac:dyDescent="0.25">
      <c r="A284" s="9" t="str">
        <f>IF(ISBLANK('Signal Definition'!J284),"",'Signal Definition'!J284)</f>
        <v>ECU_trqEngTqOut_PHY</v>
      </c>
      <c r="B284" s="9">
        <f t="array" ref="B284">COUNT(FIND("input",$D284:$BY284))</f>
        <v>0</v>
      </c>
      <c r="C284" s="9">
        <f t="array" ref="C284">COUNT(FIND("output",$D284:$BY284))</f>
        <v>1</v>
      </c>
      <c r="AH284" t="s">
        <v>2661</v>
      </c>
    </row>
    <row r="285" spans="1:34" ht="14.65" customHeight="1" x14ac:dyDescent="0.25">
      <c r="A285" s="9" t="str">
        <f>IF(ISBLANK('Signal Definition'!J285),"",'Signal Definition'!J285)</f>
        <v>ECU_pwrRqrdElecPwrConsumer_PHY</v>
      </c>
      <c r="B285" s="9">
        <f t="array" ref="B285">COUNT(FIND("input",$D285:$BY285))</f>
        <v>0</v>
      </c>
      <c r="C285" s="9">
        <f t="array" ref="C285">COUNT(FIND("output",$D285:$BY285))</f>
        <v>1</v>
      </c>
      <c r="AH285" t="s">
        <v>2661</v>
      </c>
    </row>
    <row r="286" spans="1:34" ht="14.65" customHeight="1" x14ac:dyDescent="0.25">
      <c r="A286" s="9" t="str">
        <f>IF(ISBLANK('Signal Definition'!J286),"",'Signal Definition'!J286)</f>
        <v>ECU_pwrMotGenrSetPwr_PHY</v>
      </c>
      <c r="B286" s="9">
        <f t="array" ref="B286">COUNT(FIND("input",$D286:$BY286))</f>
        <v>0</v>
      </c>
      <c r="C286" s="9">
        <f t="array" ref="C286">COUNT(FIND("output",$D286:$BY286))</f>
        <v>1</v>
      </c>
      <c r="AH286" t="s">
        <v>2661</v>
      </c>
    </row>
    <row r="287" spans="1:34" ht="14.65" customHeight="1" x14ac:dyDescent="0.25">
      <c r="A287" s="9" t="str">
        <f>IF(ISBLANK('Signal Definition'!J287),"",'Signal Definition'!J287)</f>
        <v>ECU_pwrMotGenrPwrMax_PHY</v>
      </c>
      <c r="B287" s="9">
        <f t="array" ref="B287">COUNT(FIND("input",$D287:$BY287))</f>
        <v>0</v>
      </c>
      <c r="C287" s="9">
        <f t="array" ref="C287">COUNT(FIND("output",$D287:$BY287))</f>
        <v>1</v>
      </c>
      <c r="AH287" t="s">
        <v>2661</v>
      </c>
    </row>
    <row r="288" spans="1:34" ht="14.65" customHeight="1" x14ac:dyDescent="0.25">
      <c r="A288" s="9" t="str">
        <f>IF(ISBLANK('Signal Definition'!J288),"",'Signal Definition'!J288)</f>
        <v>ECU_pwrMotGenrPwrMin_PHY</v>
      </c>
      <c r="B288" s="9">
        <f t="array" ref="B288">COUNT(FIND("input",$D288:$BY288))</f>
        <v>0</v>
      </c>
      <c r="C288" s="9">
        <f t="array" ref="C288">COUNT(FIND("output",$D288:$BY288))</f>
        <v>1</v>
      </c>
      <c r="AH288" t="s">
        <v>2661</v>
      </c>
    </row>
    <row r="289" spans="1:38" ht="14.65" customHeight="1" x14ac:dyDescent="0.25">
      <c r="A289" s="9" t="str">
        <f>IF(ISBLANK('Signal Definition'!J289),"",'Signal Definition'!J289)</f>
        <v>ECU_pwrBattPwrMaxAvl_PHY</v>
      </c>
      <c r="B289" s="9">
        <f t="array" ref="B289">COUNT(FIND("input",$D289:$BY289))</f>
        <v>0</v>
      </c>
      <c r="C289" s="9">
        <f t="array" ref="C289">COUNT(FIND("output",$D289:$BY289))</f>
        <v>1</v>
      </c>
      <c r="AH289" t="s">
        <v>2661</v>
      </c>
    </row>
    <row r="290" spans="1:38" ht="14.65" customHeight="1" x14ac:dyDescent="0.25">
      <c r="A290" s="9" t="str">
        <f>IF(ISBLANK('Signal Definition'!J290),"",'Signal Definition'!J290)</f>
        <v>ECU_pwrBattPwrMinAvl_PHY</v>
      </c>
      <c r="B290" s="9">
        <f t="array" ref="B290">COUNT(FIND("input",$D290:$BY290))</f>
        <v>0</v>
      </c>
      <c r="C290" s="9">
        <f t="array" ref="C290">COUNT(FIND("output",$D290:$BY290))</f>
        <v>1</v>
      </c>
      <c r="AH290" t="s">
        <v>2661</v>
      </c>
    </row>
    <row r="291" spans="1:38" ht="14.65" customHeight="1" x14ac:dyDescent="0.25">
      <c r="A291" s="9" t="str">
        <f>IF(ISBLANK('Signal Definition'!J291),"",'Signal Definition'!J291)</f>
        <v>ECU_vVehSpd_PHY</v>
      </c>
      <c r="B291" s="9">
        <f t="array" ref="B291">COUNT(FIND("input",$D291:$BY291))</f>
        <v>0</v>
      </c>
      <c r="C291" s="9">
        <f t="array" ref="C291">COUNT(FIND("output",$D291:$BY291))</f>
        <v>1</v>
      </c>
      <c r="AH291" t="s">
        <v>2661</v>
      </c>
    </row>
    <row r="292" spans="1:38" ht="14.65" customHeight="1" x14ac:dyDescent="0.25">
      <c r="A292" s="9" t="str">
        <f>IF(ISBLANK('Signal Definition'!J292),"",'Signal Definition'!J292)</f>
        <v>ECU_lDstTrvld_PHY</v>
      </c>
      <c r="B292" s="9">
        <f t="array" ref="B292">COUNT(FIND("input",$D292:$BY292))</f>
        <v>0</v>
      </c>
      <c r="C292" s="9">
        <f t="array" ref="C292">COUNT(FIND("output",$D292:$BY292))</f>
        <v>1</v>
      </c>
      <c r="AH292" t="s">
        <v>2661</v>
      </c>
    </row>
    <row r="293" spans="1:38" ht="14.65" customHeight="1" x14ac:dyDescent="0.25">
      <c r="A293" s="9" t="str">
        <f>IF(ISBLANK('Signal Definition'!J293),"",'Signal Definition'!J293)</f>
        <v>ECU_aVeh_PHY</v>
      </c>
      <c r="B293" s="9">
        <f t="array" ref="B293">COUNT(FIND("input",$D293:$BY293))</f>
        <v>0</v>
      </c>
      <c r="C293" s="9">
        <f t="array" ref="C293">COUNT(FIND("output",$D293:$BY293))</f>
        <v>1</v>
      </c>
      <c r="AH293" t="s">
        <v>2661</v>
      </c>
    </row>
    <row r="294" spans="1:38" ht="14.65" customHeight="1" x14ac:dyDescent="0.25">
      <c r="A294" s="9" t="str">
        <f>IF(ISBLANK('Signal Definition'!J294),"",'Signal Definition'!J294)</f>
        <v>ECU_omegaWhlSpd_PHY</v>
      </c>
      <c r="B294" s="9">
        <f t="array" ref="B294">COUNT(FIND("input",$D294:$BY294))</f>
        <v>0</v>
      </c>
      <c r="C294" s="9">
        <f t="array" ref="C294">COUNT(FIND("output",$D294:$BY294))</f>
        <v>1</v>
      </c>
      <c r="AH294" t="s">
        <v>2661</v>
      </c>
    </row>
    <row r="295" spans="1:38" x14ac:dyDescent="0.25">
      <c r="A295" s="9" t="str">
        <f>IF(ISBLANK('Signal Definition'!J295),"",'Signal Definition'!J295)</f>
        <v>RealRPU_swtAirCmpr_PHY</v>
      </c>
      <c r="B295" s="9">
        <f t="array" ref="B295">COUNT(FIND("input",$D295:$BY295))</f>
        <v>0</v>
      </c>
      <c r="C295" s="9">
        <f t="array" ref="C295">COUNT(FIND("output",$D295:$BY295))</f>
        <v>1</v>
      </c>
      <c r="AL295" t="s">
        <v>2661</v>
      </c>
    </row>
    <row r="296" spans="1:38" ht="14.65" customHeight="1" x14ac:dyDescent="0.25">
      <c r="A296" s="9" t="str">
        <f>IF(ISBLANK('Signal Definition'!J296),"",'Signal Definition'!J296)</f>
        <v>RealRPU_swtAirCmprOpertgMod_PHY</v>
      </c>
      <c r="B296" s="9">
        <f t="array" ref="B296">COUNT(FIND("input",$D296:$BY296))</f>
        <v>0</v>
      </c>
      <c r="C296" s="9">
        <f t="array" ref="C296">COUNT(FIND("output",$D296:$BY296))</f>
        <v>1</v>
      </c>
      <c r="AL296" t="s">
        <v>2661</v>
      </c>
    </row>
    <row r="297" spans="1:38" ht="14.65" customHeight="1" x14ac:dyDescent="0.25">
      <c r="A297" s="9" t="str">
        <f>IF(ISBLANK('Signal Definition'!J297),"",'Signal Definition'!J297)</f>
        <v>RealRPU_swtEngOpertgModOvrd_PHY</v>
      </c>
      <c r="B297" s="9">
        <f t="array" ref="B297">COUNT(FIND("input",$D297:$BY297))</f>
        <v>0</v>
      </c>
      <c r="C297" s="9">
        <f t="array" ref="C297">COUNT(FIND("output",$D297:$BY297))</f>
        <v>1</v>
      </c>
      <c r="AL297" t="s">
        <v>2661</v>
      </c>
    </row>
    <row r="298" spans="1:38" ht="14.65" customHeight="1" x14ac:dyDescent="0.25">
      <c r="A298" s="9" t="str">
        <f>IF(ISBLANK('Signal Definition'!J298),"",'Signal Definition'!J298)</f>
        <v>RealRPU_numEngOpertgModOvrd_PHY</v>
      </c>
      <c r="B298" s="9">
        <f t="array" ref="B298">COUNT(FIND("input",$D298:$BY298))</f>
        <v>0</v>
      </c>
      <c r="C298" s="9">
        <f t="array" ref="C298">COUNT(FIND("output",$D298:$BY298))</f>
        <v>1</v>
      </c>
      <c r="AL298" t="s">
        <v>2661</v>
      </c>
    </row>
    <row r="299" spans="1:38" ht="14.65" customHeight="1" x14ac:dyDescent="0.25">
      <c r="A299" s="9" t="str">
        <f>IF(ISBLANK('Signal Definition'!J299),"",'Signal Definition'!J299)</f>
        <v>RealRPU_tCooltSp_PHY</v>
      </c>
      <c r="B299" s="9">
        <f t="array" ref="B299">COUNT(FIND("input",$D299:$BY299))</f>
        <v>0</v>
      </c>
      <c r="C299" s="9">
        <f t="array" ref="C299">COUNT(FIND("output",$D299:$BY299))</f>
        <v>1</v>
      </c>
      <c r="AL299" t="s">
        <v>2661</v>
      </c>
    </row>
    <row r="300" spans="1:38" ht="14.65" customHeight="1" x14ac:dyDescent="0.25">
      <c r="A300" s="9" t="str">
        <f>IF(ISBLANK('Signal Definition'!J300),"",'Signal Definition'!J300)</f>
        <v>RealRPU_tIntrTSp_PHY</v>
      </c>
      <c r="B300" s="9">
        <f t="array" ref="B300">COUNT(FIND("input",$D300:$BY300))</f>
        <v>0</v>
      </c>
      <c r="C300" s="9">
        <f t="array" ref="C300">COUNT(FIND("output",$D300:$BY300))</f>
        <v>1</v>
      </c>
      <c r="AL300" t="s">
        <v>2661</v>
      </c>
    </row>
    <row r="301" spans="1:38" ht="14.65" customHeight="1" x14ac:dyDescent="0.25">
      <c r="A301" s="9" t="str">
        <f>IF(ISBLANK('Signal Definition'!J301),"",'Signal Definition'!J301)</f>
        <v>RealRPU_pwrMotGenrSetPwr_PHY</v>
      </c>
      <c r="B301" s="9">
        <f t="array" ref="B301">COUNT(FIND("input",$D301:$BY301))</f>
        <v>0</v>
      </c>
      <c r="C301" s="9">
        <f t="array" ref="C301">COUNT(FIND("output",$D301:$BY301))</f>
        <v>1</v>
      </c>
      <c r="AL301" t="s">
        <v>2661</v>
      </c>
    </row>
    <row r="302" spans="1:38" x14ac:dyDescent="0.25">
      <c r="A302" s="9" t="str">
        <f>IF(ISBLANK('Signal Definition'!J302),"",'Signal Definition'!J302)</f>
        <v>RouteGenr_lActDst_PHY</v>
      </c>
      <c r="B302" s="9">
        <f t="array" ref="B302">COUNT(FIND("input",$D302:$BY302))</f>
        <v>2</v>
      </c>
      <c r="C302" s="9">
        <f t="array" ref="C302">COUNT(FIND("output",$D302:$BY302))</f>
        <v>1</v>
      </c>
      <c r="AI302" t="s">
        <v>2661</v>
      </c>
      <c r="AJ302" t="s">
        <v>2670</v>
      </c>
      <c r="AK302" t="s">
        <v>2670</v>
      </c>
    </row>
    <row r="303" spans="1:38" x14ac:dyDescent="0.25">
      <c r="A303" s="9" t="str">
        <f>IF(ISBLANK('Signal Definition'!J303),"",'Signal Definition'!J303)</f>
        <v>EngMdl_tCmprDs_PHY</v>
      </c>
      <c r="B303" s="9">
        <f t="array" ref="B303">COUNT(FIND("input",$D303:$BY303))</f>
        <v>0</v>
      </c>
      <c r="C303" s="9">
        <f t="array" ref="C303">COUNT(FIND("output",$D303:$BY303))</f>
        <v>1</v>
      </c>
      <c r="K303" t="s">
        <v>2661</v>
      </c>
    </row>
    <row r="304" spans="1:38" x14ac:dyDescent="0.25">
      <c r="A304" s="9" t="str">
        <f>IF(ISBLANK('Signal Definition'!J304),"",'Signal Definition'!J304)</f>
        <v>EnvMdl_phiLon_PHY</v>
      </c>
      <c r="B304" s="9">
        <f t="array" ref="B304">COUNT(FIND("input",$D304:$BY304))</f>
        <v>1</v>
      </c>
      <c r="C304" s="9">
        <f t="array" ref="C304">COUNT(FIND("output",$D304:$BY304))</f>
        <v>1</v>
      </c>
      <c r="F304" t="s">
        <v>2661</v>
      </c>
      <c r="AG304" t="s">
        <v>2670</v>
      </c>
    </row>
    <row r="305" spans="1:38" x14ac:dyDescent="0.25">
      <c r="A305" s="9" t="str">
        <f>IF(ISBLANK('Signal Definition'!J305),"",'Signal Definition'!J305)</f>
        <v>EnvMdl_phiLat_PHY</v>
      </c>
      <c r="B305" s="9">
        <f t="array" ref="B305">COUNT(FIND("input",$D305:$BY305))</f>
        <v>1</v>
      </c>
      <c r="C305" s="9">
        <f t="array" ref="C305">COUNT(FIND("output",$D305:$BY305))</f>
        <v>1</v>
      </c>
      <c r="F305" t="s">
        <v>2661</v>
      </c>
      <c r="AG305" t="s">
        <v>2670</v>
      </c>
    </row>
    <row r="306" spans="1:38" x14ac:dyDescent="0.25">
      <c r="A306" s="9" t="str">
        <f>IF(ISBLANK('Signal Definition'!J306),"",'Signal Definition'!J306)</f>
        <v>RealRPU_pFuRailDes_PHY</v>
      </c>
      <c r="B306" s="9">
        <f t="array" ref="B306">COUNT(FIND("input",$D306:$BY306))</f>
        <v>1</v>
      </c>
      <c r="C306" s="9">
        <f t="array" ref="C306">COUNT(FIND("output",$D306:$BY306))</f>
        <v>1</v>
      </c>
      <c r="AG306" t="s">
        <v>2670</v>
      </c>
      <c r="AL306" t="s">
        <v>2661</v>
      </c>
    </row>
    <row r="307" spans="1:38" x14ac:dyDescent="0.25">
      <c r="A307" s="9" t="str">
        <f>IF(ISBLANK('Signal Definition'!J307),"",'Signal Definition'!J307)</f>
        <v/>
      </c>
      <c r="B307" s="9">
        <f t="array" ref="B307">COUNT(FIND("input",$D307:$BY307))</f>
        <v>0</v>
      </c>
      <c r="C307" s="9">
        <f t="array" ref="C307">COUNT(FIND("output",$D307:$BY307))</f>
        <v>0</v>
      </c>
    </row>
    <row r="308" spans="1:38" x14ac:dyDescent="0.25">
      <c r="A308" s="9" t="str">
        <f>IF(ISBLANK('Signal Definition'!J308),"",'Signal Definition'!J308)</f>
        <v/>
      </c>
      <c r="B308" s="9">
        <f t="array" ref="B308">COUNT(FIND("input",$D308:$BY308))</f>
        <v>0</v>
      </c>
      <c r="C308" s="9">
        <f t="array" ref="C308">COUNT(FIND("output",$D308:$BY308))</f>
        <v>0</v>
      </c>
    </row>
    <row r="309" spans="1:38" x14ac:dyDescent="0.25">
      <c r="A309" s="9" t="str">
        <f>IF(ISBLANK('Signal Definition'!J309),"",'Signal Definition'!J309)</f>
        <v/>
      </c>
      <c r="B309" s="9">
        <f t="array" ref="B309">COUNT(FIND("input",$D309:$BY309))</f>
        <v>0</v>
      </c>
      <c r="C309" s="9">
        <f t="array" ref="C309">COUNT(FIND("output",$D309:$BY309))</f>
        <v>0</v>
      </c>
    </row>
    <row r="310" spans="1:38" x14ac:dyDescent="0.25">
      <c r="A310" s="9" t="str">
        <f>IF(ISBLANK('Signal Definition'!J310),"",'Signal Definition'!J310)</f>
        <v/>
      </c>
      <c r="B310" s="9">
        <f t="array" ref="B310">COUNT(FIND("input",$D310:$BY310))</f>
        <v>0</v>
      </c>
      <c r="C310" s="9">
        <f t="array" ref="C310">COUNT(FIND("output",$D310:$BY310))</f>
        <v>0</v>
      </c>
    </row>
    <row r="311" spans="1:38" x14ac:dyDescent="0.25">
      <c r="A311" s="9" t="str">
        <f>IF(ISBLANK('Signal Definition'!J311),"",'Signal Definition'!J311)</f>
        <v/>
      </c>
      <c r="B311" s="9">
        <f t="array" ref="B311">COUNT(FIND("input",$D311:$BY311))</f>
        <v>0</v>
      </c>
      <c r="C311" s="9">
        <f t="array" ref="C311">COUNT(FIND("output",$D311:$BY311))</f>
        <v>0</v>
      </c>
    </row>
    <row r="312" spans="1:38" x14ac:dyDescent="0.25">
      <c r="A312" s="9" t="str">
        <f>IF(ISBLANK('Signal Definition'!J312),"",'Signal Definition'!J312)</f>
        <v/>
      </c>
      <c r="B312" s="9">
        <f t="array" ref="B312">COUNT(FIND("input",$D312:$BY312))</f>
        <v>0</v>
      </c>
      <c r="C312" s="9">
        <f t="array" ref="C312">COUNT(FIND("output",$D312:$BY312))</f>
        <v>0</v>
      </c>
    </row>
    <row r="313" spans="1:38" x14ac:dyDescent="0.25">
      <c r="A313" s="9" t="str">
        <f>IF(ISBLANK('Signal Definition'!J313),"",'Signal Definition'!J313)</f>
        <v/>
      </c>
      <c r="B313" s="9">
        <f t="array" ref="B313">COUNT(FIND("input",$D313:$BY313))</f>
        <v>0</v>
      </c>
      <c r="C313" s="9">
        <f t="array" ref="C313">COUNT(FIND("output",$D313:$BY313))</f>
        <v>0</v>
      </c>
    </row>
    <row r="314" spans="1:38" x14ac:dyDescent="0.25">
      <c r="A314" s="9" t="str">
        <f>IF(ISBLANK('Signal Definition'!J314),"",'Signal Definition'!J314)</f>
        <v/>
      </c>
      <c r="B314" s="9">
        <f t="array" ref="B314">COUNT(FIND("input",$D314:$BY314))</f>
        <v>0</v>
      </c>
      <c r="C314" s="9">
        <f t="array" ref="C314">COUNT(FIND("output",$D314:$BY314))</f>
        <v>0</v>
      </c>
    </row>
    <row r="315" spans="1:38" x14ac:dyDescent="0.25">
      <c r="A315" s="9" t="str">
        <f>IF(ISBLANK('Signal Definition'!J315),"",'Signal Definition'!J315)</f>
        <v/>
      </c>
      <c r="B315" s="9">
        <f t="array" ref="B315">COUNT(FIND("input",$D315:$BY315))</f>
        <v>0</v>
      </c>
      <c r="C315" s="9">
        <f t="array" ref="C315">COUNT(FIND("output",$D315:$BY315))</f>
        <v>0</v>
      </c>
    </row>
    <row r="316" spans="1:38" x14ac:dyDescent="0.25">
      <c r="A316" s="9" t="str">
        <f>IF(ISBLANK('Signal Definition'!J316),"",'Signal Definition'!J316)</f>
        <v/>
      </c>
      <c r="B316" s="9">
        <f t="array" ref="B316">COUNT(FIND("input",$D316:$BY316))</f>
        <v>0</v>
      </c>
      <c r="C316" s="9">
        <f t="array" ref="C316">COUNT(FIND("output",$D316:$BY316))</f>
        <v>0</v>
      </c>
    </row>
    <row r="317" spans="1:38" x14ac:dyDescent="0.25">
      <c r="A317" s="9" t="str">
        <f>IF(ISBLANK('Signal Definition'!J317),"",'Signal Definition'!J317)</f>
        <v/>
      </c>
      <c r="B317" s="9">
        <f t="array" ref="B317">COUNT(FIND("input",$D317:$BY317))</f>
        <v>0</v>
      </c>
      <c r="C317" s="9">
        <f t="array" ref="C317">COUNT(FIND("output",$D317:$BY317))</f>
        <v>0</v>
      </c>
    </row>
    <row r="318" spans="1:38" x14ac:dyDescent="0.25">
      <c r="A318" s="9" t="str">
        <f>IF(ISBLANK('Signal Definition'!J318),"",'Signal Definition'!J318)</f>
        <v/>
      </c>
      <c r="B318" s="9">
        <f t="array" ref="B318">COUNT(FIND("input",$D318:$BY318))</f>
        <v>0</v>
      </c>
      <c r="C318" s="9">
        <f t="array" ref="C318">COUNT(FIND("output",$D318:$BY318))</f>
        <v>0</v>
      </c>
    </row>
    <row r="319" spans="1:38" x14ac:dyDescent="0.25">
      <c r="A319" s="9" t="str">
        <f>IF(ISBLANK('Signal Definition'!J319),"",'Signal Definition'!J319)</f>
        <v/>
      </c>
      <c r="B319" s="9">
        <f t="array" ref="B319">COUNT(FIND("input",$D319:$BY319))</f>
        <v>0</v>
      </c>
      <c r="C319" s="9">
        <f t="array" ref="C319">COUNT(FIND("output",$D319:$BY319))</f>
        <v>0</v>
      </c>
    </row>
    <row r="320" spans="1:38"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sheetData>
  <sheetProtection autoFilter="0"/>
  <autoFilter ref="A2:BK902"/>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6"/>
  <sheetViews>
    <sheetView zoomScale="95" zoomScaleNormal="95" workbookViewId="0">
      <selection activeCell="I55" sqref="I55"/>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5">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5">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5">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5">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5">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5">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5">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5">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5">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5">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5">
      <c r="A14" t="s">
        <v>2914</v>
      </c>
      <c r="B14" t="s">
        <v>2915</v>
      </c>
      <c r="C14" t="s">
        <v>2916</v>
      </c>
      <c r="D14" t="s">
        <v>2625</v>
      </c>
      <c r="E14" t="s">
        <v>3109</v>
      </c>
      <c r="F14" t="s">
        <v>2917</v>
      </c>
      <c r="G14" t="s">
        <v>2601</v>
      </c>
      <c r="H14" t="s">
        <v>2568</v>
      </c>
      <c r="I14" s="68" t="s">
        <v>3342</v>
      </c>
      <c r="J14" t="s">
        <v>14</v>
      </c>
      <c r="K14">
        <v>0</v>
      </c>
      <c r="L14">
        <v>0</v>
      </c>
      <c r="M14">
        <v>1</v>
      </c>
      <c r="N14">
        <v>2.0000000000000001E-10</v>
      </c>
      <c r="O14">
        <v>4294967296</v>
      </c>
      <c r="P14" s="54">
        <v>1E-3</v>
      </c>
    </row>
    <row r="15" spans="1:16" x14ac:dyDescent="0.25">
      <c r="A15" t="s">
        <v>2914</v>
      </c>
      <c r="B15" t="s">
        <v>2915</v>
      </c>
      <c r="C15" t="s">
        <v>2916</v>
      </c>
      <c r="D15" t="s">
        <v>2716</v>
      </c>
      <c r="E15" t="s">
        <v>3343</v>
      </c>
      <c r="F15" t="s">
        <v>2917</v>
      </c>
      <c r="G15" t="s">
        <v>2601</v>
      </c>
      <c r="H15" t="s">
        <v>2568</v>
      </c>
      <c r="I15" s="68" t="s">
        <v>3345</v>
      </c>
      <c r="J15" t="s">
        <v>14</v>
      </c>
      <c r="K15">
        <v>0</v>
      </c>
      <c r="L15">
        <v>0</v>
      </c>
      <c r="M15">
        <v>1</v>
      </c>
      <c r="N15">
        <v>2.0000000000000001E-10</v>
      </c>
      <c r="O15">
        <v>4294967296</v>
      </c>
      <c r="P15" s="54">
        <v>1E-3</v>
      </c>
    </row>
    <row r="16" spans="1:16" x14ac:dyDescent="0.25">
      <c r="A16" t="s">
        <v>2914</v>
      </c>
      <c r="B16" t="s">
        <v>2915</v>
      </c>
      <c r="C16" t="s">
        <v>2916</v>
      </c>
      <c r="D16" t="s">
        <v>2782</v>
      </c>
      <c r="E16" t="s">
        <v>3198</v>
      </c>
      <c r="F16" t="s">
        <v>2917</v>
      </c>
      <c r="G16" t="s">
        <v>2601</v>
      </c>
      <c r="H16" t="s">
        <v>2568</v>
      </c>
      <c r="I16" s="68" t="s">
        <v>3346</v>
      </c>
      <c r="J16" t="s">
        <v>14</v>
      </c>
      <c r="K16">
        <v>0</v>
      </c>
      <c r="L16">
        <v>0</v>
      </c>
      <c r="M16">
        <v>1</v>
      </c>
      <c r="N16">
        <v>2.0000000000000001E-10</v>
      </c>
      <c r="O16">
        <v>4294967296</v>
      </c>
      <c r="P16" s="54">
        <v>1E-3</v>
      </c>
    </row>
    <row r="17" spans="1:16" x14ac:dyDescent="0.25">
      <c r="A17" t="s">
        <v>2914</v>
      </c>
      <c r="B17" t="s">
        <v>2915</v>
      </c>
      <c r="C17" t="s">
        <v>2916</v>
      </c>
      <c r="D17" t="s">
        <v>2625</v>
      </c>
      <c r="E17" t="s">
        <v>3155</v>
      </c>
      <c r="F17" t="s">
        <v>2917</v>
      </c>
      <c r="G17" t="s">
        <v>2601</v>
      </c>
      <c r="H17" t="s">
        <v>2568</v>
      </c>
      <c r="I17" s="68" t="s">
        <v>3347</v>
      </c>
      <c r="J17" t="s">
        <v>14</v>
      </c>
      <c r="K17">
        <v>0</v>
      </c>
      <c r="L17">
        <v>0</v>
      </c>
      <c r="M17">
        <v>1</v>
      </c>
      <c r="N17">
        <v>2.0000000000000001E-10</v>
      </c>
      <c r="O17">
        <v>4294967296</v>
      </c>
      <c r="P17" s="54">
        <v>1E-3</v>
      </c>
    </row>
    <row r="18" spans="1:16" x14ac:dyDescent="0.25">
      <c r="A18" t="s">
        <v>2914</v>
      </c>
      <c r="B18" t="s">
        <v>2915</v>
      </c>
      <c r="C18" t="s">
        <v>2916</v>
      </c>
      <c r="D18" t="s">
        <v>2625</v>
      </c>
      <c r="E18" t="s">
        <v>3162</v>
      </c>
      <c r="F18" t="s">
        <v>2917</v>
      </c>
      <c r="G18" t="s">
        <v>2601</v>
      </c>
      <c r="H18" t="s">
        <v>2568</v>
      </c>
      <c r="I18" s="68" t="s">
        <v>3348</v>
      </c>
      <c r="J18" t="s">
        <v>14</v>
      </c>
      <c r="K18">
        <v>0</v>
      </c>
      <c r="L18">
        <v>0</v>
      </c>
      <c r="M18">
        <v>1</v>
      </c>
      <c r="N18">
        <v>2.0000000000000001E-10</v>
      </c>
      <c r="O18">
        <v>4294967296</v>
      </c>
      <c r="P18" s="54">
        <v>1E-3</v>
      </c>
    </row>
    <row r="19" spans="1:16" x14ac:dyDescent="0.25">
      <c r="A19" t="s">
        <v>2914</v>
      </c>
      <c r="B19" t="s">
        <v>2915</v>
      </c>
      <c r="C19" t="s">
        <v>2916</v>
      </c>
      <c r="D19" t="s">
        <v>2625</v>
      </c>
      <c r="E19" t="s">
        <v>3114</v>
      </c>
      <c r="F19" t="s">
        <v>2917</v>
      </c>
      <c r="G19" t="s">
        <v>2601</v>
      </c>
      <c r="H19" t="s">
        <v>2568</v>
      </c>
      <c r="I19" s="68" t="s">
        <v>3371</v>
      </c>
      <c r="J19" t="s">
        <v>14</v>
      </c>
      <c r="K19">
        <v>0</v>
      </c>
      <c r="L19">
        <v>0</v>
      </c>
      <c r="M19">
        <v>1</v>
      </c>
      <c r="N19">
        <v>2.0000000000000001E-10</v>
      </c>
      <c r="O19">
        <v>4294967296</v>
      </c>
      <c r="P19" s="54">
        <v>1E-3</v>
      </c>
    </row>
    <row r="20" spans="1:16" x14ac:dyDescent="0.25">
      <c r="A20" t="s">
        <v>2914</v>
      </c>
      <c r="B20" t="s">
        <v>2915</v>
      </c>
      <c r="C20" t="s">
        <v>2916</v>
      </c>
      <c r="D20" t="s">
        <v>2625</v>
      </c>
      <c r="E20" t="s">
        <v>3146</v>
      </c>
      <c r="F20" t="s">
        <v>2917</v>
      </c>
      <c r="G20" t="s">
        <v>2601</v>
      </c>
      <c r="H20" t="s">
        <v>2568</v>
      </c>
      <c r="I20" s="68" t="s">
        <v>3372</v>
      </c>
      <c r="J20" t="s">
        <v>14</v>
      </c>
      <c r="K20">
        <v>0</v>
      </c>
      <c r="L20">
        <v>0</v>
      </c>
      <c r="M20">
        <v>1</v>
      </c>
      <c r="N20">
        <v>2.0000000000000001E-10</v>
      </c>
      <c r="O20">
        <v>4294967296</v>
      </c>
      <c r="P20" s="54">
        <v>1E-3</v>
      </c>
    </row>
    <row r="21" spans="1:16" x14ac:dyDescent="0.25">
      <c r="A21" t="s">
        <v>2914</v>
      </c>
      <c r="B21" t="s">
        <v>2915</v>
      </c>
      <c r="C21" t="s">
        <v>2916</v>
      </c>
      <c r="D21" t="s">
        <v>2625</v>
      </c>
      <c r="E21" t="s">
        <v>3128</v>
      </c>
      <c r="F21" t="s">
        <v>2917</v>
      </c>
      <c r="G21" t="s">
        <v>2601</v>
      </c>
      <c r="H21" t="s">
        <v>2568</v>
      </c>
      <c r="I21" s="68" t="s">
        <v>3373</v>
      </c>
      <c r="J21" t="s">
        <v>14</v>
      </c>
      <c r="K21">
        <v>0</v>
      </c>
      <c r="L21">
        <v>0</v>
      </c>
      <c r="M21">
        <v>1</v>
      </c>
      <c r="N21">
        <v>2.0000000000000001E-10</v>
      </c>
      <c r="O21">
        <v>4294967296</v>
      </c>
      <c r="P21" s="54">
        <v>1E-3</v>
      </c>
    </row>
    <row r="22" spans="1:16" x14ac:dyDescent="0.25">
      <c r="A22" t="s">
        <v>2914</v>
      </c>
      <c r="B22" t="s">
        <v>2915</v>
      </c>
      <c r="C22" t="s">
        <v>2916</v>
      </c>
      <c r="D22" t="s">
        <v>2625</v>
      </c>
      <c r="E22" t="s">
        <v>3378</v>
      </c>
      <c r="F22" t="s">
        <v>2917</v>
      </c>
      <c r="G22" t="s">
        <v>2601</v>
      </c>
      <c r="H22" t="s">
        <v>2568</v>
      </c>
      <c r="I22" s="68" t="s">
        <v>3466</v>
      </c>
      <c r="J22" t="s">
        <v>14</v>
      </c>
      <c r="K22">
        <v>0</v>
      </c>
      <c r="L22">
        <v>0</v>
      </c>
      <c r="M22">
        <v>1</v>
      </c>
      <c r="N22">
        <v>2.0000000000000001E-10</v>
      </c>
      <c r="O22">
        <v>4294967296</v>
      </c>
      <c r="P22" s="54">
        <v>1E-3</v>
      </c>
    </row>
    <row r="23" spans="1:16" x14ac:dyDescent="0.25">
      <c r="A23" t="s">
        <v>2914</v>
      </c>
      <c r="B23" t="s">
        <v>2915</v>
      </c>
      <c r="C23" t="s">
        <v>2916</v>
      </c>
      <c r="D23" t="s">
        <v>2674</v>
      </c>
      <c r="E23" t="s">
        <v>3482</v>
      </c>
      <c r="F23" t="s">
        <v>2917</v>
      </c>
      <c r="G23" t="s">
        <v>2601</v>
      </c>
      <c r="H23" t="s">
        <v>2568</v>
      </c>
      <c r="I23" s="68" t="s">
        <v>3507</v>
      </c>
      <c r="J23" t="s">
        <v>14</v>
      </c>
      <c r="K23">
        <v>0</v>
      </c>
      <c r="L23">
        <v>0</v>
      </c>
      <c r="M23">
        <v>1</v>
      </c>
      <c r="N23">
        <v>2.0000000000000001E-10</v>
      </c>
      <c r="O23">
        <v>4294967296</v>
      </c>
      <c r="P23" s="54">
        <v>1E-3</v>
      </c>
    </row>
    <row r="24" spans="1:16" x14ac:dyDescent="0.25">
      <c r="A24" t="s">
        <v>2914</v>
      </c>
      <c r="B24" t="s">
        <v>2915</v>
      </c>
      <c r="C24" t="s">
        <v>2916</v>
      </c>
      <c r="D24" t="s">
        <v>2782</v>
      </c>
      <c r="E24" t="s">
        <v>3501</v>
      </c>
      <c r="F24" t="s">
        <v>2917</v>
      </c>
      <c r="G24" t="s">
        <v>2601</v>
      </c>
      <c r="H24" t="s">
        <v>2568</v>
      </c>
      <c r="I24" s="68" t="s">
        <v>3508</v>
      </c>
      <c r="J24" t="s">
        <v>14</v>
      </c>
      <c r="K24">
        <v>0</v>
      </c>
      <c r="L24">
        <v>0</v>
      </c>
      <c r="M24">
        <v>1</v>
      </c>
      <c r="N24">
        <v>2.0000000000000001E-10</v>
      </c>
      <c r="O24">
        <v>4294967296</v>
      </c>
      <c r="P24" s="54">
        <v>0.01</v>
      </c>
    </row>
    <row r="25" spans="1:16" x14ac:dyDescent="0.25">
      <c r="A25" t="s">
        <v>2914</v>
      </c>
      <c r="B25" t="s">
        <v>2915</v>
      </c>
      <c r="C25" t="s">
        <v>2916</v>
      </c>
      <c r="D25" t="s">
        <v>2782</v>
      </c>
      <c r="E25" t="s">
        <v>3513</v>
      </c>
      <c r="F25" t="s">
        <v>2917</v>
      </c>
      <c r="G25" t="s">
        <v>2601</v>
      </c>
      <c r="H25" t="s">
        <v>2568</v>
      </c>
      <c r="I25" s="68" t="s">
        <v>3521</v>
      </c>
      <c r="J25" t="s">
        <v>14</v>
      </c>
      <c r="K25">
        <v>0</v>
      </c>
      <c r="L25">
        <v>0</v>
      </c>
      <c r="M25">
        <v>1</v>
      </c>
      <c r="N25">
        <v>2.0000000000000001E-10</v>
      </c>
      <c r="O25">
        <v>4294967296</v>
      </c>
      <c r="P25" s="54">
        <v>1E-3</v>
      </c>
    </row>
    <row r="26" spans="1:16" x14ac:dyDescent="0.25">
      <c r="A26" t="s">
        <v>2914</v>
      </c>
      <c r="B26" t="s">
        <v>2915</v>
      </c>
      <c r="C26" t="s">
        <v>2916</v>
      </c>
      <c r="D26" t="s">
        <v>2674</v>
      </c>
      <c r="E26" t="s">
        <v>3525</v>
      </c>
      <c r="F26" t="s">
        <v>2917</v>
      </c>
      <c r="G26" t="s">
        <v>2601</v>
      </c>
      <c r="H26" t="s">
        <v>2568</v>
      </c>
      <c r="I26" s="68" t="s">
        <v>3530</v>
      </c>
      <c r="J26" t="s">
        <v>14</v>
      </c>
      <c r="K26">
        <v>0</v>
      </c>
      <c r="L26">
        <v>0</v>
      </c>
      <c r="M26">
        <v>1</v>
      </c>
      <c r="N26">
        <v>2.0000000000000001E-10</v>
      </c>
      <c r="O26">
        <v>4294967296</v>
      </c>
      <c r="P26" s="54">
        <v>1E-3</v>
      </c>
    </row>
    <row r="27" spans="1:16" x14ac:dyDescent="0.25">
      <c r="A27" t="s">
        <v>2914</v>
      </c>
      <c r="B27" t="s">
        <v>2915</v>
      </c>
      <c r="C27" t="s">
        <v>2916</v>
      </c>
      <c r="D27" t="s">
        <v>2782</v>
      </c>
      <c r="E27" t="s">
        <v>3577</v>
      </c>
      <c r="F27" t="s">
        <v>2917</v>
      </c>
      <c r="G27" t="s">
        <v>2601</v>
      </c>
      <c r="H27" t="s">
        <v>2568</v>
      </c>
      <c r="I27" s="68" t="s">
        <v>3582</v>
      </c>
      <c r="J27" t="s">
        <v>14</v>
      </c>
      <c r="K27">
        <v>0</v>
      </c>
      <c r="L27">
        <v>0</v>
      </c>
      <c r="M27">
        <v>1</v>
      </c>
      <c r="N27">
        <v>2.0000000000000001E-10</v>
      </c>
      <c r="O27">
        <v>4294967296</v>
      </c>
      <c r="P27" s="54">
        <v>0.1</v>
      </c>
    </row>
    <row r="28" spans="1:16" x14ac:dyDescent="0.25">
      <c r="A28" t="s">
        <v>2914</v>
      </c>
      <c r="B28" t="s">
        <v>2915</v>
      </c>
      <c r="C28" t="s">
        <v>2916</v>
      </c>
      <c r="D28" t="s">
        <v>2782</v>
      </c>
      <c r="E28" t="s">
        <v>3585</v>
      </c>
      <c r="F28" t="s">
        <v>2917</v>
      </c>
      <c r="G28" t="s">
        <v>2601</v>
      </c>
      <c r="H28" t="s">
        <v>2568</v>
      </c>
      <c r="I28" s="68" t="s">
        <v>3586</v>
      </c>
      <c r="J28" t="s">
        <v>14</v>
      </c>
      <c r="K28">
        <v>0</v>
      </c>
      <c r="L28">
        <v>0</v>
      </c>
      <c r="M28">
        <v>1</v>
      </c>
      <c r="N28">
        <v>2.0000000000000001E-10</v>
      </c>
      <c r="O28">
        <v>4294967296</v>
      </c>
      <c r="P28" s="54">
        <v>0.01</v>
      </c>
    </row>
    <row r="29" spans="1:16" x14ac:dyDescent="0.25">
      <c r="A29" t="s">
        <v>2914</v>
      </c>
      <c r="B29" t="s">
        <v>2915</v>
      </c>
      <c r="C29" t="s">
        <v>2916</v>
      </c>
      <c r="D29" t="s">
        <v>2782</v>
      </c>
      <c r="E29" t="s">
        <v>3584</v>
      </c>
      <c r="F29" t="s">
        <v>2917</v>
      </c>
      <c r="G29" t="s">
        <v>2601</v>
      </c>
      <c r="H29" t="s">
        <v>2568</v>
      </c>
      <c r="I29" s="68" t="s">
        <v>3587</v>
      </c>
      <c r="J29" t="s">
        <v>14</v>
      </c>
      <c r="K29">
        <v>0</v>
      </c>
      <c r="L29">
        <v>0</v>
      </c>
      <c r="M29">
        <v>1</v>
      </c>
      <c r="N29">
        <v>2.0000000000000001E-10</v>
      </c>
      <c r="O29">
        <v>4294967296</v>
      </c>
      <c r="P29" s="54">
        <v>0.1</v>
      </c>
    </row>
    <row r="30" spans="1:16" x14ac:dyDescent="0.25">
      <c r="A30" t="s">
        <v>2914</v>
      </c>
      <c r="B30" t="s">
        <v>2915</v>
      </c>
      <c r="C30" t="s">
        <v>2916</v>
      </c>
      <c r="D30" t="s">
        <v>3596</v>
      </c>
      <c r="E30" t="s">
        <v>3597</v>
      </c>
      <c r="F30" t="s">
        <v>2917</v>
      </c>
      <c r="G30" t="s">
        <v>2601</v>
      </c>
      <c r="H30" t="s">
        <v>2568</v>
      </c>
      <c r="I30" s="68" t="s">
        <v>3600</v>
      </c>
      <c r="J30" t="s">
        <v>14</v>
      </c>
      <c r="K30">
        <v>0</v>
      </c>
      <c r="L30">
        <v>0</v>
      </c>
      <c r="M30">
        <v>1</v>
      </c>
      <c r="N30">
        <v>2.0000000000000001E-10</v>
      </c>
      <c r="O30">
        <v>4294967296</v>
      </c>
      <c r="P30" s="54">
        <v>1E-3</v>
      </c>
    </row>
    <row r="31" spans="1:16" x14ac:dyDescent="0.25">
      <c r="A31" t="s">
        <v>2914</v>
      </c>
      <c r="B31" t="s">
        <v>2915</v>
      </c>
      <c r="C31" t="s">
        <v>2916</v>
      </c>
      <c r="D31" t="s">
        <v>2782</v>
      </c>
      <c r="E31" t="s">
        <v>3607</v>
      </c>
      <c r="F31" t="s">
        <v>2917</v>
      </c>
      <c r="G31" t="s">
        <v>2601</v>
      </c>
      <c r="H31" t="s">
        <v>2568</v>
      </c>
      <c r="I31" s="68" t="s">
        <v>3609</v>
      </c>
      <c r="J31" t="s">
        <v>14</v>
      </c>
      <c r="K31">
        <v>0</v>
      </c>
      <c r="L31">
        <v>0</v>
      </c>
      <c r="M31">
        <v>1</v>
      </c>
      <c r="N31">
        <v>2.0000000000000001E-10</v>
      </c>
      <c r="O31">
        <v>4294967296</v>
      </c>
      <c r="P31" s="54">
        <v>0.1</v>
      </c>
    </row>
    <row r="32" spans="1:16" x14ac:dyDescent="0.25">
      <c r="A32" t="s">
        <v>3616</v>
      </c>
      <c r="B32" t="s">
        <v>3610</v>
      </c>
      <c r="C32" t="s">
        <v>3611</v>
      </c>
      <c r="D32" t="s">
        <v>2782</v>
      </c>
      <c r="E32" t="s">
        <v>3607</v>
      </c>
      <c r="F32" t="s">
        <v>2698</v>
      </c>
      <c r="G32" t="s">
        <v>113</v>
      </c>
      <c r="H32" t="s">
        <v>2569</v>
      </c>
      <c r="I32" s="68" t="s">
        <v>3612</v>
      </c>
      <c r="J32" t="s">
        <v>14</v>
      </c>
      <c r="K32">
        <v>0</v>
      </c>
      <c r="L32">
        <v>0</v>
      </c>
      <c r="M32">
        <v>10000</v>
      </c>
      <c r="N32">
        <v>2.0000000000000001E-10</v>
      </c>
      <c r="O32">
        <v>4294967296</v>
      </c>
      <c r="P32" s="54" t="s">
        <v>3760</v>
      </c>
    </row>
    <row r="33" spans="1:16" x14ac:dyDescent="0.25">
      <c r="A33" t="s">
        <v>3616</v>
      </c>
      <c r="B33" t="s">
        <v>3610</v>
      </c>
      <c r="C33" t="s">
        <v>3611</v>
      </c>
      <c r="D33" t="s">
        <v>2782</v>
      </c>
      <c r="E33" t="s">
        <v>3584</v>
      </c>
      <c r="F33" t="s">
        <v>2698</v>
      </c>
      <c r="G33" t="s">
        <v>113</v>
      </c>
      <c r="H33" t="s">
        <v>2569</v>
      </c>
      <c r="I33" s="68" t="s">
        <v>3613</v>
      </c>
      <c r="J33" t="s">
        <v>14</v>
      </c>
      <c r="K33">
        <v>0</v>
      </c>
      <c r="L33">
        <v>0</v>
      </c>
      <c r="M33">
        <v>10000</v>
      </c>
      <c r="N33">
        <v>2.0000000000000001E-10</v>
      </c>
      <c r="O33">
        <v>4294967296</v>
      </c>
      <c r="P33" s="54" t="s">
        <v>3760</v>
      </c>
    </row>
    <row r="34" spans="1:16" x14ac:dyDescent="0.25">
      <c r="A34" t="s">
        <v>3614</v>
      </c>
      <c r="B34" t="s">
        <v>3615</v>
      </c>
      <c r="C34" t="s">
        <v>2476</v>
      </c>
      <c r="D34" t="s">
        <v>2682</v>
      </c>
      <c r="E34" t="s">
        <v>2683</v>
      </c>
      <c r="F34" t="s">
        <v>2806</v>
      </c>
      <c r="G34" t="s">
        <v>66</v>
      </c>
      <c r="H34" t="s">
        <v>2568</v>
      </c>
      <c r="I34" s="16" t="s">
        <v>3617</v>
      </c>
      <c r="J34" t="s">
        <v>14</v>
      </c>
      <c r="K34">
        <v>0</v>
      </c>
      <c r="L34">
        <v>0</v>
      </c>
      <c r="M34">
        <v>100000</v>
      </c>
      <c r="N34">
        <v>2.0000000000000001E-10</v>
      </c>
      <c r="O34">
        <v>4294967296</v>
      </c>
      <c r="P34" s="54">
        <v>40000</v>
      </c>
    </row>
    <row r="35" spans="1:16" x14ac:dyDescent="0.25">
      <c r="A35" t="s">
        <v>3620</v>
      </c>
      <c r="B35" t="s">
        <v>3620</v>
      </c>
      <c r="C35" t="s">
        <v>2476</v>
      </c>
      <c r="D35" t="s">
        <v>2682</v>
      </c>
      <c r="E35" t="s">
        <v>2683</v>
      </c>
      <c r="F35" t="s">
        <v>3619</v>
      </c>
      <c r="G35" t="s">
        <v>113</v>
      </c>
      <c r="H35" t="s">
        <v>2568</v>
      </c>
      <c r="I35" s="16" t="s">
        <v>3618</v>
      </c>
      <c r="J35" t="s">
        <v>14</v>
      </c>
      <c r="K35">
        <v>0</v>
      </c>
      <c r="L35">
        <v>0</v>
      </c>
      <c r="M35">
        <v>10</v>
      </c>
      <c r="N35">
        <v>2.0000000000000001E-10</v>
      </c>
      <c r="O35">
        <v>4294967296</v>
      </c>
      <c r="P35" s="54">
        <v>6.1000000000000004E-3</v>
      </c>
    </row>
    <row r="36" spans="1:16" x14ac:dyDescent="0.25">
      <c r="A36" t="s">
        <v>3621</v>
      </c>
      <c r="B36" t="s">
        <v>3621</v>
      </c>
      <c r="C36" t="s">
        <v>2476</v>
      </c>
      <c r="D36" t="s">
        <v>2682</v>
      </c>
      <c r="E36" t="s">
        <v>2683</v>
      </c>
      <c r="F36" t="s">
        <v>3622</v>
      </c>
      <c r="G36" t="s">
        <v>2603</v>
      </c>
      <c r="H36" t="s">
        <v>2568</v>
      </c>
      <c r="I36" s="16" t="s">
        <v>3623</v>
      </c>
      <c r="J36" t="s">
        <v>14</v>
      </c>
      <c r="K36">
        <v>0</v>
      </c>
      <c r="L36">
        <v>0</v>
      </c>
      <c r="M36">
        <v>100</v>
      </c>
      <c r="N36">
        <v>2.0000000000000001E-10</v>
      </c>
      <c r="O36">
        <v>4294967296</v>
      </c>
      <c r="P36" s="54">
        <v>10.5092</v>
      </c>
    </row>
    <row r="37" spans="1:16" x14ac:dyDescent="0.25">
      <c r="A37" t="s">
        <v>3624</v>
      </c>
      <c r="B37" t="s">
        <v>3624</v>
      </c>
      <c r="C37" t="s">
        <v>2476</v>
      </c>
      <c r="D37" t="s">
        <v>2682</v>
      </c>
      <c r="E37" t="s">
        <v>2683</v>
      </c>
      <c r="F37" t="s">
        <v>3619</v>
      </c>
      <c r="G37" t="s">
        <v>113</v>
      </c>
      <c r="H37" t="s">
        <v>2568</v>
      </c>
      <c r="I37" s="16" t="s">
        <v>3625</v>
      </c>
      <c r="J37" t="s">
        <v>14</v>
      </c>
      <c r="K37">
        <v>0</v>
      </c>
      <c r="L37">
        <v>0</v>
      </c>
      <c r="M37">
        <v>10</v>
      </c>
      <c r="N37">
        <v>2.0000000000000001E-10</v>
      </c>
      <c r="O37">
        <v>4294967296</v>
      </c>
      <c r="P37" s="54">
        <v>0.41499999999999998</v>
      </c>
    </row>
    <row r="38" spans="1:16" x14ac:dyDescent="0.25">
      <c r="A38" t="s">
        <v>2915</v>
      </c>
      <c r="B38" t="s">
        <v>2915</v>
      </c>
      <c r="C38" t="s">
        <v>2916</v>
      </c>
      <c r="D38" t="s">
        <v>3627</v>
      </c>
      <c r="E38" t="s">
        <v>3628</v>
      </c>
      <c r="F38" t="s">
        <v>2917</v>
      </c>
      <c r="G38" t="s">
        <v>2601</v>
      </c>
      <c r="H38" t="s">
        <v>2568</v>
      </c>
      <c r="I38" s="68" t="s">
        <v>3656</v>
      </c>
      <c r="J38" t="s">
        <v>14</v>
      </c>
      <c r="K38">
        <v>0</v>
      </c>
      <c r="L38">
        <v>0</v>
      </c>
      <c r="M38">
        <v>1</v>
      </c>
      <c r="N38">
        <v>2.0000000000000001E-10</v>
      </c>
      <c r="O38">
        <v>4294967296</v>
      </c>
      <c r="P38" s="54">
        <v>1E-3</v>
      </c>
    </row>
    <row r="39" spans="1:16" x14ac:dyDescent="0.25">
      <c r="A39" t="s">
        <v>2915</v>
      </c>
      <c r="B39" t="s">
        <v>2915</v>
      </c>
      <c r="C39" t="s">
        <v>2916</v>
      </c>
      <c r="D39" t="s">
        <v>2716</v>
      </c>
      <c r="E39" t="s">
        <v>3630</v>
      </c>
      <c r="F39" t="s">
        <v>2917</v>
      </c>
      <c r="G39" t="s">
        <v>2601</v>
      </c>
      <c r="H39" t="s">
        <v>2568</v>
      </c>
      <c r="I39" s="68" t="s">
        <v>3657</v>
      </c>
      <c r="J39" t="s">
        <v>14</v>
      </c>
      <c r="K39">
        <v>0</v>
      </c>
      <c r="L39">
        <v>0</v>
      </c>
      <c r="M39">
        <v>1</v>
      </c>
      <c r="N39">
        <v>2.0000000000000001E-10</v>
      </c>
      <c r="O39">
        <v>4294967296</v>
      </c>
      <c r="P39" s="54">
        <v>1E-3</v>
      </c>
    </row>
    <row r="40" spans="1:16" x14ac:dyDescent="0.25">
      <c r="A40" t="s">
        <v>2915</v>
      </c>
      <c r="B40" t="s">
        <v>2915</v>
      </c>
      <c r="C40" t="s">
        <v>2916</v>
      </c>
      <c r="D40" t="s">
        <v>37</v>
      </c>
      <c r="E40" t="s">
        <v>3632</v>
      </c>
      <c r="F40" t="s">
        <v>2917</v>
      </c>
      <c r="G40" t="s">
        <v>2601</v>
      </c>
      <c r="H40" t="s">
        <v>2568</v>
      </c>
      <c r="I40" s="68" t="s">
        <v>3658</v>
      </c>
      <c r="J40" t="s">
        <v>14</v>
      </c>
      <c r="K40">
        <v>0</v>
      </c>
      <c r="L40">
        <v>0</v>
      </c>
      <c r="M40">
        <v>140000</v>
      </c>
      <c r="N40">
        <v>3.2596299999999998E-5</v>
      </c>
      <c r="O40">
        <v>4294967296</v>
      </c>
      <c r="P40" s="54">
        <v>0.2</v>
      </c>
    </row>
    <row r="41" spans="1:16" x14ac:dyDescent="0.25">
      <c r="A41" t="s">
        <v>2915</v>
      </c>
      <c r="B41" t="s">
        <v>2915</v>
      </c>
      <c r="C41" t="s">
        <v>2916</v>
      </c>
      <c r="D41" t="s">
        <v>3596</v>
      </c>
      <c r="E41" t="s">
        <v>3638</v>
      </c>
      <c r="F41" t="s">
        <v>2917</v>
      </c>
      <c r="G41" t="s">
        <v>2601</v>
      </c>
      <c r="H41" t="s">
        <v>2568</v>
      </c>
      <c r="I41" s="68" t="s">
        <v>3659</v>
      </c>
      <c r="J41" t="s">
        <v>14</v>
      </c>
      <c r="K41">
        <v>0</v>
      </c>
      <c r="L41">
        <v>0</v>
      </c>
      <c r="M41">
        <v>1</v>
      </c>
      <c r="N41">
        <v>2.0000000000000001E-10</v>
      </c>
      <c r="O41">
        <v>4294967296</v>
      </c>
      <c r="P41" s="54">
        <v>0.2</v>
      </c>
    </row>
    <row r="42" spans="1:16" x14ac:dyDescent="0.25">
      <c r="A42" t="s">
        <v>2915</v>
      </c>
      <c r="B42" t="s">
        <v>2915</v>
      </c>
      <c r="C42" t="s">
        <v>2916</v>
      </c>
      <c r="D42" t="s">
        <v>2782</v>
      </c>
      <c r="E42" t="s">
        <v>3655</v>
      </c>
      <c r="F42" t="s">
        <v>2917</v>
      </c>
      <c r="G42" t="s">
        <v>2601</v>
      </c>
      <c r="H42" t="s">
        <v>2568</v>
      </c>
      <c r="I42" s="68" t="s">
        <v>3660</v>
      </c>
      <c r="J42" t="s">
        <v>14</v>
      </c>
      <c r="K42">
        <v>0</v>
      </c>
      <c r="L42">
        <v>0</v>
      </c>
      <c r="M42">
        <v>1</v>
      </c>
      <c r="N42">
        <v>2.0000000000000001E-10</v>
      </c>
      <c r="O42">
        <v>4294967296</v>
      </c>
      <c r="P42" s="54">
        <v>0.2</v>
      </c>
    </row>
    <row r="43" spans="1:16" x14ac:dyDescent="0.25">
      <c r="A43" t="s">
        <v>2915</v>
      </c>
      <c r="B43" t="s">
        <v>2915</v>
      </c>
      <c r="C43" t="s">
        <v>2916</v>
      </c>
      <c r="D43" t="s">
        <v>2782</v>
      </c>
      <c r="E43" t="s">
        <v>3749</v>
      </c>
      <c r="F43" t="s">
        <v>2917</v>
      </c>
      <c r="G43" t="s">
        <v>2601</v>
      </c>
      <c r="H43" t="s">
        <v>2568</v>
      </c>
      <c r="I43" s="68" t="s">
        <v>3758</v>
      </c>
      <c r="J43" t="s">
        <v>14</v>
      </c>
      <c r="K43">
        <v>0</v>
      </c>
      <c r="L43">
        <v>0</v>
      </c>
      <c r="M43">
        <v>1</v>
      </c>
      <c r="N43">
        <v>2.0000000000000001E-10</v>
      </c>
      <c r="O43">
        <v>4294967296</v>
      </c>
      <c r="P43" s="54">
        <v>1E-3</v>
      </c>
    </row>
    <row r="44" spans="1:16" x14ac:dyDescent="0.25">
      <c r="A44" t="s">
        <v>3782</v>
      </c>
      <c r="B44" t="s">
        <v>3782</v>
      </c>
      <c r="C44" t="s">
        <v>3774</v>
      </c>
      <c r="D44" t="s">
        <v>2682</v>
      </c>
      <c r="E44" t="s">
        <v>2683</v>
      </c>
      <c r="F44" t="s">
        <v>3772</v>
      </c>
      <c r="G44" t="s">
        <v>64</v>
      </c>
      <c r="H44" t="s">
        <v>2568</v>
      </c>
      <c r="I44" s="16" t="s">
        <v>3773</v>
      </c>
      <c r="J44" t="s">
        <v>14</v>
      </c>
      <c r="K44">
        <v>0</v>
      </c>
      <c r="L44">
        <v>0</v>
      </c>
      <c r="M44">
        <v>10</v>
      </c>
      <c r="N44">
        <v>2.0000000000000001E-10</v>
      </c>
      <c r="O44">
        <v>4294967296</v>
      </c>
      <c r="P44" s="54">
        <v>0.49</v>
      </c>
    </row>
    <row r="45" spans="1:16" x14ac:dyDescent="0.25">
      <c r="A45" t="s">
        <v>3781</v>
      </c>
      <c r="B45" t="s">
        <v>3781</v>
      </c>
      <c r="C45" t="s">
        <v>3775</v>
      </c>
      <c r="D45" t="s">
        <v>2682</v>
      </c>
      <c r="E45" t="s">
        <v>2683</v>
      </c>
      <c r="F45" t="s">
        <v>3772</v>
      </c>
      <c r="G45" t="s">
        <v>64</v>
      </c>
      <c r="H45" t="s">
        <v>2568</v>
      </c>
      <c r="I45" s="16" t="s">
        <v>3776</v>
      </c>
      <c r="J45" t="s">
        <v>14</v>
      </c>
      <c r="K45">
        <v>0</v>
      </c>
      <c r="L45">
        <v>0</v>
      </c>
      <c r="M45">
        <v>10</v>
      </c>
      <c r="N45">
        <v>2.0000000000000001E-10</v>
      </c>
      <c r="O45">
        <v>4294967296</v>
      </c>
      <c r="P45" s="54">
        <v>0.50700000000000001</v>
      </c>
    </row>
    <row r="46" spans="1:16" x14ac:dyDescent="0.25">
      <c r="A46" t="s">
        <v>3780</v>
      </c>
      <c r="B46" t="s">
        <v>3780</v>
      </c>
      <c r="C46" t="s">
        <v>3779</v>
      </c>
      <c r="D46" t="s">
        <v>2706</v>
      </c>
      <c r="E46" t="s">
        <v>2706</v>
      </c>
      <c r="F46" t="s">
        <v>3777</v>
      </c>
      <c r="G46" t="s">
        <v>113</v>
      </c>
      <c r="H46" t="s">
        <v>2568</v>
      </c>
      <c r="I46" s="16" t="s">
        <v>3778</v>
      </c>
      <c r="J46" t="s">
        <v>14</v>
      </c>
      <c r="K46">
        <v>0</v>
      </c>
      <c r="L46">
        <v>0</v>
      </c>
      <c r="M46">
        <v>10</v>
      </c>
      <c r="N46">
        <v>2.0000000000000001E-10</v>
      </c>
      <c r="O46">
        <v>4294967296</v>
      </c>
      <c r="P46" s="54">
        <v>2.4700000000000002</v>
      </c>
    </row>
    <row r="47" spans="1:16" x14ac:dyDescent="0.25">
      <c r="A47" t="s">
        <v>2914</v>
      </c>
      <c r="B47" t="s">
        <v>2915</v>
      </c>
      <c r="C47" t="s">
        <v>2916</v>
      </c>
      <c r="D47" t="s">
        <v>2782</v>
      </c>
      <c r="E47" t="s">
        <v>3783</v>
      </c>
      <c r="F47" t="s">
        <v>2917</v>
      </c>
      <c r="G47" t="s">
        <v>2601</v>
      </c>
      <c r="H47" t="s">
        <v>2568</v>
      </c>
      <c r="I47" s="68" t="s">
        <v>3787</v>
      </c>
      <c r="J47" t="s">
        <v>14</v>
      </c>
      <c r="K47">
        <v>0</v>
      </c>
      <c r="L47">
        <v>0</v>
      </c>
      <c r="M47">
        <v>1</v>
      </c>
      <c r="N47">
        <v>2.0000000000000001E-10</v>
      </c>
      <c r="O47">
        <v>4294967296</v>
      </c>
      <c r="P47" s="54">
        <v>0.1</v>
      </c>
    </row>
    <row r="48" spans="1:16" x14ac:dyDescent="0.25">
      <c r="A48" t="s">
        <v>2914</v>
      </c>
      <c r="B48" t="s">
        <v>2915</v>
      </c>
      <c r="C48" t="s">
        <v>2916</v>
      </c>
      <c r="D48" t="s">
        <v>2782</v>
      </c>
      <c r="E48" t="s">
        <v>3785</v>
      </c>
      <c r="F48" t="s">
        <v>2917</v>
      </c>
      <c r="G48" t="s">
        <v>2601</v>
      </c>
      <c r="H48" t="s">
        <v>2568</v>
      </c>
      <c r="I48" s="68" t="s">
        <v>3788</v>
      </c>
      <c r="J48" t="s">
        <v>14</v>
      </c>
      <c r="K48">
        <v>0</v>
      </c>
      <c r="L48">
        <v>0</v>
      </c>
      <c r="M48">
        <v>1</v>
      </c>
      <c r="N48">
        <v>2.0000000000000001E-10</v>
      </c>
      <c r="O48">
        <v>4294967296</v>
      </c>
      <c r="P48" s="54">
        <v>0.1</v>
      </c>
    </row>
    <row r="49" spans="1:16" x14ac:dyDescent="0.25">
      <c r="A49" t="s">
        <v>3616</v>
      </c>
      <c r="B49" t="s">
        <v>3610</v>
      </c>
      <c r="C49" t="s">
        <v>3611</v>
      </c>
      <c r="D49" t="s">
        <v>2782</v>
      </c>
      <c r="E49" t="s">
        <v>3783</v>
      </c>
      <c r="F49" t="s">
        <v>2698</v>
      </c>
      <c r="G49" t="s">
        <v>113</v>
      </c>
      <c r="H49" t="s">
        <v>2569</v>
      </c>
      <c r="I49" s="68" t="s">
        <v>3789</v>
      </c>
      <c r="J49" t="s">
        <v>14</v>
      </c>
      <c r="K49">
        <v>0</v>
      </c>
      <c r="L49">
        <v>0</v>
      </c>
      <c r="M49">
        <v>10000</v>
      </c>
      <c r="N49">
        <v>2.0000000000000001E-10</v>
      </c>
      <c r="O49">
        <v>4294967296</v>
      </c>
      <c r="P49" s="54" t="s">
        <v>3760</v>
      </c>
    </row>
    <row r="50" spans="1:16" x14ac:dyDescent="0.25">
      <c r="A50" t="s">
        <v>3616</v>
      </c>
      <c r="B50" t="s">
        <v>3610</v>
      </c>
      <c r="C50" t="s">
        <v>3611</v>
      </c>
      <c r="D50" t="s">
        <v>2782</v>
      </c>
      <c r="E50" t="s">
        <v>3785</v>
      </c>
      <c r="F50" t="s">
        <v>2698</v>
      </c>
      <c r="G50" t="s">
        <v>113</v>
      </c>
      <c r="H50" t="s">
        <v>2569</v>
      </c>
      <c r="I50" s="68" t="s">
        <v>3790</v>
      </c>
      <c r="J50" t="s">
        <v>14</v>
      </c>
      <c r="K50">
        <v>0</v>
      </c>
      <c r="L50">
        <v>0</v>
      </c>
      <c r="M50">
        <v>10000</v>
      </c>
      <c r="N50">
        <v>2.0000000000000001E-10</v>
      </c>
      <c r="O50">
        <v>4294967296</v>
      </c>
      <c r="P50" s="54" t="s">
        <v>3760</v>
      </c>
    </row>
    <row r="51" spans="1:16" x14ac:dyDescent="0.25">
      <c r="A51" t="s">
        <v>2915</v>
      </c>
      <c r="B51" t="s">
        <v>2915</v>
      </c>
      <c r="C51" t="s">
        <v>2916</v>
      </c>
      <c r="D51" t="s">
        <v>2782</v>
      </c>
      <c r="E51" t="s">
        <v>3791</v>
      </c>
      <c r="F51" t="s">
        <v>2917</v>
      </c>
      <c r="G51" t="s">
        <v>2601</v>
      </c>
      <c r="H51" t="s">
        <v>2568</v>
      </c>
      <c r="I51" s="68" t="s">
        <v>3793</v>
      </c>
      <c r="J51" t="s">
        <v>14</v>
      </c>
      <c r="K51">
        <v>0</v>
      </c>
      <c r="L51">
        <v>0</v>
      </c>
      <c r="M51">
        <v>1</v>
      </c>
      <c r="N51">
        <v>2.0000000000000001E-10</v>
      </c>
      <c r="O51">
        <v>4294967296</v>
      </c>
      <c r="P51" s="54">
        <v>1E-3</v>
      </c>
    </row>
    <row r="52" spans="1:16" x14ac:dyDescent="0.25">
      <c r="A52" t="s">
        <v>3794</v>
      </c>
      <c r="B52" t="s">
        <v>3795</v>
      </c>
      <c r="C52" t="s">
        <v>3796</v>
      </c>
      <c r="D52" t="s">
        <v>3596</v>
      </c>
      <c r="E52" t="s">
        <v>3638</v>
      </c>
      <c r="F52" t="s">
        <v>2701</v>
      </c>
      <c r="G52" t="s">
        <v>113</v>
      </c>
      <c r="H52" t="s">
        <v>2568</v>
      </c>
      <c r="I52" s="68" t="s">
        <v>3797</v>
      </c>
      <c r="J52" t="s">
        <v>14</v>
      </c>
      <c r="K52">
        <v>0</v>
      </c>
      <c r="L52">
        <v>0</v>
      </c>
      <c r="M52">
        <v>1</v>
      </c>
      <c r="N52">
        <v>2.0000000000000001E-10</v>
      </c>
      <c r="O52">
        <v>4294967296</v>
      </c>
      <c r="P52" s="54">
        <v>0</v>
      </c>
    </row>
    <row r="53" spans="1:16" x14ac:dyDescent="0.25">
      <c r="A53" t="s">
        <v>3798</v>
      </c>
      <c r="B53" t="s">
        <v>3799</v>
      </c>
      <c r="C53" t="s">
        <v>3800</v>
      </c>
      <c r="D53" t="s">
        <v>2716</v>
      </c>
      <c r="E53" t="s">
        <v>2717</v>
      </c>
      <c r="F53" t="s">
        <v>2669</v>
      </c>
      <c r="G53" t="s">
        <v>113</v>
      </c>
      <c r="H53" t="s">
        <v>2568</v>
      </c>
      <c r="I53" s="68" t="s">
        <v>3801</v>
      </c>
      <c r="J53" t="s">
        <v>14</v>
      </c>
      <c r="K53">
        <v>0</v>
      </c>
      <c r="L53">
        <v>0</v>
      </c>
      <c r="M53">
        <v>1</v>
      </c>
      <c r="N53">
        <v>2.0000000000000001E-10</v>
      </c>
      <c r="O53">
        <v>4294967296</v>
      </c>
      <c r="P53" s="54">
        <v>1</v>
      </c>
    </row>
    <row r="54" spans="1:16" x14ac:dyDescent="0.25">
      <c r="A54" t="s">
        <v>3802</v>
      </c>
      <c r="B54" t="s">
        <v>3803</v>
      </c>
      <c r="C54" t="s">
        <v>3804</v>
      </c>
      <c r="D54" t="s">
        <v>2716</v>
      </c>
      <c r="E54" t="s">
        <v>2717</v>
      </c>
      <c r="F54" t="s">
        <v>2669</v>
      </c>
      <c r="G54" t="s">
        <v>113</v>
      </c>
      <c r="H54" t="s">
        <v>2637</v>
      </c>
      <c r="I54" s="68" t="s">
        <v>3805</v>
      </c>
      <c r="J54" t="s">
        <v>14</v>
      </c>
      <c r="K54" t="s">
        <v>3806</v>
      </c>
      <c r="L54">
        <v>0</v>
      </c>
      <c r="M54">
        <v>5</v>
      </c>
      <c r="N54">
        <v>1.2E-9</v>
      </c>
      <c r="O54">
        <v>4294967296</v>
      </c>
      <c r="P54" s="54" t="s">
        <v>3807</v>
      </c>
    </row>
    <row r="55" spans="1:16" x14ac:dyDescent="0.25">
      <c r="A55" t="s">
        <v>3808</v>
      </c>
      <c r="B55" t="s">
        <v>3809</v>
      </c>
      <c r="C55" t="s">
        <v>3810</v>
      </c>
      <c r="D55" t="s">
        <v>2716</v>
      </c>
      <c r="E55" t="s">
        <v>2717</v>
      </c>
      <c r="F55" t="s">
        <v>2669</v>
      </c>
      <c r="G55" t="s">
        <v>113</v>
      </c>
      <c r="H55" t="s">
        <v>2638</v>
      </c>
      <c r="I55" s="68" t="s">
        <v>3811</v>
      </c>
      <c r="J55" t="s">
        <v>14</v>
      </c>
      <c r="K55" t="s">
        <v>3806</v>
      </c>
      <c r="L55">
        <v>0</v>
      </c>
      <c r="M55">
        <v>10</v>
      </c>
      <c r="N55">
        <v>2.2999999999999999E-9</v>
      </c>
      <c r="O55">
        <v>4294967296</v>
      </c>
      <c r="P55" s="54" t="s">
        <v>3812</v>
      </c>
    </row>
    <row r="56" spans="1:16" x14ac:dyDescent="0.25">
      <c r="A56" t="s">
        <v>3827</v>
      </c>
      <c r="B56" t="s">
        <v>3828</v>
      </c>
      <c r="C56" t="s">
        <v>3829</v>
      </c>
      <c r="D56" t="s">
        <v>2716</v>
      </c>
      <c r="E56" t="s">
        <v>2717</v>
      </c>
      <c r="F56" t="s">
        <v>2669</v>
      </c>
      <c r="G56" t="s">
        <v>113</v>
      </c>
      <c r="H56" t="s">
        <v>2568</v>
      </c>
      <c r="I56" s="68" t="s">
        <v>3830</v>
      </c>
      <c r="J56" t="s">
        <v>14</v>
      </c>
      <c r="K56">
        <v>0</v>
      </c>
      <c r="L56">
        <v>0</v>
      </c>
      <c r="M56">
        <v>1</v>
      </c>
      <c r="N56">
        <v>2.0000000000000001E-10</v>
      </c>
      <c r="O56">
        <v>4294967296</v>
      </c>
      <c r="P56" s="54">
        <v>0</v>
      </c>
    </row>
  </sheetData>
  <sheetProtection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625" zoomScale="85" zoomScaleNormal="85" zoomScalePageLayoutView="85" workbookViewId="0">
      <selection activeCell="B663" sqref="B663"/>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3831</v>
      </c>
      <c r="E8" s="20" t="s">
        <v>3831</v>
      </c>
      <c r="H8" s="34" t="s">
        <v>58</v>
      </c>
      <c r="I8" s="30" t="s">
        <v>57</v>
      </c>
      <c r="J8" s="32" t="s">
        <v>59</v>
      </c>
      <c r="K8" s="42" t="s">
        <v>2571</v>
      </c>
      <c r="L8" s="64" t="s">
        <v>131</v>
      </c>
      <c r="M8" s="57" t="s">
        <v>2716</v>
      </c>
      <c r="N8" s="60" t="s">
        <v>2769</v>
      </c>
    </row>
    <row r="9" spans="1:16" x14ac:dyDescent="0.25">
      <c r="A9" s="21" t="s">
        <v>151</v>
      </c>
      <c r="B9" s="21" t="s">
        <v>152</v>
      </c>
      <c r="C9" s="36"/>
      <c r="D9" s="19" t="s">
        <v>2789</v>
      </c>
      <c r="E9" s="20" t="s">
        <v>2828</v>
      </c>
      <c r="H9" s="34" t="s">
        <v>90</v>
      </c>
      <c r="I9" s="30" t="s">
        <v>89</v>
      </c>
      <c r="J9" s="32" t="s">
        <v>2604</v>
      </c>
      <c r="L9" s="64"/>
      <c r="M9" s="58" t="s">
        <v>2782</v>
      </c>
      <c r="N9" s="61" t="s">
        <v>2827</v>
      </c>
    </row>
    <row r="10" spans="1:16" x14ac:dyDescent="0.25">
      <c r="A10" s="21" t="s">
        <v>153</v>
      </c>
      <c r="B10" s="21" t="s">
        <v>154</v>
      </c>
      <c r="C10" s="36"/>
      <c r="D10" s="19" t="s">
        <v>2792</v>
      </c>
      <c r="E10" s="20" t="s">
        <v>2831</v>
      </c>
      <c r="H10" s="34" t="s">
        <v>115</v>
      </c>
      <c r="I10" s="30" t="s">
        <v>114</v>
      </c>
      <c r="J10" s="32" t="s">
        <v>113</v>
      </c>
      <c r="M10" s="57" t="s">
        <v>2789</v>
      </c>
      <c r="N10" s="60" t="s">
        <v>2828</v>
      </c>
    </row>
    <row r="11" spans="1:16" x14ac:dyDescent="0.25">
      <c r="A11" s="21" t="s">
        <v>155</v>
      </c>
      <c r="B11" s="21" t="s">
        <v>156</v>
      </c>
      <c r="C11" s="36"/>
      <c r="D11" s="19" t="s">
        <v>2858</v>
      </c>
      <c r="E11" s="20" t="s">
        <v>2858</v>
      </c>
      <c r="H11" s="34" t="s">
        <v>117</v>
      </c>
      <c r="I11" s="30" t="s">
        <v>116</v>
      </c>
      <c r="J11" s="32" t="s">
        <v>113</v>
      </c>
      <c r="M11" s="57" t="s">
        <v>2784</v>
      </c>
      <c r="N11" s="60" t="s">
        <v>2829</v>
      </c>
    </row>
    <row r="12" spans="1:16" x14ac:dyDescent="0.25">
      <c r="A12" s="21" t="s">
        <v>157</v>
      </c>
      <c r="B12" s="21" t="s">
        <v>158</v>
      </c>
      <c r="C12" s="36"/>
      <c r="D12" s="19" t="s">
        <v>3198</v>
      </c>
      <c r="E12" s="20" t="s">
        <v>3205</v>
      </c>
      <c r="H12" s="34" t="s">
        <v>50</v>
      </c>
      <c r="I12" s="30" t="s">
        <v>49</v>
      </c>
      <c r="J12" s="32" t="s">
        <v>51</v>
      </c>
      <c r="M12" s="57" t="s">
        <v>2791</v>
      </c>
      <c r="N12" s="60" t="s">
        <v>2830</v>
      </c>
    </row>
    <row r="13" spans="1:16" x14ac:dyDescent="0.25">
      <c r="A13" s="21" t="s">
        <v>159</v>
      </c>
      <c r="B13" s="21" t="s">
        <v>160</v>
      </c>
      <c r="C13" s="36"/>
      <c r="D13" s="19" t="s">
        <v>3109</v>
      </c>
      <c r="E13" s="20" t="s">
        <v>3206</v>
      </c>
      <c r="H13" s="34" t="s">
        <v>47</v>
      </c>
      <c r="I13" s="30" t="s">
        <v>46</v>
      </c>
      <c r="J13" s="32" t="s">
        <v>48</v>
      </c>
      <c r="M13" s="57" t="s">
        <v>2856</v>
      </c>
      <c r="N13" s="60" t="s">
        <v>2857</v>
      </c>
    </row>
    <row r="14" spans="1:16" x14ac:dyDescent="0.25">
      <c r="A14" s="21" t="s">
        <v>161</v>
      </c>
      <c r="B14" s="21" t="s">
        <v>162</v>
      </c>
      <c r="C14" s="36"/>
      <c r="D14" s="19" t="s">
        <v>3114</v>
      </c>
      <c r="E14" s="20" t="s">
        <v>3207</v>
      </c>
      <c r="H14" s="34" t="s">
        <v>84</v>
      </c>
      <c r="I14" s="30" t="s">
        <v>83</v>
      </c>
      <c r="J14" s="32" t="s">
        <v>85</v>
      </c>
      <c r="M14" s="57" t="s">
        <v>2625</v>
      </c>
      <c r="N14" s="60" t="s">
        <v>309</v>
      </c>
    </row>
    <row r="15" spans="1:16" x14ac:dyDescent="0.25">
      <c r="A15" s="21" t="s">
        <v>163</v>
      </c>
      <c r="B15" s="21" t="s">
        <v>164</v>
      </c>
      <c r="C15" s="36"/>
      <c r="D15" s="19" t="s">
        <v>3155</v>
      </c>
      <c r="E15" s="20" t="s">
        <v>3160</v>
      </c>
      <c r="H15" s="34" t="s">
        <v>52</v>
      </c>
      <c r="I15" s="30" t="s">
        <v>2607</v>
      </c>
      <c r="J15" s="32" t="s">
        <v>53</v>
      </c>
      <c r="M15" s="57" t="s">
        <v>3596</v>
      </c>
      <c r="N15" s="60" t="s">
        <v>3601</v>
      </c>
    </row>
    <row r="16" spans="1:16" x14ac:dyDescent="0.25">
      <c r="A16" s="21" t="s">
        <v>165</v>
      </c>
      <c r="B16" s="21" t="s">
        <v>166</v>
      </c>
      <c r="C16" s="36"/>
      <c r="D16" s="19" t="s">
        <v>3146</v>
      </c>
      <c r="E16" s="20" t="s">
        <v>3149</v>
      </c>
      <c r="H16" s="34" t="s">
        <v>55</v>
      </c>
      <c r="I16" s="30" t="s">
        <v>54</v>
      </c>
      <c r="J16" s="32" t="s">
        <v>56</v>
      </c>
      <c r="M16" s="57" t="s">
        <v>3627</v>
      </c>
      <c r="N16" s="60" t="s">
        <v>3661</v>
      </c>
    </row>
    <row r="17" spans="1:14" x14ac:dyDescent="0.25">
      <c r="A17" s="21" t="s">
        <v>167</v>
      </c>
      <c r="B17" s="21" t="s">
        <v>168</v>
      </c>
      <c r="C17" s="36"/>
      <c r="D17" s="19" t="s">
        <v>3128</v>
      </c>
      <c r="E17" s="20" t="s">
        <v>3129</v>
      </c>
      <c r="H17" s="34" t="s">
        <v>119</v>
      </c>
      <c r="I17" s="30" t="s">
        <v>118</v>
      </c>
      <c r="J17" s="32" t="s">
        <v>113</v>
      </c>
      <c r="M17" s="57" t="s">
        <v>37</v>
      </c>
      <c r="N17" s="60" t="s">
        <v>133</v>
      </c>
    </row>
    <row r="18" spans="1:14" x14ac:dyDescent="0.25">
      <c r="A18" s="21" t="s">
        <v>169</v>
      </c>
      <c r="B18" s="21" t="s">
        <v>170</v>
      </c>
      <c r="C18" s="36"/>
      <c r="D18" s="19" t="s">
        <v>3162</v>
      </c>
      <c r="E18" s="20" t="s">
        <v>3208</v>
      </c>
      <c r="H18" s="34" t="s">
        <v>3374</v>
      </c>
      <c r="I18" s="30" t="s">
        <v>3375</v>
      </c>
      <c r="J18" s="32" t="s">
        <v>3351</v>
      </c>
    </row>
    <row r="19" spans="1:14" x14ac:dyDescent="0.25">
      <c r="A19" s="21" t="s">
        <v>171</v>
      </c>
      <c r="B19" s="21" t="s">
        <v>172</v>
      </c>
      <c r="C19" s="36"/>
      <c r="D19" s="19" t="s">
        <v>3319</v>
      </c>
      <c r="E19" s="20" t="s">
        <v>3320</v>
      </c>
      <c r="H19" s="34" t="s">
        <v>63</v>
      </c>
      <c r="I19" s="30" t="s">
        <v>62</v>
      </c>
      <c r="J19" s="32" t="s">
        <v>64</v>
      </c>
    </row>
    <row r="20" spans="1:14" x14ac:dyDescent="0.25">
      <c r="A20" s="21" t="s">
        <v>173</v>
      </c>
      <c r="B20" s="21" t="s">
        <v>174</v>
      </c>
      <c r="C20" s="36"/>
      <c r="D20" s="19" t="s">
        <v>3343</v>
      </c>
      <c r="E20" s="20" t="s">
        <v>3344</v>
      </c>
      <c r="H20" s="34" t="s">
        <v>105</v>
      </c>
      <c r="I20" s="30" t="s">
        <v>104</v>
      </c>
      <c r="J20" s="32" t="s">
        <v>3053</v>
      </c>
    </row>
    <row r="21" spans="1:14" x14ac:dyDescent="0.25">
      <c r="A21" s="21" t="s">
        <v>175</v>
      </c>
      <c r="B21" s="21" t="s">
        <v>176</v>
      </c>
      <c r="C21" s="36"/>
      <c r="D21" s="19" t="s">
        <v>3378</v>
      </c>
      <c r="E21" s="20" t="s">
        <v>3379</v>
      </c>
      <c r="H21" s="34" t="s">
        <v>65</v>
      </c>
      <c r="I21" s="30" t="s">
        <v>64</v>
      </c>
      <c r="J21" s="32" t="s">
        <v>66</v>
      </c>
    </row>
    <row r="22" spans="1:14" x14ac:dyDescent="0.25">
      <c r="A22" s="21" t="s">
        <v>177</v>
      </c>
      <c r="B22" s="21" t="s">
        <v>178</v>
      </c>
      <c r="C22" s="36"/>
      <c r="D22" s="19" t="s">
        <v>3482</v>
      </c>
      <c r="E22" s="20" t="s">
        <v>3509</v>
      </c>
      <c r="H22" s="34" t="s">
        <v>68</v>
      </c>
      <c r="I22" s="30" t="s">
        <v>67</v>
      </c>
      <c r="J22" s="32" t="s">
        <v>2599</v>
      </c>
    </row>
    <row r="23" spans="1:14" x14ac:dyDescent="0.25">
      <c r="A23" s="21" t="s">
        <v>179</v>
      </c>
      <c r="B23" s="21" t="s">
        <v>180</v>
      </c>
      <c r="C23" s="36"/>
      <c r="D23" s="19" t="s">
        <v>3501</v>
      </c>
      <c r="E23" s="20" t="s">
        <v>3510</v>
      </c>
      <c r="H23" s="34" t="s">
        <v>61</v>
      </c>
      <c r="I23" s="30" t="s">
        <v>60</v>
      </c>
      <c r="J23" s="32" t="s">
        <v>2605</v>
      </c>
    </row>
    <row r="24" spans="1:14" x14ac:dyDescent="0.25">
      <c r="A24" s="21" t="s">
        <v>181</v>
      </c>
      <c r="B24" s="21" t="s">
        <v>182</v>
      </c>
      <c r="C24" s="36"/>
      <c r="D24" s="19" t="s">
        <v>3513</v>
      </c>
      <c r="E24" s="20" t="s">
        <v>3522</v>
      </c>
      <c r="H24" s="34" t="s">
        <v>121</v>
      </c>
      <c r="I24" s="30" t="s">
        <v>120</v>
      </c>
      <c r="J24" s="32" t="s">
        <v>113</v>
      </c>
    </row>
    <row r="25" spans="1:14" x14ac:dyDescent="0.25">
      <c r="A25" s="21" t="s">
        <v>183</v>
      </c>
      <c r="B25" s="21" t="s">
        <v>184</v>
      </c>
      <c r="C25" s="36"/>
      <c r="D25" s="19" t="s">
        <v>3525</v>
      </c>
      <c r="E25" s="20" t="s">
        <v>3531</v>
      </c>
      <c r="H25" s="34" t="s">
        <v>78</v>
      </c>
      <c r="I25" s="30" t="s">
        <v>77</v>
      </c>
      <c r="J25" s="32" t="s">
        <v>79</v>
      </c>
    </row>
    <row r="26" spans="1:14" x14ac:dyDescent="0.25">
      <c r="A26" s="21" t="s">
        <v>185</v>
      </c>
      <c r="B26" s="21" t="s">
        <v>186</v>
      </c>
      <c r="C26" s="36"/>
      <c r="D26" s="19" t="s">
        <v>3577</v>
      </c>
      <c r="E26" s="20" t="s">
        <v>3583</v>
      </c>
      <c r="H26" s="34" t="s">
        <v>81</v>
      </c>
      <c r="I26" s="30" t="s">
        <v>80</v>
      </c>
      <c r="J26" s="32" t="s">
        <v>82</v>
      </c>
    </row>
    <row r="27" spans="1:14" x14ac:dyDescent="0.25">
      <c r="A27" s="21" t="s">
        <v>187</v>
      </c>
      <c r="B27" s="21" t="s">
        <v>188</v>
      </c>
      <c r="C27" s="36"/>
      <c r="D27" s="19" t="s">
        <v>3584</v>
      </c>
      <c r="E27" s="20" t="s">
        <v>3588</v>
      </c>
      <c r="H27" s="34" t="s">
        <v>73</v>
      </c>
      <c r="I27" s="30" t="s">
        <v>72</v>
      </c>
      <c r="J27" s="32" t="s">
        <v>1679</v>
      </c>
    </row>
    <row r="28" spans="1:14" x14ac:dyDescent="0.25">
      <c r="A28" s="21" t="s">
        <v>189</v>
      </c>
      <c r="B28" s="21" t="s">
        <v>190</v>
      </c>
      <c r="C28" s="36"/>
      <c r="D28" s="19" t="s">
        <v>3585</v>
      </c>
      <c r="E28" s="20" t="s">
        <v>3589</v>
      </c>
      <c r="H28" s="34" t="s">
        <v>1862</v>
      </c>
      <c r="I28" s="30" t="s">
        <v>2929</v>
      </c>
      <c r="J28" s="32" t="s">
        <v>2893</v>
      </c>
    </row>
    <row r="29" spans="1:14" x14ac:dyDescent="0.25">
      <c r="A29" s="21" t="s">
        <v>191</v>
      </c>
      <c r="B29" s="21" t="s">
        <v>192</v>
      </c>
      <c r="C29" s="36"/>
      <c r="D29" s="19" t="s">
        <v>3597</v>
      </c>
      <c r="E29" s="20" t="s">
        <v>3602</v>
      </c>
      <c r="H29" s="34" t="s">
        <v>123</v>
      </c>
      <c r="I29" s="30" t="s">
        <v>122</v>
      </c>
      <c r="J29" s="32" t="s">
        <v>113</v>
      </c>
    </row>
    <row r="30" spans="1:14" x14ac:dyDescent="0.25">
      <c r="A30" s="21" t="s">
        <v>193</v>
      </c>
      <c r="B30" s="21" t="s">
        <v>194</v>
      </c>
      <c r="C30" s="36"/>
      <c r="D30" s="19" t="s">
        <v>3607</v>
      </c>
      <c r="E30" s="20" t="s">
        <v>3608</v>
      </c>
      <c r="H30" s="34" t="s">
        <v>87</v>
      </c>
      <c r="I30" s="30" t="s">
        <v>86</v>
      </c>
      <c r="J30" s="32" t="s">
        <v>88</v>
      </c>
    </row>
    <row r="31" spans="1:14" x14ac:dyDescent="0.25">
      <c r="A31" s="21" t="s">
        <v>195</v>
      </c>
      <c r="B31" s="21" t="s">
        <v>196</v>
      </c>
      <c r="C31" s="36"/>
      <c r="D31" s="19" t="s">
        <v>3628</v>
      </c>
      <c r="E31" s="20" t="s">
        <v>3662</v>
      </c>
      <c r="H31" s="34" t="s">
        <v>70</v>
      </c>
      <c r="I31" s="30" t="s">
        <v>69</v>
      </c>
      <c r="J31" s="32" t="s">
        <v>71</v>
      </c>
    </row>
    <row r="32" spans="1:14" x14ac:dyDescent="0.25">
      <c r="A32" s="21" t="s">
        <v>197</v>
      </c>
      <c r="B32" s="21" t="s">
        <v>198</v>
      </c>
      <c r="C32" s="36"/>
      <c r="D32" s="19" t="s">
        <v>2717</v>
      </c>
      <c r="E32" s="20" t="s">
        <v>2717</v>
      </c>
      <c r="H32" s="34" t="s">
        <v>92</v>
      </c>
      <c r="I32" s="30" t="s">
        <v>91</v>
      </c>
      <c r="J32" s="32" t="s">
        <v>93</v>
      </c>
    </row>
    <row r="33" spans="1:10" x14ac:dyDescent="0.25">
      <c r="A33" s="21" t="s">
        <v>199</v>
      </c>
      <c r="B33" s="21" t="s">
        <v>200</v>
      </c>
      <c r="C33" s="36"/>
      <c r="D33" s="19" t="s">
        <v>3632</v>
      </c>
      <c r="E33" s="20" t="s">
        <v>3663</v>
      </c>
      <c r="H33" s="34" t="s">
        <v>125</v>
      </c>
      <c r="I33" s="30" t="s">
        <v>124</v>
      </c>
      <c r="J33" s="32" t="s">
        <v>113</v>
      </c>
    </row>
    <row r="34" spans="1:10" x14ac:dyDescent="0.25">
      <c r="A34" s="21" t="s">
        <v>201</v>
      </c>
      <c r="B34" s="21" t="s">
        <v>202</v>
      </c>
      <c r="C34" s="36"/>
      <c r="D34" s="19" t="s">
        <v>3638</v>
      </c>
      <c r="E34" s="20" t="s">
        <v>3664</v>
      </c>
      <c r="H34" s="34" t="s">
        <v>127</v>
      </c>
      <c r="I34" s="30" t="s">
        <v>126</v>
      </c>
      <c r="J34" s="32" t="s">
        <v>113</v>
      </c>
    </row>
    <row r="35" spans="1:10" x14ac:dyDescent="0.25">
      <c r="A35" s="21" t="s">
        <v>203</v>
      </c>
      <c r="B35" s="21" t="s">
        <v>204</v>
      </c>
      <c r="C35" s="36"/>
      <c r="D35" s="19" t="s">
        <v>3655</v>
      </c>
      <c r="E35" s="20" t="s">
        <v>3665</v>
      </c>
      <c r="H35" s="34" t="s">
        <v>95</v>
      </c>
      <c r="I35" s="30" t="s">
        <v>94</v>
      </c>
      <c r="J35" s="32" t="s">
        <v>96</v>
      </c>
    </row>
    <row r="36" spans="1:10" x14ac:dyDescent="0.25">
      <c r="A36" s="21" t="s">
        <v>2832</v>
      </c>
      <c r="B36" s="21" t="s">
        <v>2833</v>
      </c>
      <c r="C36" s="36"/>
      <c r="D36" s="19" t="s">
        <v>3749</v>
      </c>
      <c r="E36" s="20" t="s">
        <v>3750</v>
      </c>
      <c r="H36" s="34" t="s">
        <v>2338</v>
      </c>
      <c r="I36" s="30" t="s">
        <v>97</v>
      </c>
      <c r="J36" s="32" t="s">
        <v>2601</v>
      </c>
    </row>
    <row r="37" spans="1:10" x14ac:dyDescent="0.25">
      <c r="A37" s="21" t="s">
        <v>205</v>
      </c>
      <c r="B37" s="21" t="s">
        <v>206</v>
      </c>
      <c r="C37" s="36"/>
      <c r="D37" s="19" t="s">
        <v>3783</v>
      </c>
      <c r="E37" s="20" t="s">
        <v>3784</v>
      </c>
      <c r="H37" s="34" t="s">
        <v>99</v>
      </c>
      <c r="I37" s="30" t="s">
        <v>98</v>
      </c>
      <c r="J37" s="32" t="s">
        <v>100</v>
      </c>
    </row>
    <row r="38" spans="1:10" x14ac:dyDescent="0.25">
      <c r="A38" s="21" t="s">
        <v>207</v>
      </c>
      <c r="B38" s="21" t="s">
        <v>208</v>
      </c>
      <c r="C38" s="36"/>
      <c r="D38" s="19" t="s">
        <v>3785</v>
      </c>
      <c r="E38" s="20" t="s">
        <v>3786</v>
      </c>
      <c r="H38" s="34" t="s">
        <v>102</v>
      </c>
      <c r="I38" s="30" t="s">
        <v>101</v>
      </c>
      <c r="J38" s="32" t="s">
        <v>103</v>
      </c>
    </row>
    <row r="39" spans="1:10" x14ac:dyDescent="0.25">
      <c r="A39" s="21" t="s">
        <v>209</v>
      </c>
      <c r="B39" s="21" t="s">
        <v>209</v>
      </c>
      <c r="C39" s="36"/>
      <c r="D39" s="19" t="s">
        <v>3791</v>
      </c>
      <c r="E39" s="20" t="s">
        <v>3792</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3590</v>
      </c>
      <c r="B42" s="21" t="s">
        <v>3591</v>
      </c>
      <c r="C42" s="36"/>
      <c r="H42" s="19" t="s">
        <v>3052</v>
      </c>
      <c r="I42" s="74" t="s">
        <v>3060</v>
      </c>
      <c r="J42" s="41" t="s">
        <v>3059</v>
      </c>
    </row>
    <row r="43" spans="1:10" x14ac:dyDescent="0.25">
      <c r="A43" s="21" t="s">
        <v>215</v>
      </c>
      <c r="B43" s="21" t="s">
        <v>215</v>
      </c>
      <c r="C43" s="36"/>
      <c r="H43" s="19" t="s">
        <v>3349</v>
      </c>
      <c r="I43" s="18" t="s">
        <v>3350</v>
      </c>
      <c r="J43" s="20" t="s">
        <v>3351</v>
      </c>
    </row>
    <row r="44" spans="1:10" x14ac:dyDescent="0.25">
      <c r="A44" s="21" t="s">
        <v>216</v>
      </c>
      <c r="B44" s="21" t="s">
        <v>217</v>
      </c>
      <c r="C44" s="36"/>
      <c r="H44" s="19" t="s">
        <v>450</v>
      </c>
      <c r="I44" s="18" t="s">
        <v>3431</v>
      </c>
      <c r="J44" s="20" t="s">
        <v>3430</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2930</v>
      </c>
      <c r="B77" s="21" t="s">
        <v>2930</v>
      </c>
      <c r="C77" s="36"/>
    </row>
    <row r="78" spans="1:3" x14ac:dyDescent="0.25">
      <c r="A78" s="21" t="s">
        <v>279</v>
      </c>
      <c r="B78" s="21" t="s">
        <v>279</v>
      </c>
      <c r="C78" s="36" t="s">
        <v>280</v>
      </c>
    </row>
    <row r="79" spans="1:3" x14ac:dyDescent="0.25">
      <c r="A79" s="21" t="s">
        <v>2931</v>
      </c>
      <c r="B79" s="21" t="s">
        <v>2931</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2811</v>
      </c>
      <c r="B162" s="21" t="s">
        <v>2812</v>
      </c>
      <c r="C162" s="36"/>
    </row>
    <row r="163" spans="1:3" x14ac:dyDescent="0.25">
      <c r="A163" s="21" t="s">
        <v>2800</v>
      </c>
      <c r="B163" s="21" t="s">
        <v>2801</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2834</v>
      </c>
      <c r="B173" s="21" t="s">
        <v>2835</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3209</v>
      </c>
      <c r="B226" s="21" t="s">
        <v>3209</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3523</v>
      </c>
      <c r="B239" s="21" t="s">
        <v>3523</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3210</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2973</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2836</v>
      </c>
      <c r="B336" s="21" t="s">
        <v>2837</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2932</v>
      </c>
      <c r="B358" s="21" t="s">
        <v>2932</v>
      </c>
      <c r="C358" s="36"/>
    </row>
    <row r="359" spans="1:3" x14ac:dyDescent="0.25">
      <c r="A359" s="21" t="s">
        <v>803</v>
      </c>
      <c r="B359" s="21" t="s">
        <v>803</v>
      </c>
      <c r="C359" s="36"/>
    </row>
    <row r="360" spans="1:3" x14ac:dyDescent="0.25">
      <c r="A360" s="21" t="s">
        <v>804</v>
      </c>
      <c r="B360" s="21" t="s">
        <v>805</v>
      </c>
      <c r="C360" s="36"/>
    </row>
    <row r="361" spans="1:3" x14ac:dyDescent="0.25">
      <c r="A361" s="21" t="s">
        <v>2933</v>
      </c>
      <c r="B361" s="21" t="s">
        <v>2934</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2838</v>
      </c>
      <c r="B438" s="21" t="s">
        <v>2839</v>
      </c>
      <c r="C438" s="36"/>
    </row>
    <row r="439" spans="1:3" x14ac:dyDescent="0.25">
      <c r="A439" s="21" t="s">
        <v>2840</v>
      </c>
      <c r="B439" s="21" t="s">
        <v>2841</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3603</v>
      </c>
      <c r="B480" s="21" t="s">
        <v>3604</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3031</v>
      </c>
      <c r="B497" s="21" t="s">
        <v>3032</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3605</v>
      </c>
      <c r="B565" s="21" t="s">
        <v>3606</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2802</v>
      </c>
      <c r="B576" s="21" t="s">
        <v>2803</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3376</v>
      </c>
      <c r="B617" s="21" t="s">
        <v>3377</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2986</v>
      </c>
      <c r="B623" s="21" t="s">
        <v>2987</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2937</v>
      </c>
      <c r="B669" s="21" t="s">
        <v>2937</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2842</v>
      </c>
      <c r="B692" s="21" t="s">
        <v>2843</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3211</v>
      </c>
      <c r="B695" s="21" t="s">
        <v>3211</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3212</v>
      </c>
      <c r="B733" s="21" t="s">
        <v>3212</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3532</v>
      </c>
      <c r="B791" s="21" t="s">
        <v>3532</v>
      </c>
      <c r="C791" s="36"/>
    </row>
    <row r="792" spans="1:3" x14ac:dyDescent="0.25">
      <c r="A792" s="21" t="s">
        <v>1568</v>
      </c>
      <c r="B792" s="21" t="s">
        <v>1568</v>
      </c>
      <c r="C792" s="36"/>
    </row>
    <row r="793" spans="1:3" x14ac:dyDescent="0.25">
      <c r="A793" s="21" t="s">
        <v>2844</v>
      </c>
      <c r="B793" s="21" t="s">
        <v>51</v>
      </c>
      <c r="C793" s="36"/>
    </row>
    <row r="794" spans="1:3" x14ac:dyDescent="0.25">
      <c r="A794" s="21" t="s">
        <v>2845</v>
      </c>
      <c r="B794" s="21" t="s">
        <v>2799</v>
      </c>
      <c r="C794" s="36"/>
    </row>
    <row r="795" spans="1:3" x14ac:dyDescent="0.25">
      <c r="A795" s="21" t="s">
        <v>2846</v>
      </c>
      <c r="B795" s="21" t="s">
        <v>2797</v>
      </c>
      <c r="C795" s="36"/>
    </row>
    <row r="796" spans="1:3" x14ac:dyDescent="0.25">
      <c r="A796" s="21" t="s">
        <v>2796</v>
      </c>
      <c r="B796" s="21" t="s">
        <v>2797</v>
      </c>
      <c r="C796" s="36"/>
    </row>
    <row r="797" spans="1:3" x14ac:dyDescent="0.25">
      <c r="A797" s="21" t="s">
        <v>2798</v>
      </c>
      <c r="B797" s="21" t="s">
        <v>2799</v>
      </c>
      <c r="C797" s="36"/>
    </row>
    <row r="798" spans="1:3" x14ac:dyDescent="0.25">
      <c r="A798" s="21" t="s">
        <v>1569</v>
      </c>
      <c r="B798" s="21" t="s">
        <v>1569</v>
      </c>
      <c r="C798" s="36" t="s">
        <v>1570</v>
      </c>
    </row>
    <row r="799" spans="1:3" x14ac:dyDescent="0.25">
      <c r="A799" s="22" t="s">
        <v>2799</v>
      </c>
      <c r="B799" s="22" t="s">
        <v>3552</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2847</v>
      </c>
      <c r="B855" s="21" t="s">
        <v>2848</v>
      </c>
      <c r="C855" s="36"/>
    </row>
    <row r="856" spans="1:3" x14ac:dyDescent="0.25">
      <c r="A856" s="21" t="s">
        <v>3213</v>
      </c>
      <c r="B856" s="21" t="s">
        <v>3214</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2849</v>
      </c>
      <c r="B865" s="21" t="s">
        <v>2805</v>
      </c>
      <c r="C865" s="36"/>
    </row>
    <row r="866" spans="1:3" x14ac:dyDescent="0.25">
      <c r="A866" s="22" t="s">
        <v>2804</v>
      </c>
      <c r="B866" s="22" t="s">
        <v>2805</v>
      </c>
      <c r="C866" s="37"/>
    </row>
    <row r="867" spans="1:3" x14ac:dyDescent="0.25">
      <c r="A867" s="21" t="s">
        <v>2808</v>
      </c>
      <c r="B867" s="21" t="s">
        <v>2809</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3666</v>
      </c>
      <c r="B875" s="21" t="s">
        <v>3666</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2850</v>
      </c>
      <c r="B964" s="21" t="s">
        <v>2850</v>
      </c>
      <c r="C964" s="36"/>
    </row>
    <row r="965" spans="1:3" x14ac:dyDescent="0.25">
      <c r="A965" s="21" t="s">
        <v>1841</v>
      </c>
      <c r="B965" s="21" t="s">
        <v>1842</v>
      </c>
      <c r="C965" s="36" t="s">
        <v>1843</v>
      </c>
    </row>
    <row r="966" spans="1:3" x14ac:dyDescent="0.25">
      <c r="A966" s="21" t="s">
        <v>3349</v>
      </c>
      <c r="B966" s="21" t="s">
        <v>3353</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3667</v>
      </c>
      <c r="B1059" s="21" t="s">
        <v>3667</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3668</v>
      </c>
      <c r="B1062" s="21" t="s">
        <v>3668</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2852</v>
      </c>
      <c r="B1080" s="21" t="s">
        <v>2852</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2851</v>
      </c>
      <c r="B1091" s="21" t="s">
        <v>2852</v>
      </c>
      <c r="C1091" s="36"/>
    </row>
    <row r="1092" spans="1:3" ht="30" x14ac:dyDescent="0.25">
      <c r="A1092" s="21" t="s">
        <v>2853</v>
      </c>
      <c r="B1092" s="21" t="s">
        <v>2852</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2854</v>
      </c>
      <c r="B1162" s="21" t="s">
        <v>2855</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3352</v>
      </c>
      <c r="B1192" s="21" t="s">
        <v>3352</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3669</v>
      </c>
      <c r="B1259" s="21" t="s">
        <v>3670</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3040</v>
      </c>
      <c r="B1299" s="21" t="s">
        <v>3040</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2858</v>
      </c>
      <c r="B1314" s="21" t="s">
        <v>2858</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24"/>
  <sheetViews>
    <sheetView workbookViewId="0">
      <selection activeCell="E23" sqref="E23"/>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3340</v>
      </c>
      <c r="E1" s="51" t="s">
        <v>2626</v>
      </c>
      <c r="G1" s="11"/>
    </row>
    <row r="2" spans="1:7" x14ac:dyDescent="0.25">
      <c r="A2" s="11" t="s">
        <v>2295</v>
      </c>
      <c r="B2" s="47" t="s">
        <v>549</v>
      </c>
      <c r="C2" s="11" t="s">
        <v>2598</v>
      </c>
      <c r="D2" s="11" t="s">
        <v>3341</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2789</v>
      </c>
      <c r="C9" t="s">
        <v>2789</v>
      </c>
      <c r="D9" t="s">
        <v>606</v>
      </c>
      <c r="E9" s="52"/>
    </row>
    <row r="10" spans="1:7" x14ac:dyDescent="0.25">
      <c r="A10" t="s">
        <v>2405</v>
      </c>
      <c r="B10" s="17" t="s">
        <v>2791</v>
      </c>
      <c r="C10" t="s">
        <v>2792</v>
      </c>
      <c r="D10" t="s">
        <v>1901</v>
      </c>
      <c r="E10" s="52"/>
    </row>
    <row r="11" spans="1:7" x14ac:dyDescent="0.25">
      <c r="A11" t="s">
        <v>2405</v>
      </c>
      <c r="B11" t="s">
        <v>2856</v>
      </c>
      <c r="C11" t="s">
        <v>2858</v>
      </c>
      <c r="D11" t="s">
        <v>1901</v>
      </c>
      <c r="E11" s="52"/>
    </row>
    <row r="12" spans="1:7" x14ac:dyDescent="0.25">
      <c r="A12" t="s">
        <v>2405</v>
      </c>
      <c r="B12" s="17" t="s">
        <v>2625</v>
      </c>
      <c r="C12" t="s">
        <v>3109</v>
      </c>
      <c r="D12" t="s">
        <v>1901</v>
      </c>
      <c r="E12" s="53"/>
    </row>
    <row r="13" spans="1:7" x14ac:dyDescent="0.25">
      <c r="A13" t="s">
        <v>2405</v>
      </c>
      <c r="B13" s="17" t="s">
        <v>2625</v>
      </c>
      <c r="C13" t="s">
        <v>3114</v>
      </c>
      <c r="D13" t="s">
        <v>1901</v>
      </c>
      <c r="E13" s="53"/>
    </row>
    <row r="14" spans="1:7" x14ac:dyDescent="0.25">
      <c r="A14" t="s">
        <v>2405</v>
      </c>
      <c r="B14" s="17" t="s">
        <v>2625</v>
      </c>
      <c r="C14" t="s">
        <v>3155</v>
      </c>
      <c r="D14" t="s">
        <v>1901</v>
      </c>
      <c r="E14" s="53"/>
    </row>
    <row r="15" spans="1:7" x14ac:dyDescent="0.25">
      <c r="A15" t="s">
        <v>2405</v>
      </c>
      <c r="B15" s="17" t="s">
        <v>2625</v>
      </c>
      <c r="C15" t="s">
        <v>3146</v>
      </c>
      <c r="D15" t="s">
        <v>1901</v>
      </c>
      <c r="E15" s="53"/>
    </row>
    <row r="16" spans="1:7" x14ac:dyDescent="0.25">
      <c r="A16" t="s">
        <v>2405</v>
      </c>
      <c r="B16" s="17" t="s">
        <v>2625</v>
      </c>
      <c r="C16" t="s">
        <v>3128</v>
      </c>
      <c r="D16" t="s">
        <v>1901</v>
      </c>
      <c r="E16" s="53"/>
    </row>
    <row r="17" spans="1:5" x14ac:dyDescent="0.25">
      <c r="A17" t="s">
        <v>2405</v>
      </c>
      <c r="B17" s="17" t="s">
        <v>2625</v>
      </c>
      <c r="C17" t="s">
        <v>3162</v>
      </c>
      <c r="D17" t="s">
        <v>1901</v>
      </c>
      <c r="E17" s="53"/>
    </row>
    <row r="18" spans="1:5" x14ac:dyDescent="0.25">
      <c r="A18" t="s">
        <v>2405</v>
      </c>
      <c r="B18" s="17" t="s">
        <v>2625</v>
      </c>
      <c r="C18" t="s">
        <v>3378</v>
      </c>
      <c r="D18" t="s">
        <v>1901</v>
      </c>
      <c r="E18" s="53"/>
    </row>
    <row r="19" spans="1:5" x14ac:dyDescent="0.25">
      <c r="A19" t="s">
        <v>2615</v>
      </c>
      <c r="B19" s="17" t="s">
        <v>2674</v>
      </c>
      <c r="C19" t="s">
        <v>3482</v>
      </c>
      <c r="D19" t="s">
        <v>1901</v>
      </c>
      <c r="E19" s="53"/>
    </row>
    <row r="20" spans="1:5" x14ac:dyDescent="0.25">
      <c r="A20" t="s">
        <v>2615</v>
      </c>
      <c r="B20" s="17" t="s">
        <v>2674</v>
      </c>
      <c r="C20" t="s">
        <v>3525</v>
      </c>
      <c r="D20" t="s">
        <v>1901</v>
      </c>
      <c r="E20" s="53"/>
    </row>
    <row r="21" spans="1:5" x14ac:dyDescent="0.25">
      <c r="A21" t="s">
        <v>3671</v>
      </c>
      <c r="B21" s="17" t="s">
        <v>3627</v>
      </c>
      <c r="C21" t="s">
        <v>3628</v>
      </c>
      <c r="D21" t="s">
        <v>1901</v>
      </c>
      <c r="E21" s="53"/>
    </row>
    <row r="22" spans="1:5" x14ac:dyDescent="0.25">
      <c r="A22" t="s">
        <v>2405</v>
      </c>
      <c r="B22" s="17" t="s">
        <v>2716</v>
      </c>
      <c r="C22" t="s">
        <v>2717</v>
      </c>
      <c r="D22" t="s">
        <v>1901</v>
      </c>
    </row>
    <row r="23" spans="1:5" x14ac:dyDescent="0.25">
      <c r="A23" t="s">
        <v>3672</v>
      </c>
      <c r="B23" t="s">
        <v>37</v>
      </c>
      <c r="C23" t="s">
        <v>3632</v>
      </c>
      <c r="D23" t="s">
        <v>1901</v>
      </c>
    </row>
    <row r="24" spans="1:5" x14ac:dyDescent="0.25">
      <c r="A24" t="s">
        <v>2663</v>
      </c>
      <c r="B24" t="s">
        <v>2782</v>
      </c>
      <c r="C24" t="s">
        <v>3749</v>
      </c>
      <c r="D24"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
  <sheetViews>
    <sheetView topLeftCell="C1" workbookViewId="0">
      <selection activeCell="N47" sqref="N47"/>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2871</v>
      </c>
      <c r="B1" s="71" t="s">
        <v>2872</v>
      </c>
      <c r="C1" s="71" t="s">
        <v>2873</v>
      </c>
      <c r="D1" s="71" t="s">
        <v>2869</v>
      </c>
      <c r="E1" s="71" t="s">
        <v>2870</v>
      </c>
    </row>
    <row r="2" spans="1:5" x14ac:dyDescent="0.25">
      <c r="A2" t="s">
        <v>3820</v>
      </c>
    </row>
    <row r="3" spans="1:5" x14ac:dyDescent="0.25">
      <c r="A3" t="s">
        <v>3822</v>
      </c>
    </row>
    <row r="4" spans="1:5" x14ac:dyDescent="0.25">
      <c r="A4" t="s">
        <v>3824</v>
      </c>
    </row>
    <row r="5" spans="1:5" x14ac:dyDescent="0.25">
      <c r="A5" t="s">
        <v>3830</v>
      </c>
    </row>
  </sheetData>
  <sheetProtection algorithmName="SHA-512" hashValue="GT4IxdGUlYcOptVJ07wvPpkWg/yWXeG1WzE7rUZoYak8Vg+BzQjIZVkpvPrmjgqwKxa9uOFKGaMde11T8Lbphg==" saltValue="w6zd0rQsfxg/jTO3Et0a3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fosadmin</cp:lastModifiedBy>
  <dcterms:created xsi:type="dcterms:W3CDTF">2017-07-19T08:46:20Z</dcterms:created>
  <dcterms:modified xsi:type="dcterms:W3CDTF">2019-04-10T07:12:09Z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